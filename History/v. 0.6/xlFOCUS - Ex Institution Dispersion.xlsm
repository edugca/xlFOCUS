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15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bfa2ac83e16c31e/MATLAB/Resources/xlFOCUS/History/v. 0.6/"/>
    </mc:Choice>
  </mc:AlternateContent>
  <xr:revisionPtr revIDLastSave="2" documentId="13_ncr:1_{6192D852-402A-4A7D-9D74-8DAE1DD5F0AA}" xr6:coauthVersionLast="47" xr6:coauthVersionMax="47" xr10:uidLastSave="{8C422A6B-4159-42F6-970B-17091A50F07D}"/>
  <bookViews>
    <workbookView xWindow="-120" yWindow="-120" windowWidth="26760" windowHeight="14520" xr2:uid="{9E6A8D97-B289-41C5-8A9F-017379FD1A6C}"/>
  </bookViews>
  <sheets>
    <sheet name="CPI Dispersion" sheetId="12" r:id="rId1"/>
  </sheets>
  <functionGroups builtInGroupCount="19"/>
  <definedNames>
    <definedName name="_xlpm.x" hidden="1" xlm="1">#NAME?</definedName>
  </definedNames>
  <calcPr calcId="191029"/>
  <pivotCaches>
    <pivotCache cacheId="4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3" i="12" l="1"/>
  <c r="F193" i="12"/>
  <c r="H361" i="12"/>
  <c r="G477" i="12"/>
  <c r="G352" i="12"/>
  <c r="H25" i="12"/>
  <c r="F251" i="12"/>
  <c r="G29" i="12"/>
  <c r="G392" i="12"/>
  <c r="F222" i="12"/>
  <c r="G446" i="12"/>
  <c r="F128" i="12"/>
  <c r="G204" i="12"/>
  <c r="H426" i="12"/>
  <c r="F462" i="12"/>
  <c r="H195" i="12"/>
  <c r="H111" i="12"/>
  <c r="G225" i="12"/>
  <c r="H641" i="12"/>
  <c r="H477" i="12"/>
  <c r="G30" i="12"/>
  <c r="F250" i="12"/>
  <c r="F60" i="12"/>
  <c r="G476" i="12"/>
  <c r="G291" i="12"/>
  <c r="G468" i="12"/>
  <c r="F303" i="12"/>
  <c r="F49" i="12"/>
  <c r="G136" i="12"/>
  <c r="F320" i="12"/>
  <c r="G553" i="12"/>
  <c r="H137" i="12"/>
  <c r="F118" i="12"/>
  <c r="G141" i="12"/>
  <c r="F509" i="12"/>
  <c r="F382" i="12"/>
  <c r="H57" i="12"/>
  <c r="F38" i="12"/>
  <c r="G61" i="12"/>
  <c r="F427" i="12"/>
  <c r="G285" i="12"/>
  <c r="H233" i="12"/>
  <c r="F214" i="12"/>
  <c r="F67" i="12"/>
  <c r="G179" i="12"/>
  <c r="F484" i="12"/>
  <c r="H153" i="12"/>
  <c r="F134" i="12"/>
  <c r="G157" i="12"/>
  <c r="F525" i="12"/>
  <c r="G400" i="12"/>
  <c r="F26" i="12"/>
  <c r="H75" i="12"/>
  <c r="F14" i="12"/>
  <c r="F350" i="12"/>
  <c r="F580" i="12"/>
  <c r="G164" i="12"/>
  <c r="H144" i="12"/>
  <c r="F168" i="12"/>
  <c r="H535" i="12"/>
  <c r="F73" i="12"/>
  <c r="H292" i="12"/>
  <c r="H102" i="12"/>
  <c r="F519" i="12"/>
  <c r="G344" i="12"/>
  <c r="F511" i="12"/>
  <c r="G127" i="12"/>
  <c r="F177" i="12"/>
  <c r="F343" i="12"/>
  <c r="H83" i="12"/>
  <c r="G303" i="12"/>
  <c r="G113" i="12"/>
  <c r="H529" i="12"/>
  <c r="F535" i="12"/>
  <c r="F560" i="12"/>
  <c r="F915" i="12"/>
  <c r="F480" i="12"/>
  <c r="H557" i="12"/>
  <c r="F731" i="12"/>
  <c r="H295" i="12"/>
  <c r="H1010" i="12"/>
  <c r="F348" i="12"/>
  <c r="F587" i="12"/>
  <c r="F873" i="12"/>
  <c r="F9" i="12"/>
  <c r="H228" i="12"/>
  <c r="H38" i="12"/>
  <c r="H454" i="12"/>
  <c r="H258" i="12"/>
  <c r="F446" i="12"/>
  <c r="F111" i="12"/>
  <c r="G91" i="12"/>
  <c r="H114" i="12"/>
  <c r="G482" i="12"/>
  <c r="F352" i="12"/>
  <c r="H78" i="12"/>
  <c r="G213" i="12"/>
  <c r="G55" i="12"/>
  <c r="F514" i="12"/>
  <c r="G547" i="12"/>
  <c r="F281" i="12"/>
  <c r="F197" i="12"/>
  <c r="F39" i="12"/>
  <c r="F174" i="12"/>
  <c r="G268" i="12"/>
  <c r="H115" i="12"/>
  <c r="H31" i="12"/>
  <c r="G145" i="12"/>
  <c r="H561" i="12"/>
  <c r="H393" i="12"/>
  <c r="H553" i="12"/>
  <c r="H84" i="12"/>
  <c r="G134" i="12"/>
  <c r="F290" i="12"/>
  <c r="F416" i="12"/>
  <c r="G278" i="12"/>
  <c r="F223" i="12"/>
  <c r="G203" i="12"/>
  <c r="G56" i="12"/>
  <c r="F30" i="12"/>
  <c r="G473" i="12"/>
  <c r="F143" i="12"/>
  <c r="G123" i="12"/>
  <c r="H146" i="12"/>
  <c r="G514" i="12"/>
  <c r="H388" i="12"/>
  <c r="G15" i="12"/>
  <c r="F65" i="12"/>
  <c r="G152" i="12"/>
  <c r="F338" i="12"/>
  <c r="G569" i="12"/>
  <c r="F239" i="12"/>
  <c r="G219" i="12"/>
  <c r="G72" i="12"/>
  <c r="G94" i="12"/>
  <c r="G10" i="12"/>
  <c r="F124" i="12"/>
  <c r="G540" i="12"/>
  <c r="F369" i="12"/>
  <c r="G532" i="12"/>
  <c r="G196" i="12"/>
  <c r="H176" i="12"/>
  <c r="H29" i="12"/>
  <c r="H567" i="12"/>
  <c r="H445" i="12"/>
  <c r="F164" i="12"/>
  <c r="H298" i="12"/>
  <c r="H140" i="12"/>
  <c r="G599" i="12"/>
  <c r="F315" i="12"/>
  <c r="G366" i="12"/>
  <c r="F48" i="12"/>
  <c r="G124" i="12"/>
  <c r="G337" i="12"/>
  <c r="G375" i="12"/>
  <c r="F201" i="12"/>
  <c r="F117" i="12"/>
  <c r="H230" i="12"/>
  <c r="F647" i="12"/>
  <c r="F483" i="12"/>
  <c r="F286" i="12"/>
  <c r="F170" i="12"/>
  <c r="H219" i="12"/>
  <c r="H391" i="12"/>
  <c r="F504" i="12"/>
  <c r="F383" i="12"/>
  <c r="G308" i="12"/>
  <c r="G54" i="12"/>
  <c r="H141" i="12"/>
  <c r="F326" i="12"/>
  <c r="H558" i="12"/>
  <c r="G228" i="12"/>
  <c r="H208" i="12"/>
  <c r="H61" i="12"/>
  <c r="G115" i="12"/>
  <c r="H478" i="12"/>
  <c r="H100" i="12"/>
  <c r="G150" i="12"/>
  <c r="G312" i="12"/>
  <c r="F433" i="12"/>
  <c r="G301" i="12"/>
  <c r="H20" i="12"/>
  <c r="G70" i="12"/>
  <c r="H157" i="12"/>
  <c r="F344" i="12"/>
  <c r="H574" i="12"/>
  <c r="H196" i="12"/>
  <c r="G246" i="12"/>
  <c r="H420" i="12"/>
  <c r="H120" i="12"/>
  <c r="F412" i="12"/>
  <c r="G31" i="12"/>
  <c r="F81" i="12"/>
  <c r="G99" i="12"/>
  <c r="H179" i="12"/>
  <c r="H95" i="12"/>
  <c r="G209" i="12"/>
  <c r="H625" i="12"/>
  <c r="H461" i="12"/>
  <c r="F253" i="12"/>
  <c r="H281" i="12"/>
  <c r="H27" i="12"/>
  <c r="F115" i="12"/>
  <c r="F291" i="12"/>
  <c r="F532" i="12"/>
  <c r="G249" i="12"/>
  <c r="H85" i="12"/>
  <c r="H39" i="12"/>
  <c r="H684" i="12"/>
  <c r="G411" i="12"/>
  <c r="H451" i="12"/>
  <c r="G133" i="12"/>
  <c r="H209" i="12"/>
  <c r="G432" i="12"/>
  <c r="G467" i="12"/>
  <c r="G286" i="12"/>
  <c r="G202" i="12"/>
  <c r="G44" i="12"/>
  <c r="F200" i="12"/>
  <c r="F277" i="12"/>
  <c r="H35" i="12"/>
  <c r="G255" i="12"/>
  <c r="G65" i="12"/>
  <c r="H481" i="12"/>
  <c r="F300" i="12"/>
  <c r="H473" i="12"/>
  <c r="F90" i="12"/>
  <c r="H139" i="12"/>
  <c r="G298" i="12"/>
  <c r="H421" i="12"/>
  <c r="H285" i="12"/>
  <c r="F10" i="12"/>
  <c r="H59" i="12"/>
  <c r="F147" i="12"/>
  <c r="F332" i="12"/>
  <c r="F564" i="12"/>
  <c r="F186" i="12"/>
  <c r="H235" i="12"/>
  <c r="G409" i="12"/>
  <c r="F520" i="12"/>
  <c r="H400" i="12"/>
  <c r="F106" i="12"/>
  <c r="H155" i="12"/>
  <c r="F319" i="12"/>
  <c r="H438" i="12"/>
  <c r="G62" i="12"/>
  <c r="F282" i="12"/>
  <c r="F92" i="12"/>
  <c r="G508" i="12"/>
  <c r="G332" i="12"/>
  <c r="G500" i="12"/>
  <c r="H116" i="12"/>
  <c r="G166" i="12"/>
  <c r="F331" i="12"/>
  <c r="F265" i="12"/>
  <c r="F181" i="12"/>
  <c r="F23" i="12"/>
  <c r="F711" i="12"/>
  <c r="H237" i="12"/>
  <c r="H364" i="12"/>
  <c r="G63" i="12"/>
  <c r="F113" i="12"/>
  <c r="F257" i="12"/>
  <c r="H392" i="12"/>
  <c r="G242" i="12"/>
  <c r="H334" i="12"/>
  <c r="F171" i="12"/>
  <c r="F125" i="12"/>
  <c r="G299" i="12"/>
  <c r="H499" i="12"/>
  <c r="F84" i="12"/>
  <c r="H218" i="12"/>
  <c r="H60" i="12"/>
  <c r="G519" i="12"/>
  <c r="H552" i="12"/>
  <c r="H371" i="12"/>
  <c r="G53" i="12"/>
  <c r="H129" i="12"/>
  <c r="G343" i="12"/>
  <c r="G381" i="12"/>
  <c r="F121" i="12"/>
  <c r="F37" i="12"/>
  <c r="H150" i="12"/>
  <c r="F567" i="12"/>
  <c r="G399" i="12"/>
  <c r="F559" i="12"/>
  <c r="G175" i="12"/>
  <c r="F225" i="12"/>
  <c r="H397" i="12"/>
  <c r="G509" i="12"/>
  <c r="F389" i="12"/>
  <c r="G95" i="12"/>
  <c r="F145" i="12"/>
  <c r="H305" i="12"/>
  <c r="G427" i="12"/>
  <c r="H51" i="12"/>
  <c r="G271" i="12"/>
  <c r="G81" i="12"/>
  <c r="H497" i="12"/>
  <c r="G320" i="12"/>
  <c r="H489" i="12"/>
  <c r="G191" i="12"/>
  <c r="F241" i="12"/>
  <c r="F415" i="12"/>
  <c r="G35" i="12"/>
  <c r="H147" i="12"/>
  <c r="H63" i="12"/>
  <c r="G177" i="12"/>
  <c r="H593" i="12"/>
  <c r="H427" i="12"/>
  <c r="F62" i="12"/>
  <c r="F202" i="12"/>
  <c r="F12" i="12"/>
  <c r="G426" i="12"/>
  <c r="G350" i="12"/>
  <c r="F32" i="12"/>
  <c r="G108" i="12"/>
  <c r="G319" i="12"/>
  <c r="G357" i="12"/>
  <c r="F458" i="12"/>
  <c r="H148" i="12"/>
  <c r="G198" i="12"/>
  <c r="H367" i="12"/>
  <c r="H482" i="12"/>
  <c r="G358" i="12"/>
  <c r="F31" i="12"/>
  <c r="G11" i="12"/>
  <c r="H34" i="12"/>
  <c r="H398" i="12"/>
  <c r="F242" i="12"/>
  <c r="G169" i="12"/>
  <c r="F304" i="12"/>
  <c r="F146" i="12"/>
  <c r="H604" i="12"/>
  <c r="F321" i="12"/>
  <c r="F457" i="12"/>
  <c r="H138" i="12"/>
  <c r="F215" i="12"/>
  <c r="F438" i="12"/>
  <c r="H472" i="12"/>
  <c r="G206" i="12"/>
  <c r="G122" i="12"/>
  <c r="F236" i="12"/>
  <c r="G652" i="12"/>
  <c r="G488" i="12"/>
  <c r="F41" i="12"/>
  <c r="H260" i="12"/>
  <c r="H70" i="12"/>
  <c r="F487" i="12"/>
  <c r="F307" i="12"/>
  <c r="F479" i="12"/>
  <c r="H180" i="12"/>
  <c r="G230" i="12"/>
  <c r="G403" i="12"/>
  <c r="H514" i="12"/>
  <c r="F137" i="12"/>
  <c r="F53" i="12"/>
  <c r="H166" i="12"/>
  <c r="F583" i="12"/>
  <c r="G416" i="12"/>
  <c r="F57" i="12"/>
  <c r="H276" i="12"/>
  <c r="H86" i="12"/>
  <c r="F503" i="12"/>
  <c r="G326" i="12"/>
  <c r="F233" i="12"/>
  <c r="F149" i="12"/>
  <c r="H262" i="12"/>
  <c r="F679" i="12"/>
  <c r="F515" i="12"/>
  <c r="H67" i="12"/>
  <c r="G287" i="12"/>
  <c r="G97" i="12"/>
  <c r="H435" i="12"/>
  <c r="G117" i="12"/>
  <c r="H193" i="12"/>
  <c r="G415" i="12"/>
  <c r="H450" i="12"/>
  <c r="G14" i="12"/>
  <c r="F234" i="12"/>
  <c r="F44" i="12"/>
  <c r="G460" i="12"/>
  <c r="H267" i="12"/>
  <c r="F452" i="12"/>
  <c r="G116" i="12"/>
  <c r="H96" i="12"/>
  <c r="F120" i="12"/>
  <c r="H487" i="12"/>
  <c r="F358" i="12"/>
  <c r="H254" i="12"/>
  <c r="F91" i="12"/>
  <c r="F45" i="12"/>
  <c r="F690" i="12"/>
  <c r="F417" i="12"/>
  <c r="G89" i="12"/>
  <c r="F224" i="12"/>
  <c r="F66" i="12"/>
  <c r="H524" i="12"/>
  <c r="F46" i="12"/>
  <c r="H291" i="12"/>
  <c r="H207" i="12"/>
  <c r="H49" i="12"/>
  <c r="G216" i="12"/>
  <c r="H284" i="12"/>
  <c r="G126" i="12"/>
  <c r="G42" i="12"/>
  <c r="F156" i="12"/>
  <c r="G572" i="12"/>
  <c r="F405" i="12"/>
  <c r="G46" i="12"/>
  <c r="F266" i="12"/>
  <c r="F76" i="12"/>
  <c r="G492" i="12"/>
  <c r="G314" i="12"/>
  <c r="G222" i="12"/>
  <c r="G138" i="12"/>
  <c r="F252" i="12"/>
  <c r="G668" i="12"/>
  <c r="G504" i="12"/>
  <c r="G142" i="12"/>
  <c r="G58" i="12"/>
  <c r="F172" i="12"/>
  <c r="G588" i="12"/>
  <c r="F422" i="12"/>
  <c r="G318" i="12"/>
  <c r="G234" i="12"/>
  <c r="G76" i="12"/>
  <c r="G274" i="12"/>
  <c r="H320" i="12"/>
  <c r="F153" i="12"/>
  <c r="F69" i="12"/>
  <c r="H182" i="12"/>
  <c r="F599" i="12"/>
  <c r="G433" i="12"/>
  <c r="F132" i="12"/>
  <c r="H266" i="12"/>
  <c r="H108" i="12"/>
  <c r="G567" i="12"/>
  <c r="H268" i="12"/>
  <c r="H419" i="12"/>
  <c r="G101" i="12"/>
  <c r="H177" i="12"/>
  <c r="F398" i="12"/>
  <c r="H142" i="12"/>
  <c r="G277" i="12"/>
  <c r="G119" i="12"/>
  <c r="F578" i="12"/>
  <c r="F316" i="12"/>
  <c r="F68" i="12"/>
  <c r="H202" i="12"/>
  <c r="H44" i="12"/>
  <c r="G503" i="12"/>
  <c r="H536" i="12"/>
  <c r="H99" i="12"/>
  <c r="H15" i="12"/>
  <c r="G129" i="12"/>
  <c r="H545" i="12"/>
  <c r="F375" i="12"/>
  <c r="H537" i="12"/>
  <c r="H201" i="12"/>
  <c r="F182" i="12"/>
  <c r="F35" i="12"/>
  <c r="F573" i="12"/>
  <c r="G451" i="12"/>
  <c r="F340" i="12"/>
  <c r="G176" i="12"/>
  <c r="G130" i="12"/>
  <c r="G306" i="12"/>
  <c r="F505" i="12"/>
  <c r="H174" i="12"/>
  <c r="F11" i="12"/>
  <c r="G151" i="12"/>
  <c r="F610" i="12"/>
  <c r="F327" i="12"/>
  <c r="F377" i="12"/>
  <c r="H58" i="12"/>
  <c r="F135" i="12"/>
  <c r="G349" i="12"/>
  <c r="G387" i="12"/>
  <c r="H211" i="12"/>
  <c r="H127" i="12"/>
  <c r="G241" i="12"/>
  <c r="H657" i="12"/>
  <c r="H493" i="12"/>
  <c r="H131" i="12"/>
  <c r="H47" i="12"/>
  <c r="G161" i="12"/>
  <c r="H577" i="12"/>
  <c r="H410" i="12"/>
  <c r="H307" i="12"/>
  <c r="H223" i="12"/>
  <c r="H65" i="12"/>
  <c r="H257" i="12"/>
  <c r="G307" i="12"/>
  <c r="H227" i="12"/>
  <c r="H143" i="12"/>
  <c r="G257" i="12"/>
  <c r="H673" i="12"/>
  <c r="H509" i="12"/>
  <c r="H403" i="12"/>
  <c r="G85" i="12"/>
  <c r="H161" i="12"/>
  <c r="F380" i="12"/>
  <c r="H416" i="12"/>
  <c r="G238" i="12"/>
  <c r="G154" i="12"/>
  <c r="F268" i="12"/>
  <c r="G684" i="12"/>
  <c r="H40" i="12"/>
  <c r="G217" i="12"/>
  <c r="H53" i="12"/>
  <c r="F194" i="12"/>
  <c r="H652" i="12"/>
  <c r="H375" i="12"/>
  <c r="F52" i="12"/>
  <c r="H186" i="12"/>
  <c r="H28" i="12"/>
  <c r="G487" i="12"/>
  <c r="F228" i="12"/>
  <c r="G64" i="12"/>
  <c r="G18" i="12"/>
  <c r="G663" i="12"/>
  <c r="H423" i="12"/>
  <c r="G657" i="12"/>
  <c r="F491" i="12"/>
  <c r="F685" i="12"/>
  <c r="F1047" i="12"/>
  <c r="H433" i="12"/>
  <c r="H759" i="12"/>
  <c r="H664" i="12"/>
  <c r="G719" i="12"/>
  <c r="F540" i="12"/>
  <c r="H259" i="12"/>
  <c r="G153" i="12"/>
  <c r="F288" i="12"/>
  <c r="F130" i="12"/>
  <c r="H588" i="12"/>
  <c r="H300" i="12"/>
  <c r="F185" i="12"/>
  <c r="F101" i="12"/>
  <c r="H214" i="12"/>
  <c r="F631" i="12"/>
  <c r="F467" i="12"/>
  <c r="F262" i="12"/>
  <c r="F287" i="12"/>
  <c r="F33" i="12"/>
  <c r="G120" i="12"/>
  <c r="H299" i="12"/>
  <c r="G537" i="12"/>
  <c r="G36" i="12"/>
  <c r="H16" i="12"/>
  <c r="F40" i="12"/>
  <c r="G404" i="12"/>
  <c r="G252" i="12"/>
  <c r="F260" i="12"/>
  <c r="G96" i="12"/>
  <c r="G50" i="12"/>
  <c r="G695" i="12"/>
  <c r="H422" i="12"/>
  <c r="G9" i="12"/>
  <c r="F144" i="12"/>
  <c r="G220" i="12"/>
  <c r="H443" i="12"/>
  <c r="F478" i="12"/>
  <c r="F297" i="12"/>
  <c r="F213" i="12"/>
  <c r="F55" i="12"/>
  <c r="H232" i="12"/>
  <c r="F293" i="12"/>
  <c r="F217" i="12"/>
  <c r="F133" i="12"/>
  <c r="H246" i="12"/>
  <c r="F663" i="12"/>
  <c r="F499" i="12"/>
  <c r="F393" i="12"/>
  <c r="H74" i="12"/>
  <c r="F151" i="12"/>
  <c r="F368" i="12"/>
  <c r="G405" i="12"/>
  <c r="F313" i="12"/>
  <c r="F229" i="12"/>
  <c r="F71" i="12"/>
  <c r="G266" i="12"/>
  <c r="H314" i="12"/>
  <c r="F36" i="12"/>
  <c r="H170" i="12"/>
  <c r="H12" i="12"/>
  <c r="G471" i="12"/>
  <c r="H504" i="12"/>
  <c r="H323" i="12"/>
  <c r="H239" i="12"/>
  <c r="H81" i="12"/>
  <c r="G283" i="12"/>
  <c r="H326" i="12"/>
  <c r="H302" i="12"/>
  <c r="F139" i="12"/>
  <c r="F93" i="12"/>
  <c r="G248" i="12"/>
  <c r="H467" i="12"/>
  <c r="G137" i="12"/>
  <c r="F272" i="12"/>
  <c r="F114" i="12"/>
  <c r="H572" i="12"/>
  <c r="G313" i="12"/>
  <c r="H149" i="12"/>
  <c r="H103" i="12"/>
  <c r="F267" i="12"/>
  <c r="G253" i="12"/>
  <c r="G749" i="12"/>
  <c r="H622" i="12"/>
  <c r="F773" i="12"/>
  <c r="G1132" i="12"/>
  <c r="H136" i="12"/>
  <c r="F845" i="12"/>
  <c r="G755" i="12"/>
  <c r="H804" i="12"/>
  <c r="G650" i="12"/>
  <c r="H175" i="12"/>
  <c r="H238" i="12"/>
  <c r="F75" i="12"/>
  <c r="F29" i="12"/>
  <c r="F674" i="12"/>
  <c r="F400" i="12"/>
  <c r="G270" i="12"/>
  <c r="G186" i="12"/>
  <c r="G28" i="12"/>
  <c r="G19" i="12"/>
  <c r="G251" i="12"/>
  <c r="H370" i="12"/>
  <c r="H68" i="12"/>
  <c r="G118" i="12"/>
  <c r="H264" i="12"/>
  <c r="F399" i="12"/>
  <c r="H252" i="12"/>
  <c r="H121" i="12"/>
  <c r="F102" i="12"/>
  <c r="G125" i="12"/>
  <c r="F493" i="12"/>
  <c r="F364" i="12"/>
  <c r="G345" i="12"/>
  <c r="H181" i="12"/>
  <c r="H135" i="12"/>
  <c r="H313" i="12"/>
  <c r="G510" i="12"/>
  <c r="H94" i="12"/>
  <c r="G229" i="12"/>
  <c r="G71" i="12"/>
  <c r="F530" i="12"/>
  <c r="G131" i="12"/>
  <c r="G382" i="12"/>
  <c r="F64" i="12"/>
  <c r="G140" i="12"/>
  <c r="G355" i="12"/>
  <c r="F394" i="12"/>
  <c r="G302" i="12"/>
  <c r="G218" i="12"/>
  <c r="G60" i="12"/>
  <c r="F248" i="12"/>
  <c r="G300" i="12"/>
  <c r="G25" i="12"/>
  <c r="F160" i="12"/>
  <c r="G236" i="12"/>
  <c r="H460" i="12"/>
  <c r="F494" i="12"/>
  <c r="G398" i="12"/>
  <c r="F80" i="12"/>
  <c r="G156" i="12"/>
  <c r="F374" i="12"/>
  <c r="F411" i="12"/>
  <c r="G121" i="12"/>
  <c r="F256" i="12"/>
  <c r="F98" i="12"/>
  <c r="H556" i="12"/>
  <c r="H251" i="12"/>
  <c r="F409" i="12"/>
  <c r="H90" i="12"/>
  <c r="F167" i="12"/>
  <c r="F386" i="12"/>
  <c r="G422" i="12"/>
  <c r="F388" i="12"/>
  <c r="G224" i="12"/>
  <c r="G178" i="12"/>
  <c r="G362" i="12"/>
  <c r="F553" i="12"/>
  <c r="H222" i="12"/>
  <c r="F59" i="12"/>
  <c r="F13" i="12"/>
  <c r="F658" i="12"/>
  <c r="H9" i="12"/>
  <c r="F235" i="12"/>
  <c r="G13" i="12"/>
  <c r="G374" i="12"/>
  <c r="H303" i="12"/>
  <c r="H834" i="12"/>
  <c r="H718" i="12"/>
  <c r="G858" i="12"/>
  <c r="H1217" i="12"/>
  <c r="F206" i="12"/>
  <c r="G930" i="12"/>
  <c r="H490" i="12"/>
  <c r="F890" i="12"/>
  <c r="F324" i="12"/>
  <c r="G160" i="12"/>
  <c r="G114" i="12"/>
  <c r="H283" i="12"/>
  <c r="F489" i="12"/>
  <c r="H355" i="12"/>
  <c r="G37" i="12"/>
  <c r="H113" i="12"/>
  <c r="G325" i="12"/>
  <c r="G363" i="12"/>
  <c r="G463" i="12"/>
  <c r="F154" i="12"/>
  <c r="H203" i="12"/>
  <c r="H373" i="12"/>
  <c r="F488" i="12"/>
  <c r="G364" i="12"/>
  <c r="F207" i="12"/>
  <c r="G187" i="12"/>
  <c r="G40" i="12"/>
  <c r="G578" i="12"/>
  <c r="G457" i="12"/>
  <c r="H41" i="12"/>
  <c r="F22" i="12"/>
  <c r="G45" i="12"/>
  <c r="F410" i="12"/>
  <c r="F261" i="12"/>
  <c r="F180" i="12"/>
  <c r="G16" i="12"/>
  <c r="H156" i="12"/>
  <c r="G615" i="12"/>
  <c r="F333" i="12"/>
  <c r="H14" i="12"/>
  <c r="G149" i="12"/>
  <c r="H225" i="12"/>
  <c r="G449" i="12"/>
  <c r="G483" i="12"/>
  <c r="H387" i="12"/>
  <c r="G69" i="12"/>
  <c r="H145" i="12"/>
  <c r="F362" i="12"/>
  <c r="H399" i="12"/>
  <c r="H110" i="12"/>
  <c r="G245" i="12"/>
  <c r="G87" i="12"/>
  <c r="F546" i="12"/>
  <c r="H221" i="12"/>
  <c r="H30" i="12"/>
  <c r="G165" i="12"/>
  <c r="H241" i="12"/>
  <c r="F466" i="12"/>
  <c r="G499" i="12"/>
  <c r="H206" i="12"/>
  <c r="F43" i="12"/>
  <c r="G183" i="12"/>
  <c r="F642" i="12"/>
  <c r="H363" i="12"/>
  <c r="G41" i="12"/>
  <c r="F176" i="12"/>
  <c r="F18" i="12"/>
  <c r="H476" i="12"/>
  <c r="G20" i="12"/>
  <c r="H245" i="12"/>
  <c r="F24" i="12"/>
  <c r="G386" i="12"/>
  <c r="H205" i="12"/>
  <c r="F441" i="12"/>
  <c r="H122" i="12"/>
  <c r="F199" i="12"/>
  <c r="F421" i="12"/>
  <c r="G456" i="12"/>
  <c r="H19" i="12"/>
  <c r="G239" i="12"/>
  <c r="G49" i="12"/>
  <c r="H465" i="12"/>
  <c r="G275" i="12"/>
  <c r="H457" i="12"/>
  <c r="G292" i="12"/>
  <c r="G38" i="12"/>
  <c r="H125" i="12"/>
  <c r="H306" i="12"/>
  <c r="H542" i="12"/>
  <c r="F127" i="12"/>
  <c r="G107" i="12"/>
  <c r="H130" i="12"/>
  <c r="G498" i="12"/>
  <c r="F370" i="12"/>
  <c r="G265" i="12"/>
  <c r="H101" i="12"/>
  <c r="H55" i="12"/>
  <c r="H700" i="12"/>
  <c r="G428" i="12"/>
  <c r="F100" i="12"/>
  <c r="H234" i="12"/>
  <c r="H76" i="12"/>
  <c r="G535" i="12"/>
  <c r="H184" i="12"/>
  <c r="F20" i="12"/>
  <c r="H154" i="12"/>
  <c r="F231" i="12"/>
  <c r="F455" i="12"/>
  <c r="H488" i="12"/>
  <c r="F196" i="12"/>
  <c r="G32" i="12"/>
  <c r="H172" i="12"/>
  <c r="G631" i="12"/>
  <c r="H351" i="12"/>
  <c r="F116" i="12"/>
  <c r="H250" i="12"/>
  <c r="H92" i="12"/>
  <c r="G551" i="12"/>
  <c r="F238" i="12"/>
  <c r="F292" i="12"/>
  <c r="G128" i="12"/>
  <c r="G82" i="12"/>
  <c r="H216" i="12"/>
  <c r="H456" i="12"/>
  <c r="H126" i="12"/>
  <c r="G261" i="12"/>
  <c r="G103" i="12"/>
  <c r="F562" i="12"/>
  <c r="H105" i="12"/>
  <c r="F86" i="12"/>
  <c r="G109" i="12"/>
  <c r="F477" i="12"/>
  <c r="F346" i="12"/>
  <c r="G73" i="12"/>
  <c r="F208" i="12"/>
  <c r="F50" i="12"/>
  <c r="H508" i="12"/>
  <c r="F542" i="12"/>
  <c r="F105" i="12"/>
  <c r="F21" i="12"/>
  <c r="H134" i="12"/>
  <c r="F551" i="12"/>
  <c r="F381" i="12"/>
  <c r="F543" i="12"/>
  <c r="F74" i="12"/>
  <c r="H123" i="12"/>
  <c r="F274" i="12"/>
  <c r="H404" i="12"/>
  <c r="H261" i="12"/>
  <c r="G212" i="12"/>
  <c r="H192" i="12"/>
  <c r="H45" i="12"/>
  <c r="H583" i="12"/>
  <c r="H462" i="12"/>
  <c r="H350" i="12"/>
  <c r="F187" i="12"/>
  <c r="F141" i="12"/>
  <c r="H319" i="12"/>
  <c r="H515" i="12"/>
  <c r="G185" i="12"/>
  <c r="H21" i="12"/>
  <c r="F162" i="12"/>
  <c r="H620" i="12"/>
  <c r="F339" i="12"/>
  <c r="G105" i="12"/>
  <c r="F240" i="12"/>
  <c r="F82" i="12"/>
  <c r="H540" i="12"/>
  <c r="G205" i="12"/>
  <c r="G281" i="12"/>
  <c r="H117" i="12"/>
  <c r="H71" i="12"/>
  <c r="F179" i="12"/>
  <c r="G445" i="12"/>
  <c r="G201" i="12"/>
  <c r="H37" i="12"/>
  <c r="F178" i="12"/>
  <c r="H636" i="12"/>
  <c r="H357" i="12"/>
  <c r="G377" i="12"/>
  <c r="H213" i="12"/>
  <c r="H167" i="12"/>
  <c r="H349" i="12"/>
  <c r="G542" i="12"/>
  <c r="F212" i="12"/>
  <c r="G48" i="12"/>
  <c r="H188" i="12"/>
  <c r="G647" i="12"/>
  <c r="F191" i="12"/>
  <c r="G171" i="12"/>
  <c r="G24" i="12"/>
  <c r="G562" i="12"/>
  <c r="F440" i="12"/>
  <c r="H158" i="12"/>
  <c r="G293" i="12"/>
  <c r="G135" i="12"/>
  <c r="F594" i="12"/>
  <c r="F309" i="12"/>
  <c r="G190" i="12"/>
  <c r="G106" i="12"/>
  <c r="F220" i="12"/>
  <c r="G636" i="12"/>
  <c r="G472" i="12"/>
  <c r="H269" i="12"/>
  <c r="G159" i="12"/>
  <c r="F209" i="12"/>
  <c r="H379" i="12"/>
  <c r="G493" i="12"/>
  <c r="G370" i="12"/>
  <c r="H297" i="12"/>
  <c r="H43" i="12"/>
  <c r="F131" i="12"/>
  <c r="F314" i="12"/>
  <c r="F548" i="12"/>
  <c r="F47" i="12"/>
  <c r="G27" i="12"/>
  <c r="H50" i="12"/>
  <c r="H415" i="12"/>
  <c r="F269" i="12"/>
  <c r="H270" i="12"/>
  <c r="F107" i="12"/>
  <c r="F61" i="12"/>
  <c r="H24" i="12"/>
  <c r="F434" i="12"/>
  <c r="H190" i="12"/>
  <c r="F27" i="12"/>
  <c r="G167" i="12"/>
  <c r="F626" i="12"/>
  <c r="H345" i="12"/>
  <c r="H366" i="12"/>
  <c r="F203" i="12"/>
  <c r="F157" i="12"/>
  <c r="H337" i="12"/>
  <c r="H531" i="12"/>
  <c r="H286" i="12"/>
  <c r="F123" i="12"/>
  <c r="F77" i="12"/>
  <c r="G200" i="12"/>
  <c r="F451" i="12"/>
  <c r="H73" i="12"/>
  <c r="F54" i="12"/>
  <c r="G77" i="12"/>
  <c r="F444" i="12"/>
  <c r="G309" i="12"/>
  <c r="G297" i="12"/>
  <c r="H133" i="12"/>
  <c r="H87" i="12"/>
  <c r="H236" i="12"/>
  <c r="G276" i="12"/>
  <c r="G22" i="12"/>
  <c r="H109" i="12"/>
  <c r="F284" i="12"/>
  <c r="H526" i="12"/>
  <c r="F244" i="12"/>
  <c r="G80" i="12"/>
  <c r="G34" i="12"/>
  <c r="G679" i="12"/>
  <c r="H405" i="12"/>
  <c r="H275" i="12"/>
  <c r="H191" i="12"/>
  <c r="H33" i="12"/>
  <c r="H104" i="12"/>
  <c r="F259" i="12"/>
  <c r="F25" i="12"/>
  <c r="H244" i="12"/>
  <c r="H54" i="12"/>
  <c r="F471" i="12"/>
  <c r="G284" i="12"/>
  <c r="F463" i="12"/>
  <c r="G79" i="12"/>
  <c r="F129" i="12"/>
  <c r="F283" i="12"/>
  <c r="G410" i="12"/>
  <c r="G269" i="12"/>
  <c r="G132" i="12"/>
  <c r="H112" i="12"/>
  <c r="F136" i="12"/>
  <c r="H503" i="12"/>
  <c r="F376" i="12"/>
  <c r="F356" i="12"/>
  <c r="G192" i="12"/>
  <c r="G146" i="12"/>
  <c r="H325" i="12"/>
  <c r="F521" i="12"/>
  <c r="F276" i="12"/>
  <c r="G112" i="12"/>
  <c r="G66" i="12"/>
  <c r="F110" i="12"/>
  <c r="H439" i="12"/>
  <c r="F63" i="12"/>
  <c r="G43" i="12"/>
  <c r="H66" i="12"/>
  <c r="H432" i="12"/>
  <c r="F294" i="12"/>
  <c r="F372" i="12"/>
  <c r="G208" i="12"/>
  <c r="G162" i="12"/>
  <c r="H343" i="12"/>
  <c r="F537" i="12"/>
  <c r="F159" i="12"/>
  <c r="G139" i="12"/>
  <c r="H162" i="12"/>
  <c r="G530" i="12"/>
  <c r="F406" i="12"/>
  <c r="H382" i="12"/>
  <c r="F219" i="12"/>
  <c r="F173" i="12"/>
  <c r="G356" i="12"/>
  <c r="H547" i="12"/>
  <c r="F122" i="12"/>
  <c r="H171" i="12"/>
  <c r="F337" i="12"/>
  <c r="H455" i="12"/>
  <c r="H327" i="12"/>
  <c r="G260" i="12"/>
  <c r="H240" i="12"/>
  <c r="H93" i="12"/>
  <c r="G258" i="12"/>
  <c r="H132" i="12"/>
  <c r="G182" i="12"/>
  <c r="F349" i="12"/>
  <c r="H308" i="12"/>
  <c r="F414" i="12"/>
  <c r="G744" i="12"/>
  <c r="H761" i="12"/>
  <c r="H580" i="12"/>
  <c r="F58" i="12"/>
  <c r="G26" i="12"/>
  <c r="H32" i="12"/>
  <c r="F72" i="12"/>
  <c r="H249" i="12"/>
  <c r="G315" i="12"/>
  <c r="H64" i="12"/>
  <c r="H689" i="12"/>
  <c r="G505" i="12"/>
  <c r="F165" i="12"/>
  <c r="H199" i="12"/>
  <c r="F95" i="12"/>
  <c r="G12" i="12"/>
  <c r="G267" i="12"/>
  <c r="F925" i="12"/>
  <c r="H570" i="12"/>
  <c r="G644" i="12"/>
  <c r="G516" i="12"/>
  <c r="F840" i="12"/>
  <c r="F767" i="12"/>
  <c r="H565" i="12"/>
  <c r="G439" i="12"/>
  <c r="F765" i="12"/>
  <c r="H670" i="12"/>
  <c r="H724" i="12"/>
  <c r="F345" i="12"/>
  <c r="G336" i="12"/>
  <c r="G670" i="12"/>
  <c r="G690" i="12"/>
  <c r="G436" i="12"/>
  <c r="H72" i="12"/>
  <c r="H770" i="12"/>
  <c r="H646" i="12"/>
  <c r="G794" i="12"/>
  <c r="G339" i="12"/>
  <c r="G866" i="12"/>
  <c r="H776" i="12"/>
  <c r="F826" i="12"/>
  <c r="H282" i="12"/>
  <c r="F94" i="12"/>
  <c r="G776" i="12"/>
  <c r="H793" i="12"/>
  <c r="G618" i="12"/>
  <c r="F1186" i="12"/>
  <c r="F247" i="12"/>
  <c r="F597" i="12"/>
  <c r="F617" i="12"/>
  <c r="F720" i="12"/>
  <c r="F285" i="12"/>
  <c r="F797" i="12"/>
  <c r="F707" i="12"/>
  <c r="H756" i="12"/>
  <c r="H595" i="12"/>
  <c r="H484" i="12"/>
  <c r="F712" i="12"/>
  <c r="G577" i="12"/>
  <c r="H735" i="12"/>
  <c r="H253" i="12"/>
  <c r="H802" i="12"/>
  <c r="G683" i="12"/>
  <c r="G826" i="12"/>
  <c r="F263" i="12"/>
  <c r="F808" i="12"/>
  <c r="G689" i="12"/>
  <c r="H831" i="12"/>
  <c r="F516" i="12"/>
  <c r="H903" i="12"/>
  <c r="F407" i="12"/>
  <c r="G863" i="12"/>
  <c r="F473" i="12"/>
  <c r="H823" i="12"/>
  <c r="F734" i="12"/>
  <c r="H187" i="12"/>
  <c r="H273" i="12"/>
  <c r="F819" i="12"/>
  <c r="G836" i="12"/>
  <c r="G854" i="12"/>
  <c r="G1027" i="12"/>
  <c r="F721" i="12"/>
  <c r="F983" i="12"/>
  <c r="G1165" i="12"/>
  <c r="F655" i="12"/>
  <c r="F1181" i="12"/>
  <c r="G917" i="12"/>
  <c r="H709" i="12"/>
  <c r="H107" i="12"/>
  <c r="F140" i="12"/>
  <c r="F56" i="12"/>
  <c r="G438" i="12"/>
  <c r="G59" i="12"/>
  <c r="G158" i="12"/>
  <c r="F150" i="12"/>
  <c r="G290" i="12"/>
  <c r="H56" i="12"/>
  <c r="F16" i="12"/>
  <c r="H437" i="12"/>
  <c r="G180" i="12"/>
  <c r="H97" i="12"/>
  <c r="F89" i="12"/>
  <c r="G1010" i="12"/>
  <c r="H671" i="12"/>
  <c r="H511" i="12"/>
  <c r="F322" i="12"/>
  <c r="G925" i="12"/>
  <c r="G852" i="12"/>
  <c r="F834" i="12"/>
  <c r="F189" i="12"/>
  <c r="G850" i="12"/>
  <c r="H760" i="12"/>
  <c r="F810" i="12"/>
  <c r="H26" i="12"/>
  <c r="G431" i="12"/>
  <c r="G760" i="12"/>
  <c r="H777" i="12"/>
  <c r="G600" i="12"/>
  <c r="H328" i="12"/>
  <c r="F856" i="12"/>
  <c r="F740" i="12"/>
  <c r="H879" i="12"/>
  <c r="H333" i="12"/>
  <c r="H951" i="12"/>
  <c r="G534" i="12"/>
  <c r="G911" i="12"/>
  <c r="H124" i="12"/>
  <c r="G442" i="12"/>
  <c r="H861" i="12"/>
  <c r="F879" i="12"/>
  <c r="H436" i="12"/>
  <c r="G233" i="12"/>
  <c r="G360" i="12"/>
  <c r="G694" i="12"/>
  <c r="H713" i="12"/>
  <c r="H495" i="12"/>
  <c r="H428" i="12"/>
  <c r="G882" i="12"/>
  <c r="G231" i="12"/>
  <c r="F842" i="12"/>
  <c r="F693" i="12"/>
  <c r="G243" i="12"/>
  <c r="G797" i="12"/>
  <c r="G677" i="12"/>
  <c r="F821" i="12"/>
  <c r="G365" i="12"/>
  <c r="F888" i="12"/>
  <c r="F772" i="12"/>
  <c r="H911" i="12"/>
  <c r="G371" i="12"/>
  <c r="G893" i="12"/>
  <c r="G777" i="12"/>
  <c r="F917" i="12"/>
  <c r="H434" i="12"/>
  <c r="F989" i="12"/>
  <c r="H591" i="12"/>
  <c r="H948" i="12"/>
  <c r="G521" i="12"/>
  <c r="F909" i="12"/>
  <c r="H429" i="12"/>
  <c r="F355" i="12"/>
  <c r="H541" i="12"/>
  <c r="G904" i="12"/>
  <c r="H448" i="12"/>
  <c r="G1003" i="12"/>
  <c r="H1112" i="12"/>
  <c r="H886" i="12"/>
  <c r="H1138" i="12"/>
  <c r="H1271" i="12"/>
  <c r="H441" i="12"/>
  <c r="G674" i="12"/>
  <c r="G1017" i="12"/>
  <c r="F881" i="12"/>
  <c r="H247" i="12"/>
  <c r="G556" i="12"/>
  <c r="G421" i="12"/>
  <c r="H200" i="12"/>
  <c r="F230" i="12"/>
  <c r="H243" i="12"/>
  <c r="G235" i="12"/>
  <c r="F392" i="12"/>
  <c r="G423" i="12"/>
  <c r="G144" i="12"/>
  <c r="G524" i="12"/>
  <c r="H265" i="12"/>
  <c r="F183" i="12"/>
  <c r="H118" i="12"/>
  <c r="F552" i="12"/>
  <c r="F847" i="12"/>
  <c r="F825" i="12"/>
  <c r="G429" i="12"/>
  <c r="G552" i="12"/>
  <c r="H491" i="12"/>
  <c r="G960" i="12"/>
  <c r="G294" i="12"/>
  <c r="H935" i="12"/>
  <c r="F502" i="12"/>
  <c r="G895" i="12"/>
  <c r="F103" i="12"/>
  <c r="G367" i="12"/>
  <c r="H845" i="12"/>
  <c r="F863" i="12"/>
  <c r="F359" i="12"/>
  <c r="G424" i="12"/>
  <c r="G941" i="12"/>
  <c r="G825" i="12"/>
  <c r="F453" i="12"/>
  <c r="H569" i="12"/>
  <c r="F402" i="12"/>
  <c r="G646" i="12"/>
  <c r="G480" i="12"/>
  <c r="G583" i="12"/>
  <c r="G602" i="12"/>
  <c r="F426" i="12"/>
  <c r="G545" i="12"/>
  <c r="H600" i="12"/>
  <c r="H69" i="12"/>
  <c r="H168" i="12"/>
  <c r="H781" i="12"/>
  <c r="F799" i="12"/>
  <c r="G624" i="12"/>
  <c r="H386" i="12"/>
  <c r="F387" i="12"/>
  <c r="F278" i="12"/>
  <c r="F301" i="12"/>
  <c r="H82" i="12"/>
  <c r="F329" i="12"/>
  <c r="G86" i="12"/>
  <c r="F482" i="12"/>
  <c r="H189" i="12"/>
  <c r="H229" i="12"/>
  <c r="H609" i="12"/>
  <c r="G47" i="12"/>
  <c r="F34" i="12"/>
  <c r="H466" i="12"/>
  <c r="F920" i="12"/>
  <c r="G617" i="12"/>
  <c r="G954" i="12"/>
  <c r="G262" i="12"/>
  <c r="G658" i="12"/>
  <c r="G623" i="12"/>
  <c r="G1052" i="12"/>
  <c r="H521" i="12"/>
  <c r="H304" i="12"/>
  <c r="G628" i="12"/>
  <c r="G435" i="12"/>
  <c r="H312" i="12"/>
  <c r="H582" i="12"/>
  <c r="F342" i="12"/>
  <c r="G517" i="12"/>
  <c r="F581" i="12"/>
  <c r="F317" i="12"/>
  <c r="F341" i="12"/>
  <c r="F431" i="12"/>
  <c r="F606" i="12"/>
  <c r="H346" i="12"/>
  <c r="H590" i="12"/>
  <c r="H739" i="12"/>
  <c r="H617" i="12"/>
  <c r="F357" i="12"/>
  <c r="H699" i="12"/>
  <c r="G597" i="12"/>
  <c r="F654" i="12"/>
  <c r="F365" i="12"/>
  <c r="H23" i="12"/>
  <c r="F459" i="12"/>
  <c r="F867" i="12"/>
  <c r="G884" i="12"/>
  <c r="H453" i="12"/>
  <c r="F226" i="12"/>
  <c r="G548" i="12"/>
  <c r="G361" i="12"/>
  <c r="G489" i="12"/>
  <c r="F83" i="12"/>
  <c r="G414" i="12"/>
  <c r="G17" i="12"/>
  <c r="G455" i="12"/>
  <c r="G78" i="12"/>
  <c r="F70" i="12"/>
  <c r="F695" i="12"/>
  <c r="F218" i="12"/>
  <c r="H98" i="12"/>
  <c r="G351" i="12"/>
  <c r="G1005" i="12"/>
  <c r="F714" i="12"/>
  <c r="F668" i="12"/>
  <c r="H310" i="12"/>
  <c r="H749" i="12"/>
  <c r="H412" i="12"/>
  <c r="H1137" i="12"/>
  <c r="F328" i="12"/>
  <c r="G568" i="12"/>
  <c r="H723" i="12"/>
  <c r="H599" i="12"/>
  <c r="G237" i="12"/>
  <c r="H681" i="12"/>
  <c r="H576" i="12"/>
  <c r="G635" i="12"/>
  <c r="F680" i="12"/>
  <c r="G195" i="12"/>
  <c r="G576" i="12"/>
  <c r="G598" i="12"/>
  <c r="G703" i="12"/>
  <c r="G452" i="12"/>
  <c r="F688" i="12"/>
  <c r="H544" i="12"/>
  <c r="G714" i="12"/>
  <c r="G531" i="12"/>
  <c r="G786" i="12"/>
  <c r="H694" i="12"/>
  <c r="F746" i="12"/>
  <c r="F582" i="12"/>
  <c r="H668" i="12"/>
  <c r="G608" i="12"/>
  <c r="G447" i="12"/>
  <c r="G555" i="12"/>
  <c r="H606" i="12"/>
  <c r="G329" i="12"/>
  <c r="H164" i="12"/>
  <c r="H197" i="12"/>
  <c r="G244" i="12"/>
  <c r="H513" i="12"/>
  <c r="H46" i="12"/>
  <c r="F188" i="12"/>
  <c r="F541" i="12"/>
  <c r="H163" i="12"/>
  <c r="G155" i="12"/>
  <c r="F299" i="12"/>
  <c r="F85" i="12"/>
  <c r="H13" i="12"/>
  <c r="G51" i="12"/>
  <c r="H543" i="12"/>
  <c r="G799" i="12"/>
  <c r="G864" i="12"/>
  <c r="G407" i="12"/>
  <c r="F835" i="12"/>
  <c r="F593" i="12"/>
  <c r="F1223" i="12"/>
  <c r="F435" i="12"/>
  <c r="F670" i="12"/>
  <c r="H516" i="12"/>
  <c r="F697" i="12"/>
  <c r="F445" i="12"/>
  <c r="G770" i="12"/>
  <c r="H676" i="12"/>
  <c r="F730" i="12"/>
  <c r="G430" i="12"/>
  <c r="G342" i="12"/>
  <c r="G676" i="12"/>
  <c r="G696" i="12"/>
  <c r="G453" i="12"/>
  <c r="F158" i="12"/>
  <c r="F776" i="12"/>
  <c r="G653" i="12"/>
  <c r="H799" i="12"/>
  <c r="H411" i="12"/>
  <c r="H871" i="12"/>
  <c r="F782" i="12"/>
  <c r="G831" i="12"/>
  <c r="F681" i="12"/>
  <c r="F363" i="12"/>
  <c r="F706" i="12"/>
  <c r="G603" i="12"/>
  <c r="F660" i="12"/>
  <c r="H396" i="12"/>
  <c r="H165" i="12"/>
  <c r="G214" i="12"/>
  <c r="H151" i="12"/>
  <c r="G111" i="12"/>
  <c r="H449" i="12"/>
  <c r="G84" i="12"/>
  <c r="G273" i="12"/>
  <c r="H248" i="12"/>
  <c r="F249" i="12"/>
  <c r="H91" i="12"/>
  <c r="F258" i="12"/>
  <c r="G170" i="12"/>
  <c r="F99" i="12"/>
  <c r="G189" i="12"/>
  <c r="H651" i="12"/>
  <c r="H884" i="12"/>
  <c r="G979" i="12"/>
  <c r="G396" i="12"/>
  <c r="G211" i="12"/>
  <c r="F691" i="12"/>
  <c r="H692" i="12"/>
  <c r="F270" i="12"/>
  <c r="F760" i="12"/>
  <c r="H634" i="12"/>
  <c r="H783" i="12"/>
  <c r="G327" i="12"/>
  <c r="H855" i="12"/>
  <c r="F766" i="12"/>
  <c r="G815" i="12"/>
  <c r="F112" i="12"/>
  <c r="F437" i="12"/>
  <c r="H765" i="12"/>
  <c r="F783" i="12"/>
  <c r="G606" i="12"/>
  <c r="G335" i="12"/>
  <c r="G861" i="12"/>
  <c r="G745" i="12"/>
  <c r="F885" i="12"/>
  <c r="G340" i="12"/>
  <c r="F957" i="12"/>
  <c r="G544" i="12"/>
  <c r="H916" i="12"/>
  <c r="G710" i="12"/>
  <c r="H277" i="12"/>
  <c r="H791" i="12"/>
  <c r="G701" i="12"/>
  <c r="G751" i="12"/>
  <c r="H589" i="12"/>
  <c r="F227" i="12"/>
  <c r="F792" i="12"/>
  <c r="G671" i="12"/>
  <c r="H815" i="12"/>
  <c r="F15" i="12"/>
  <c r="F373" i="12"/>
  <c r="H706" i="12"/>
  <c r="G724" i="12"/>
  <c r="H80" i="12"/>
  <c r="F232" i="12"/>
  <c r="H797" i="12"/>
  <c r="F815" i="12"/>
  <c r="F166" i="12"/>
  <c r="G247" i="12"/>
  <c r="F803" i="12"/>
  <c r="G820" i="12"/>
  <c r="F649" i="12"/>
  <c r="F378" i="12"/>
  <c r="H898" i="12"/>
  <c r="H782" i="12"/>
  <c r="G922" i="12"/>
  <c r="H279" i="12"/>
  <c r="H818" i="12"/>
  <c r="F702" i="12"/>
  <c r="G484" i="12"/>
  <c r="H999" i="12"/>
  <c r="H119" i="12"/>
  <c r="H385" i="12"/>
  <c r="H331" i="12"/>
  <c r="H224" i="12"/>
  <c r="F237" i="12"/>
  <c r="H169" i="12"/>
  <c r="F87" i="12"/>
  <c r="H362" i="12"/>
  <c r="G334" i="12"/>
  <c r="H22" i="12"/>
  <c r="G368" i="12"/>
  <c r="G21" i="12"/>
  <c r="F216" i="12"/>
  <c r="H505" i="12"/>
  <c r="H829" i="12"/>
  <c r="H384" i="12"/>
  <c r="H1068" i="12"/>
  <c r="G324" i="12"/>
  <c r="F561" i="12"/>
  <c r="G778" i="12"/>
  <c r="G985" i="12"/>
  <c r="H316" i="12"/>
  <c r="G845" i="12"/>
  <c r="G729" i="12"/>
  <c r="F869" i="12"/>
  <c r="H309" i="12"/>
  <c r="F941" i="12"/>
  <c r="G513" i="12"/>
  <c r="H900" i="12"/>
  <c r="G188" i="12"/>
  <c r="G401" i="12"/>
  <c r="F851" i="12"/>
  <c r="G868" i="12"/>
  <c r="H390" i="12"/>
  <c r="F430" i="12"/>
  <c r="H946" i="12"/>
  <c r="H830" i="12"/>
  <c r="G465" i="12"/>
  <c r="F575" i="12"/>
  <c r="H424" i="12"/>
  <c r="F653" i="12"/>
  <c r="F492" i="12"/>
  <c r="H881" i="12"/>
  <c r="F423" i="12"/>
  <c r="F877" i="12"/>
  <c r="G787" i="12"/>
  <c r="H836" i="12"/>
  <c r="F687" i="12"/>
  <c r="G353" i="12"/>
  <c r="G877" i="12"/>
  <c r="G761" i="12"/>
  <c r="F901" i="12"/>
  <c r="G240" i="12"/>
  <c r="H215" i="12"/>
  <c r="G792" i="12"/>
  <c r="H809" i="12"/>
  <c r="F104" i="12"/>
  <c r="H500" i="12"/>
  <c r="F883" i="12"/>
  <c r="H348" i="12"/>
  <c r="F19" i="12"/>
  <c r="F512" i="12"/>
  <c r="G888" i="12"/>
  <c r="H383" i="12"/>
  <c r="G507" i="12"/>
  <c r="F254" i="12"/>
  <c r="F984" i="12"/>
  <c r="F868" i="12"/>
  <c r="F547" i="12"/>
  <c r="F384" i="12"/>
  <c r="F904" i="12"/>
  <c r="F788" i="12"/>
  <c r="H301" i="12"/>
  <c r="G533" i="12"/>
  <c r="H701" i="12"/>
  <c r="H290" i="12"/>
  <c r="H498" i="12"/>
  <c r="G526" i="12"/>
  <c r="F161" i="12"/>
  <c r="H356" i="12"/>
  <c r="F255" i="12"/>
  <c r="G172" i="12"/>
  <c r="H204" i="12"/>
  <c r="F308" i="12"/>
  <c r="F108" i="12"/>
  <c r="F461" i="12"/>
  <c r="H106" i="12"/>
  <c r="G443" i="12"/>
  <c r="H401" i="12"/>
  <c r="F554" i="12"/>
  <c r="H586" i="12"/>
  <c r="F1154" i="12"/>
  <c r="F420" i="12"/>
  <c r="G622" i="12"/>
  <c r="H863" i="12"/>
  <c r="F1074" i="12"/>
  <c r="F413" i="12"/>
  <c r="H930" i="12"/>
  <c r="H814" i="12"/>
  <c r="G413" i="12"/>
  <c r="F527" i="12"/>
  <c r="H336" i="12"/>
  <c r="G634" i="12"/>
  <c r="H452" i="12"/>
  <c r="H409" i="12"/>
  <c r="G590" i="12"/>
  <c r="G373" i="12"/>
  <c r="H527" i="12"/>
  <c r="H587" i="12"/>
  <c r="F323" i="12"/>
  <c r="H372" i="12"/>
  <c r="G448" i="12"/>
  <c r="F612" i="12"/>
  <c r="H352" i="12"/>
  <c r="H596" i="12"/>
  <c r="F745" i="12"/>
  <c r="H623" i="12"/>
  <c r="F991" i="12"/>
  <c r="G346" i="12"/>
  <c r="G962" i="12"/>
  <c r="G554" i="12"/>
  <c r="F922" i="12"/>
  <c r="F727" i="12"/>
  <c r="H194" i="12"/>
  <c r="H962" i="12"/>
  <c r="H846" i="12"/>
  <c r="H506" i="12"/>
  <c r="H18" i="12"/>
  <c r="G486" i="12"/>
  <c r="H877" i="12"/>
  <c r="G317" i="12"/>
  <c r="H471" i="12"/>
  <c r="F627" i="12"/>
  <c r="G490" i="12"/>
  <c r="F579" i="12"/>
  <c r="F557" i="12"/>
  <c r="F633" i="12"/>
  <c r="H501" i="12"/>
  <c r="G586" i="12"/>
  <c r="H630" i="12"/>
  <c r="H365" i="12"/>
  <c r="G501" i="12"/>
  <c r="F536" i="12"/>
  <c r="H654" i="12"/>
  <c r="G263" i="12"/>
  <c r="G989" i="12"/>
  <c r="G873" i="12"/>
  <c r="G412" i="12"/>
  <c r="G645" i="12"/>
  <c r="F464" i="12"/>
  <c r="F643" i="12"/>
  <c r="H1175" i="12"/>
  <c r="H908" i="12"/>
  <c r="H691" i="12"/>
  <c r="H1264" i="12"/>
  <c r="H1181" i="12"/>
  <c r="F882" i="12"/>
  <c r="H1032" i="12"/>
  <c r="H736" i="12"/>
  <c r="F995" i="12"/>
  <c r="G494" i="12"/>
  <c r="G376" i="12"/>
  <c r="G148" i="12"/>
  <c r="H77" i="12"/>
  <c r="F450" i="12"/>
  <c r="H36" i="12"/>
  <c r="G23" i="12"/>
  <c r="F439" i="12"/>
  <c r="G393" i="12"/>
  <c r="G193" i="12"/>
  <c r="G546" i="12"/>
  <c r="F192" i="12"/>
  <c r="F615" i="12"/>
  <c r="H288" i="12"/>
  <c r="H658" i="12"/>
  <c r="F354" i="12"/>
  <c r="G1239" i="12"/>
  <c r="F302" i="12"/>
  <c r="G718" i="12"/>
  <c r="G385" i="12"/>
  <c r="G1159" i="12"/>
  <c r="G304" i="12"/>
  <c r="F195" i="12"/>
  <c r="G379" i="12"/>
  <c r="G593" i="12"/>
  <c r="F334" i="12"/>
  <c r="F576" i="12"/>
  <c r="F729" i="12"/>
  <c r="H605" i="12"/>
  <c r="G250" i="12"/>
  <c r="H687" i="12"/>
  <c r="H584" i="12"/>
  <c r="G641" i="12"/>
  <c r="F296" i="12"/>
  <c r="G215" i="12"/>
  <c r="G584" i="12"/>
  <c r="F605" i="12"/>
  <c r="F709" i="12"/>
  <c r="H468" i="12"/>
  <c r="F694" i="12"/>
  <c r="H554" i="12"/>
  <c r="H719" i="12"/>
  <c r="F1079" i="12"/>
  <c r="G580" i="12"/>
  <c r="F443" i="12"/>
  <c r="F659" i="12"/>
  <c r="G506" i="12"/>
  <c r="H890" i="12"/>
  <c r="H341" i="12"/>
  <c r="F447" i="12"/>
  <c r="G491" i="12"/>
  <c r="F630" i="12"/>
  <c r="G380" i="12"/>
  <c r="F621" i="12"/>
  <c r="G475" i="12"/>
  <c r="F571" i="12"/>
  <c r="F456" i="12"/>
  <c r="G722" i="12"/>
  <c r="F622" i="12"/>
  <c r="F678" i="12"/>
  <c r="G184" i="12"/>
  <c r="H727" i="12"/>
  <c r="F628" i="12"/>
  <c r="F684" i="12"/>
  <c r="G470" i="12"/>
  <c r="G289" i="12"/>
  <c r="H627" i="12"/>
  <c r="H647" i="12"/>
  <c r="F361" i="12"/>
  <c r="H217" i="12"/>
  <c r="H128" i="12"/>
  <c r="F325" i="12"/>
  <c r="F184" i="12"/>
  <c r="G207" i="12"/>
  <c r="F88" i="12"/>
  <c r="F126" i="12"/>
  <c r="H89" i="12"/>
  <c r="H278" i="12"/>
  <c r="H368" i="12"/>
  <c r="G75" i="12"/>
  <c r="G700" i="12"/>
  <c r="G390" i="12"/>
  <c r="F750" i="12"/>
  <c r="H579" i="12"/>
  <c r="G891" i="12"/>
  <c r="F568" i="12"/>
  <c r="G502" i="12"/>
  <c r="G685" i="12"/>
  <c r="H1244" i="12"/>
  <c r="H88" i="12"/>
  <c r="H560" i="12"/>
  <c r="F586" i="12"/>
  <c r="G691" i="12"/>
  <c r="H440" i="12"/>
  <c r="F676" i="12"/>
  <c r="H525" i="12"/>
  <c r="F703" i="12"/>
  <c r="H520" i="12"/>
  <c r="H775" i="12"/>
  <c r="H682" i="12"/>
  <c r="G735" i="12"/>
  <c r="H62" i="12"/>
  <c r="G348" i="12"/>
  <c r="G682" i="12"/>
  <c r="G702" i="12"/>
  <c r="F469" i="12"/>
  <c r="G194" i="12"/>
  <c r="G781" i="12"/>
  <c r="G659" i="12"/>
  <c r="F805" i="12"/>
  <c r="G1164" i="12"/>
  <c r="H358" i="12"/>
  <c r="H602" i="12"/>
  <c r="F246" i="12"/>
  <c r="H42" i="12"/>
  <c r="F198" i="12"/>
  <c r="F152" i="12"/>
  <c r="H220" i="12"/>
  <c r="G338" i="12"/>
  <c r="G74" i="12"/>
  <c r="G173" i="12"/>
  <c r="H332" i="12"/>
  <c r="F175" i="12"/>
  <c r="G92" i="12"/>
  <c r="F169" i="12"/>
  <c r="H160" i="12"/>
  <c r="F306" i="12"/>
  <c r="H317" i="12"/>
  <c r="H475" i="12"/>
  <c r="H678" i="12"/>
  <c r="G174" i="12"/>
  <c r="H669" i="12"/>
  <c r="H628" i="12"/>
  <c r="H389" i="12"/>
  <c r="F743" i="12"/>
  <c r="G330" i="12"/>
  <c r="G664" i="12"/>
  <c r="H683" i="12"/>
  <c r="H413" i="12"/>
  <c r="G279" i="12"/>
  <c r="G765" i="12"/>
  <c r="H640" i="12"/>
  <c r="F789" i="12"/>
  <c r="G333" i="12"/>
  <c r="F861" i="12"/>
  <c r="G771" i="12"/>
  <c r="H820" i="12"/>
  <c r="G197" i="12"/>
  <c r="H442" i="12"/>
  <c r="F771" i="12"/>
  <c r="G788" i="12"/>
  <c r="G612" i="12"/>
  <c r="G341" i="12"/>
  <c r="H866" i="12"/>
  <c r="H750" i="12"/>
  <c r="G890" i="12"/>
  <c r="H1249" i="12"/>
  <c r="F474" i="12"/>
  <c r="F700" i="12"/>
  <c r="H562" i="12"/>
  <c r="F725" i="12"/>
  <c r="F119" i="12"/>
  <c r="F51" i="12"/>
  <c r="H519" i="12"/>
  <c r="G444" i="12"/>
  <c r="F510" i="12"/>
  <c r="H159" i="12"/>
  <c r="G88" i="12"/>
  <c r="F428" i="12"/>
  <c r="F42" i="12"/>
  <c r="G98" i="12"/>
  <c r="G254" i="12"/>
  <c r="H11" i="12"/>
  <c r="F404" i="12"/>
  <c r="G83" i="12"/>
  <c r="G616" i="12"/>
  <c r="H354" i="12"/>
  <c r="G90" i="12"/>
  <c r="G163" i="12"/>
  <c r="F724" i="12"/>
  <c r="G587" i="12"/>
  <c r="G899" i="12"/>
  <c r="H425" i="12"/>
  <c r="F755" i="12"/>
  <c r="G772" i="12"/>
  <c r="G594" i="12"/>
  <c r="H322" i="12"/>
  <c r="H850" i="12"/>
  <c r="H734" i="12"/>
  <c r="G874" i="12"/>
  <c r="H321" i="12"/>
  <c r="G946" i="12"/>
  <c r="G525" i="12"/>
  <c r="F906" i="12"/>
  <c r="G39" i="12"/>
  <c r="F424" i="12"/>
  <c r="G856" i="12"/>
  <c r="H873" i="12"/>
  <c r="H414" i="12"/>
  <c r="F78" i="12"/>
  <c r="F952" i="12"/>
  <c r="F836" i="12"/>
  <c r="G331" i="12"/>
  <c r="F589" i="12"/>
  <c r="H394" i="12"/>
  <c r="H494" i="12"/>
  <c r="G259" i="12"/>
  <c r="H10" i="12"/>
  <c r="H173" i="12"/>
  <c r="G515" i="12"/>
  <c r="H212" i="12"/>
  <c r="H183" i="12"/>
  <c r="H339" i="12"/>
  <c r="F97" i="12"/>
  <c r="H492" i="12"/>
  <c r="H663" i="12"/>
  <c r="F713" i="12"/>
  <c r="H679" i="12"/>
  <c r="F204" i="12"/>
  <c r="G560" i="12"/>
  <c r="G809" i="12"/>
  <c r="F289" i="12"/>
  <c r="H17" i="12"/>
  <c r="F336" i="12"/>
  <c r="G840" i="12"/>
  <c r="H857" i="12"/>
  <c r="H324" i="12"/>
  <c r="H418" i="12"/>
  <c r="F936" i="12"/>
  <c r="F820" i="12"/>
  <c r="F436" i="12"/>
  <c r="G564" i="12"/>
  <c r="F371" i="12"/>
  <c r="G640" i="12"/>
  <c r="F465" i="12"/>
  <c r="F498" i="12"/>
  <c r="G596" i="12"/>
  <c r="F403" i="12"/>
  <c r="G536" i="12"/>
  <c r="H594" i="12"/>
  <c r="H329" i="12"/>
  <c r="G402" i="12"/>
  <c r="G464" i="12"/>
  <c r="F618" i="12"/>
  <c r="H913" i="12"/>
  <c r="G347" i="12"/>
  <c r="F872" i="12"/>
  <c r="F756" i="12"/>
  <c r="G369" i="12"/>
  <c r="F468" i="12"/>
  <c r="G68" i="12"/>
  <c r="H315" i="12"/>
  <c r="H369" i="12"/>
  <c r="F96" i="12"/>
  <c r="F432" i="12"/>
  <c r="G321" i="12"/>
  <c r="F298" i="12"/>
  <c r="G93" i="12"/>
  <c r="F425" i="12"/>
  <c r="F28" i="12"/>
  <c r="G466" i="12"/>
  <c r="G754" i="12"/>
  <c r="F804" i="12"/>
  <c r="G661" i="12"/>
  <c r="G620" i="12"/>
  <c r="F664" i="12"/>
  <c r="H578" i="12"/>
  <c r="G565" i="12"/>
  <c r="H705" i="12"/>
  <c r="H575" i="12"/>
  <c r="G310" i="12"/>
  <c r="F506" i="12"/>
  <c r="G573" i="12"/>
  <c r="F311" i="12"/>
  <c r="G305" i="12"/>
  <c r="F408" i="12"/>
  <c r="F600" i="12"/>
  <c r="H340" i="12"/>
  <c r="F584" i="12"/>
  <c r="G734" i="12"/>
  <c r="H611" i="12"/>
  <c r="F351" i="12"/>
  <c r="H693" i="12"/>
  <c r="G591" i="12"/>
  <c r="F648" i="12"/>
  <c r="H330" i="12"/>
  <c r="H231" i="12"/>
  <c r="F591" i="12"/>
  <c r="F611" i="12"/>
  <c r="H714" i="12"/>
  <c r="G1015" i="12"/>
  <c r="F163" i="12"/>
  <c r="G957" i="12"/>
  <c r="G841" i="12"/>
  <c r="G495" i="12"/>
  <c r="H274" i="12"/>
  <c r="G614" i="12"/>
  <c r="F460" i="12"/>
  <c r="G563" i="12"/>
  <c r="H612" i="12"/>
  <c r="G110" i="12"/>
  <c r="F472" i="12"/>
  <c r="H708" i="12"/>
  <c r="G425" i="12"/>
  <c r="G256" i="12"/>
  <c r="F312" i="12"/>
  <c r="G742" i="12"/>
  <c r="H887" i="12"/>
  <c r="H502" i="12"/>
  <c r="G389" i="12"/>
  <c r="F718" i="12"/>
  <c r="G528" i="12"/>
  <c r="H983" i="12"/>
  <c r="F641" i="12"/>
  <c r="F205" i="12"/>
  <c r="F723" i="12"/>
  <c r="H555" i="12"/>
  <c r="G296" i="12"/>
  <c r="F640" i="12"/>
  <c r="H226" i="12"/>
  <c r="H639" i="12"/>
  <c r="F739" i="12"/>
  <c r="G1090" i="12"/>
  <c r="F619" i="12"/>
  <c r="G1414" i="12"/>
  <c r="G1195" i="12"/>
  <c r="H1185" i="12"/>
  <c r="G769" i="12"/>
  <c r="F880" i="12"/>
  <c r="H1270" i="12"/>
  <c r="F1189" i="12"/>
  <c r="F891" i="12"/>
  <c r="F1038" i="12"/>
  <c r="H748" i="12"/>
  <c r="F544" i="12"/>
  <c r="G757" i="12"/>
  <c r="H1027" i="12"/>
  <c r="G737" i="12"/>
  <c r="F673" i="12"/>
  <c r="F1197" i="12"/>
  <c r="H937" i="12"/>
  <c r="G753" i="12"/>
  <c r="F979" i="12"/>
  <c r="G875" i="12"/>
  <c r="G894" i="12"/>
  <c r="F1270" i="12"/>
  <c r="H928" i="12"/>
  <c r="G1059" i="12"/>
  <c r="H792" i="12"/>
  <c r="H1044" i="12"/>
  <c r="G816" i="12"/>
  <c r="H731" i="12"/>
  <c r="G759" i="12"/>
  <c r="H1178" i="12"/>
  <c r="G897" i="12"/>
  <c r="F777" i="12"/>
  <c r="H980" i="12"/>
  <c r="G391" i="12"/>
  <c r="G1542" i="12"/>
  <c r="G716" i="12"/>
  <c r="G929" i="12"/>
  <c r="G1145" i="12"/>
  <c r="F1052" i="12"/>
  <c r="G1484" i="12"/>
  <c r="F794" i="12"/>
  <c r="F967" i="12"/>
  <c r="G1150" i="12"/>
  <c r="F595" i="12"/>
  <c r="F1031" i="12"/>
  <c r="F923" i="12"/>
  <c r="G938" i="12"/>
  <c r="G1302" i="12"/>
  <c r="H1084" i="12"/>
  <c r="H698" i="12"/>
  <c r="G549" i="12"/>
  <c r="H1265" i="12"/>
  <c r="F908" i="12"/>
  <c r="H1129" i="12"/>
  <c r="G835" i="12"/>
  <c r="H1016" i="12"/>
  <c r="H685" i="12"/>
  <c r="H1329" i="12"/>
  <c r="F998" i="12"/>
  <c r="H926" i="12"/>
  <c r="F1274" i="12"/>
  <c r="H1630" i="12"/>
  <c r="G52" i="12"/>
  <c r="H754" i="12"/>
  <c r="F526" i="12"/>
  <c r="G665" i="12"/>
  <c r="F367" i="12"/>
  <c r="G570" i="12"/>
  <c r="H897" i="12"/>
  <c r="F973" i="12"/>
  <c r="F629" i="12"/>
  <c r="G67" i="12"/>
  <c r="H342" i="12"/>
  <c r="H642" i="12"/>
  <c r="F501" i="12"/>
  <c r="F735" i="12"/>
  <c r="G394" i="12"/>
  <c r="G808" i="12"/>
  <c r="G660" i="12"/>
  <c r="F397" i="12"/>
  <c r="H597" i="12"/>
  <c r="G288" i="12"/>
  <c r="H733" i="12"/>
  <c r="G756" i="12"/>
  <c r="H638" i="12"/>
  <c r="F849" i="12"/>
  <c r="H1499" i="12"/>
  <c r="G1293" i="12"/>
  <c r="F566" i="12"/>
  <c r="G916" i="12"/>
  <c r="H752" i="12"/>
  <c r="G1356" i="12"/>
  <c r="G1288" i="12"/>
  <c r="H1020" i="12"/>
  <c r="G1123" i="12"/>
  <c r="G902" i="12"/>
  <c r="G605" i="12"/>
  <c r="H921" i="12"/>
  <c r="F1113" i="12"/>
  <c r="F896" i="12"/>
  <c r="F497" i="12"/>
  <c r="G731" i="12"/>
  <c r="G1033" i="12"/>
  <c r="F905" i="12"/>
  <c r="H1105" i="12"/>
  <c r="G575" i="12"/>
  <c r="G1000" i="12"/>
  <c r="H1355" i="12"/>
  <c r="F1042" i="12"/>
  <c r="F470" i="12"/>
  <c r="F932" i="12"/>
  <c r="F1187" i="12"/>
  <c r="F1009" i="12"/>
  <c r="F892" i="12"/>
  <c r="F910" i="12"/>
  <c r="F1281" i="12"/>
  <c r="H1101" i="12"/>
  <c r="F942" i="12"/>
  <c r="F1070" i="12"/>
  <c r="H811" i="12"/>
  <c r="G1062" i="12"/>
  <c r="F854" i="12"/>
  <c r="F758" i="12"/>
  <c r="H780" i="12"/>
  <c r="H1193" i="12"/>
  <c r="F964" i="12"/>
  <c r="G842" i="12"/>
  <c r="G1058" i="12"/>
  <c r="H649" i="12"/>
  <c r="H842" i="12"/>
  <c r="G1148" i="12"/>
  <c r="F732" i="12"/>
  <c r="H1033" i="12"/>
  <c r="F396" i="12"/>
  <c r="G1191" i="12"/>
  <c r="F876" i="12"/>
  <c r="F832" i="12"/>
  <c r="H826" i="12"/>
  <c r="G1011" i="12"/>
  <c r="H650" i="12"/>
  <c r="G991" i="12"/>
  <c r="F1102" i="12"/>
  <c r="G869" i="12"/>
  <c r="F1447" i="12"/>
  <c r="F1150" i="12"/>
  <c r="H1106" i="12"/>
  <c r="H1439" i="12"/>
  <c r="G1346" i="12"/>
  <c r="H48" i="12"/>
  <c r="H677" i="12"/>
  <c r="F781" i="12"/>
  <c r="H479" i="12"/>
  <c r="G199" i="12"/>
  <c r="F623" i="12"/>
  <c r="F1003" i="12"/>
  <c r="H474" i="12"/>
  <c r="F672" i="12"/>
  <c r="G227" i="12"/>
  <c r="F577" i="12"/>
  <c r="F736" i="12"/>
  <c r="G627" i="12"/>
  <c r="H772" i="12"/>
  <c r="F279" i="12"/>
  <c r="H893" i="12"/>
  <c r="H751" i="12"/>
  <c r="G264" i="12"/>
  <c r="H695" i="12"/>
  <c r="F390" i="12"/>
  <c r="F534" i="12"/>
  <c r="F353" i="12"/>
  <c r="F855" i="12"/>
  <c r="H969" i="12"/>
  <c r="G1252" i="12"/>
  <c r="H1378" i="12"/>
  <c r="G1009" i="12"/>
  <c r="F1017" i="12"/>
  <c r="G903" i="12"/>
  <c r="H1441" i="12"/>
  <c r="F449" i="12"/>
  <c r="F1122" i="12"/>
  <c r="F780" i="12"/>
  <c r="G721" i="12"/>
  <c r="G579" i="12"/>
  <c r="F1021" i="12"/>
  <c r="G1198" i="12"/>
  <c r="F774" i="12"/>
  <c r="F669" i="12"/>
  <c r="H891" i="12"/>
  <c r="H1118" i="12"/>
  <c r="F1004" i="12"/>
  <c r="F1207" i="12"/>
  <c r="F838" i="12"/>
  <c r="F79" i="12"/>
  <c r="G667" i="12"/>
  <c r="H688" i="12"/>
  <c r="H629" i="12"/>
  <c r="G474" i="12"/>
  <c r="F719" i="12"/>
  <c r="H1089" i="12"/>
  <c r="H614" i="12"/>
  <c r="F762" i="12"/>
  <c r="H353" i="12"/>
  <c r="F677" i="12"/>
  <c r="H185" i="12"/>
  <c r="H722" i="12"/>
  <c r="F858" i="12"/>
  <c r="F401" i="12"/>
  <c r="F513" i="12"/>
  <c r="F837" i="12"/>
  <c r="F533" i="12"/>
  <c r="F448" i="12"/>
  <c r="G272" i="12"/>
  <c r="F646" i="12"/>
  <c r="F556" i="12"/>
  <c r="G529" i="12"/>
  <c r="G1060" i="12"/>
  <c r="F1340" i="12"/>
  <c r="F1464" i="12"/>
  <c r="H1116" i="12"/>
  <c r="G1102" i="12"/>
  <c r="G971" i="12"/>
  <c r="F1527" i="12"/>
  <c r="H550" i="12"/>
  <c r="G1223" i="12"/>
  <c r="H923" i="12"/>
  <c r="F887" i="12"/>
  <c r="H660" i="12"/>
  <c r="G1106" i="12"/>
  <c r="F791" i="12"/>
  <c r="F919" i="12"/>
  <c r="F786" i="12"/>
  <c r="H674" i="12"/>
  <c r="H720" i="12"/>
  <c r="F1155" i="12"/>
  <c r="G727" i="12"/>
  <c r="F962" i="12"/>
  <c r="G462" i="12"/>
  <c r="F221" i="12"/>
  <c r="H740" i="12"/>
  <c r="G810" i="12"/>
  <c r="H711" i="12"/>
  <c r="G804" i="12"/>
  <c r="G450" i="12"/>
  <c r="H882" i="12"/>
  <c r="G847" i="12"/>
  <c r="F273" i="12"/>
  <c r="H378" i="12"/>
  <c r="G388" i="12"/>
  <c r="H978" i="12"/>
  <c r="G943" i="12"/>
  <c r="F190" i="12"/>
  <c r="F634" i="12"/>
  <c r="H746" i="12"/>
  <c r="F645" i="12"/>
  <c r="F604" i="12"/>
  <c r="G378" i="12"/>
  <c r="G739" i="12"/>
  <c r="G655" i="12"/>
  <c r="H827" i="12"/>
  <c r="H1145" i="12"/>
  <c r="G1425" i="12"/>
  <c r="G1037" i="12"/>
  <c r="F1218" i="12"/>
  <c r="H1187" i="12"/>
  <c r="G1128" i="12"/>
  <c r="G1045" i="12"/>
  <c r="H909" i="12"/>
  <c r="F715" i="12"/>
  <c r="G1022" i="12"/>
  <c r="F722" i="12"/>
  <c r="F667" i="12"/>
  <c r="H1191" i="12"/>
  <c r="G931" i="12"/>
  <c r="H741" i="12"/>
  <c r="G972" i="12"/>
  <c r="G865" i="12"/>
  <c r="G886" i="12"/>
  <c r="F1264" i="12"/>
  <c r="G921" i="12"/>
  <c r="F1054" i="12"/>
  <c r="G181" i="12"/>
  <c r="H675" i="12"/>
  <c r="F148" i="12"/>
  <c r="H895" i="12"/>
  <c r="H967" i="12"/>
  <c r="H263" i="12"/>
  <c r="H293" i="12"/>
  <c r="F968" i="12"/>
  <c r="H932" i="12"/>
  <c r="F379" i="12"/>
  <c r="H585" i="12"/>
  <c r="H510" i="12"/>
  <c r="F490" i="12"/>
  <c r="H546" i="12"/>
  <c r="H271" i="12"/>
  <c r="H728" i="12"/>
  <c r="H548" i="12"/>
  <c r="G738" i="12"/>
  <c r="F545" i="12"/>
  <c r="F305" i="12"/>
  <c r="H447" i="12"/>
  <c r="G632" i="12"/>
  <c r="H955" i="12"/>
  <c r="F686" i="12"/>
  <c r="H1510" i="12"/>
  <c r="F1283" i="12"/>
  <c r="G693" i="12"/>
  <c r="H769" i="12"/>
  <c r="F1246" i="12"/>
  <c r="F1188" i="12"/>
  <c r="H464" i="12"/>
  <c r="F914" i="12"/>
  <c r="H1107" i="12"/>
  <c r="G887" i="12"/>
  <c r="H485" i="12"/>
  <c r="G715" i="12"/>
  <c r="F1028" i="12"/>
  <c r="F897" i="12"/>
  <c r="G1100" i="12"/>
  <c r="H530" i="12"/>
  <c r="H993" i="12"/>
  <c r="G1350" i="12"/>
  <c r="H1036" i="12"/>
  <c r="F360" i="12"/>
  <c r="G604" i="12"/>
  <c r="F569" i="12"/>
  <c r="G354" i="12"/>
  <c r="F624" i="12"/>
  <c r="G459" i="12"/>
  <c r="F666" i="12"/>
  <c r="G434" i="12"/>
  <c r="H459" i="12"/>
  <c r="F528" i="12"/>
  <c r="H807" i="12"/>
  <c r="G857" i="12"/>
  <c r="F429" i="12"/>
  <c r="H621" i="12"/>
  <c r="G654" i="12"/>
  <c r="F391" i="12"/>
  <c r="F689" i="12"/>
  <c r="H52" i="12"/>
  <c r="G994" i="12"/>
  <c r="H653" i="12"/>
  <c r="H402" i="12"/>
  <c r="H603" i="12"/>
  <c r="G692" i="12"/>
  <c r="G790" i="12"/>
  <c r="H869" i="12"/>
  <c r="H1006" i="12"/>
  <c r="G33" i="12"/>
  <c r="F907" i="12"/>
  <c r="H1102" i="12"/>
  <c r="G1334" i="12"/>
  <c r="G1287" i="12"/>
  <c r="G571" i="12"/>
  <c r="H1015" i="12"/>
  <c r="F1193" i="12"/>
  <c r="G763" i="12"/>
  <c r="G662" i="12"/>
  <c r="H883" i="12"/>
  <c r="G1113" i="12"/>
  <c r="F994" i="12"/>
  <c r="H1201" i="12"/>
  <c r="F828" i="12"/>
  <c r="H1081" i="12"/>
  <c r="H483" i="12"/>
  <c r="F1138" i="12"/>
  <c r="H810" i="12"/>
  <c r="H762" i="12"/>
  <c r="G678" i="12"/>
  <c r="F1037" i="12"/>
  <c r="H470" i="12"/>
  <c r="H803" i="12"/>
  <c r="H1062" i="12"/>
  <c r="G1047" i="12"/>
  <c r="H532" i="12"/>
  <c r="H938" i="12"/>
  <c r="F1194" i="12"/>
  <c r="G783" i="12"/>
  <c r="F955" i="12"/>
  <c r="H1139" i="12"/>
  <c r="H496" i="12"/>
  <c r="F738" i="12"/>
  <c r="G948" i="12"/>
  <c r="G1075" i="12"/>
  <c r="H821" i="12"/>
  <c r="G1072" i="12"/>
  <c r="G1229" i="12"/>
  <c r="F864" i="12"/>
  <c r="H768" i="12"/>
  <c r="G791" i="12"/>
  <c r="G295" i="12"/>
  <c r="H1180" i="12"/>
  <c r="F866" i="12"/>
  <c r="F822" i="12"/>
  <c r="G557" i="12"/>
  <c r="G1154" i="12"/>
  <c r="G417" i="12"/>
  <c r="G629" i="12"/>
  <c r="G688" i="12"/>
  <c r="F997" i="12"/>
  <c r="H608" i="12"/>
  <c r="G927" i="12"/>
  <c r="G406" i="12"/>
  <c r="F609" i="12"/>
  <c r="G642" i="12"/>
  <c r="F893" i="12"/>
  <c r="F517" i="12"/>
  <c r="H242" i="12"/>
  <c r="H717" i="12"/>
  <c r="G746" i="12"/>
  <c r="H256" i="12"/>
  <c r="H430" i="12"/>
  <c r="G102" i="12"/>
  <c r="G523" i="12"/>
  <c r="H745" i="12"/>
  <c r="F651" i="12"/>
  <c r="H610" i="12"/>
  <c r="H934" i="12"/>
  <c r="F930" i="12"/>
  <c r="G686" i="12"/>
  <c r="H1156" i="12"/>
  <c r="G282" i="12"/>
  <c r="H1009" i="12"/>
  <c r="F650" i="12"/>
  <c r="H1419" i="12"/>
  <c r="H1026" i="12"/>
  <c r="H571" i="12"/>
  <c r="F1101" i="12"/>
  <c r="G780" i="12"/>
  <c r="F912" i="12"/>
  <c r="G775" i="12"/>
  <c r="H643" i="12"/>
  <c r="H703" i="12"/>
  <c r="H1146" i="12"/>
  <c r="G711" i="12"/>
  <c r="F956" i="12"/>
  <c r="F1167" i="12"/>
  <c r="G834" i="12"/>
  <c r="F1250" i="12"/>
  <c r="F944" i="12"/>
  <c r="H910" i="12"/>
  <c r="H730" i="12"/>
  <c r="G1122" i="12"/>
  <c r="H819" i="12"/>
  <c r="H939" i="12"/>
  <c r="F495" i="12"/>
  <c r="H1148" i="12"/>
  <c r="G828" i="12"/>
  <c r="F784" i="12"/>
  <c r="F1292" i="12"/>
  <c r="G762" i="12"/>
  <c r="H1047" i="12"/>
  <c r="H581" i="12"/>
  <c r="H822" i="12"/>
  <c r="H1082" i="12"/>
  <c r="F1058" i="12"/>
  <c r="G613" i="12"/>
  <c r="G951" i="12"/>
  <c r="G1208" i="12"/>
  <c r="F986" i="12"/>
  <c r="H1025" i="12"/>
  <c r="H915" i="12"/>
  <c r="H931" i="12"/>
  <c r="G829" i="12"/>
  <c r="F454" i="12"/>
  <c r="F981" i="12"/>
  <c r="G496" i="12"/>
  <c r="H624" i="12"/>
  <c r="G454" i="12"/>
  <c r="G987" i="12"/>
  <c r="G879" i="12"/>
  <c r="H985" i="12"/>
  <c r="G1166" i="12"/>
  <c r="G280" i="12"/>
  <c r="H1079" i="12"/>
  <c r="H732" i="12"/>
  <c r="G880" i="12"/>
  <c r="G1018" i="12"/>
  <c r="H1248" i="12"/>
  <c r="G1041" i="12"/>
  <c r="F1327" i="12"/>
  <c r="H79" i="12"/>
  <c r="G673" i="12"/>
  <c r="F708" i="12"/>
  <c r="H318" i="12"/>
  <c r="G706" i="12"/>
  <c r="H517" i="12"/>
  <c r="F210" i="12"/>
  <c r="F616" i="12"/>
  <c r="G906" i="12"/>
  <c r="G978" i="12"/>
  <c r="F635" i="12"/>
  <c r="G395" i="12"/>
  <c r="G723" i="12"/>
  <c r="G538" i="12"/>
  <c r="F523" i="12"/>
  <c r="F598" i="12"/>
  <c r="G232" i="12"/>
  <c r="G639" i="12"/>
  <c r="F831" i="12"/>
  <c r="H743" i="12"/>
  <c r="H707" i="12"/>
  <c r="G1068" i="12"/>
  <c r="H758" i="12"/>
  <c r="F870" i="12"/>
  <c r="F1351" i="12"/>
  <c r="G824" i="12"/>
  <c r="H1095" i="12"/>
  <c r="F859" i="12"/>
  <c r="F1505" i="12"/>
  <c r="F1173" i="12"/>
  <c r="F661" i="12"/>
  <c r="G1186" i="12"/>
  <c r="F924" i="12"/>
  <c r="G726" i="12"/>
  <c r="G966" i="12"/>
  <c r="G855" i="12"/>
  <c r="H876" i="12"/>
  <c r="F1258" i="12"/>
  <c r="H906" i="12"/>
  <c r="H1048" i="12"/>
  <c r="H771" i="12"/>
  <c r="H744" i="12"/>
  <c r="H778" i="12"/>
  <c r="G1038" i="12"/>
  <c r="F763" i="12"/>
  <c r="F496" i="12"/>
  <c r="H1207" i="12"/>
  <c r="H950" i="12"/>
  <c r="H774" i="12"/>
  <c r="F1005" i="12"/>
  <c r="H1260" i="12"/>
  <c r="G956" i="12"/>
  <c r="H925" i="12"/>
  <c r="G1377" i="12"/>
  <c r="H287" i="12"/>
  <c r="F1133" i="12"/>
  <c r="H838" i="12"/>
  <c r="F953" i="12"/>
  <c r="F418" i="12"/>
  <c r="F1170" i="12"/>
  <c r="G848" i="12"/>
  <c r="F802" i="12"/>
  <c r="H1302" i="12"/>
  <c r="F1141" i="12"/>
  <c r="F1143" i="12"/>
  <c r="F716" i="12"/>
  <c r="G1028" i="12"/>
  <c r="G713" i="12"/>
  <c r="H835" i="12"/>
  <c r="G1070" i="12"/>
  <c r="H178" i="12"/>
  <c r="G168" i="12"/>
  <c r="H480" i="12"/>
  <c r="F155" i="12"/>
  <c r="F603" i="12"/>
  <c r="H635" i="12"/>
  <c r="G383" i="12"/>
  <c r="H712" i="12"/>
  <c r="F518" i="12"/>
  <c r="H486" i="12"/>
  <c r="H729" i="12"/>
  <c r="H152" i="12"/>
  <c r="H377" i="12"/>
  <c r="H648" i="12"/>
  <c r="F639" i="12"/>
  <c r="F696" i="12"/>
  <c r="H374" i="12"/>
  <c r="G733" i="12"/>
  <c r="H431" i="12"/>
  <c r="F829" i="12"/>
  <c r="G793" i="12"/>
  <c r="G1180" i="12"/>
  <c r="G908" i="12"/>
  <c r="H737" i="12"/>
  <c r="G1436" i="12"/>
  <c r="H841" i="12"/>
  <c r="F865" i="12"/>
  <c r="H975" i="12"/>
  <c r="F1147" i="12"/>
  <c r="F1277" i="12"/>
  <c r="G458" i="12"/>
  <c r="H697" i="12"/>
  <c r="H1022" i="12"/>
  <c r="G889" i="12"/>
  <c r="F1095" i="12"/>
  <c r="H469" i="12"/>
  <c r="H987" i="12"/>
  <c r="F1345" i="12"/>
  <c r="G1031" i="12"/>
  <c r="F1134" i="12"/>
  <c r="F918" i="12"/>
  <c r="H696" i="12"/>
  <c r="G935" i="12"/>
  <c r="H1123" i="12"/>
  <c r="F911" i="12"/>
  <c r="G522" i="12"/>
  <c r="H757" i="12"/>
  <c r="F1044" i="12"/>
  <c r="G920" i="12"/>
  <c r="G610" i="12"/>
  <c r="F798" i="12"/>
  <c r="F1049" i="12"/>
  <c r="G784" i="12"/>
  <c r="H1462" i="12"/>
  <c r="F529" i="12"/>
  <c r="G1218" i="12"/>
  <c r="G963" i="12"/>
  <c r="H795" i="12"/>
  <c r="G651" i="12"/>
  <c r="G1271" i="12"/>
  <c r="F969" i="12"/>
  <c r="F939" i="12"/>
  <c r="F1388" i="12"/>
  <c r="H1253" i="12"/>
  <c r="G1244" i="12"/>
  <c r="G885" i="12"/>
  <c r="H1113" i="12"/>
  <c r="G57" i="12"/>
  <c r="H568" i="12"/>
  <c r="F481" i="12"/>
  <c r="F109" i="12"/>
  <c r="F701" i="12"/>
  <c r="G730" i="12"/>
  <c r="G359" i="12"/>
  <c r="G311" i="12"/>
  <c r="F636" i="12"/>
  <c r="G621" i="12"/>
  <c r="G767" i="12"/>
  <c r="F245" i="12"/>
  <c r="F585" i="12"/>
  <c r="G741" i="12"/>
  <c r="F733" i="12"/>
  <c r="G740" i="12"/>
  <c r="G221" i="12"/>
  <c r="H512" i="12"/>
  <c r="H598" i="12"/>
  <c r="G914" i="12"/>
  <c r="H878" i="12"/>
  <c r="G520" i="12"/>
  <c r="H1011" i="12"/>
  <c r="G896" i="12"/>
  <c r="H1521" i="12"/>
  <c r="H563" i="12"/>
  <c r="F574" i="12"/>
  <c r="H1065" i="12"/>
  <c r="G1258" i="12"/>
  <c r="F1066" i="12"/>
  <c r="G656" i="12"/>
  <c r="F875" i="12"/>
  <c r="F1108" i="12"/>
  <c r="H982" i="12"/>
  <c r="G1196" i="12"/>
  <c r="F818" i="12"/>
  <c r="G1076" i="12"/>
  <c r="H344" i="12"/>
  <c r="H1132" i="12"/>
  <c r="H800" i="12"/>
  <c r="G750" i="12"/>
  <c r="G672" i="12"/>
  <c r="H1031" i="12"/>
  <c r="H360" i="12"/>
  <c r="H198" i="12"/>
  <c r="G592" i="12"/>
  <c r="G766" i="12"/>
  <c r="H444" i="12"/>
  <c r="F787" i="12"/>
  <c r="G725" i="12"/>
  <c r="F211" i="12"/>
  <c r="F570" i="12"/>
  <c r="G100" i="12"/>
  <c r="G717" i="12"/>
  <c r="H852" i="12"/>
  <c r="H359" i="12"/>
  <c r="F683" i="12"/>
  <c r="H538" i="12"/>
  <c r="G818" i="12"/>
  <c r="H825" i="12"/>
  <c r="G440" i="12"/>
  <c r="H633" i="12"/>
  <c r="F138" i="12"/>
  <c r="H738" i="12"/>
  <c r="F555" i="12"/>
  <c r="G1111" i="12"/>
  <c r="F1097" i="12"/>
  <c r="F871" i="12"/>
  <c r="G1035" i="12"/>
  <c r="H564" i="12"/>
  <c r="H837" i="12"/>
  <c r="F1151" i="12"/>
  <c r="G1345" i="12"/>
  <c r="F1203" i="12"/>
  <c r="H764" i="12"/>
  <c r="F608" i="12"/>
  <c r="G681" i="12"/>
  <c r="G1137" i="12"/>
  <c r="H637" i="12"/>
  <c r="F950" i="12"/>
  <c r="H1161" i="12"/>
  <c r="F749" i="12"/>
  <c r="F1234" i="12"/>
  <c r="G937" i="12"/>
  <c r="H902" i="12"/>
  <c r="H672" i="12"/>
  <c r="F1117" i="12"/>
  <c r="F811" i="12"/>
  <c r="H551" i="12"/>
  <c r="G697" i="12"/>
  <c r="H1100" i="12"/>
  <c r="F395" i="12"/>
  <c r="G872" i="12"/>
  <c r="F507" i="12"/>
  <c r="H347" i="12"/>
  <c r="F671" i="12"/>
  <c r="H381" i="12"/>
  <c r="G973" i="12"/>
  <c r="F938" i="12"/>
  <c r="H280" i="12"/>
  <c r="H407" i="12"/>
  <c r="F271" i="12"/>
  <c r="G512" i="12"/>
  <c r="H408" i="12"/>
  <c r="H294" i="12"/>
  <c r="G728" i="12"/>
  <c r="H380" i="12"/>
  <c r="F824" i="12"/>
  <c r="H659" i="12"/>
  <c r="H1212" i="12"/>
  <c r="G1182" i="12"/>
  <c r="H959" i="12"/>
  <c r="H1179" i="12"/>
  <c r="G638" i="12"/>
  <c r="H961" i="12"/>
  <c r="H894" i="12"/>
  <c r="H1430" i="12"/>
  <c r="H1298" i="12"/>
  <c r="F948" i="12"/>
  <c r="G846" i="12"/>
  <c r="H867" i="12"/>
  <c r="F1252" i="12"/>
  <c r="F898" i="12"/>
  <c r="G1043" i="12"/>
  <c r="F761" i="12"/>
  <c r="F652" i="12"/>
  <c r="F768" i="12"/>
  <c r="F1033" i="12"/>
  <c r="G752" i="12"/>
  <c r="H839" i="12"/>
  <c r="H446" i="12"/>
  <c r="H210" i="12"/>
  <c r="G147" i="12"/>
  <c r="G609" i="12"/>
  <c r="G630" i="12"/>
  <c r="F264" i="12"/>
  <c r="F347" i="12"/>
  <c r="F500" i="12"/>
  <c r="F475" i="12"/>
  <c r="F538" i="12"/>
  <c r="F385" i="12"/>
  <c r="F592" i="12"/>
  <c r="F17" i="12"/>
  <c r="G633" i="12"/>
  <c r="H592" i="12"/>
  <c r="H406" i="12"/>
  <c r="H813" i="12"/>
  <c r="H338" i="12"/>
  <c r="G909" i="12"/>
  <c r="F751" i="12"/>
  <c r="G669" i="12"/>
  <c r="F759" i="12"/>
  <c r="H1119" i="12"/>
  <c r="F1282" i="12"/>
  <c r="F754" i="12"/>
  <c r="G800" i="12"/>
  <c r="G704" i="12"/>
  <c r="F1516" i="12"/>
  <c r="F1384" i="12"/>
  <c r="G1084" i="12"/>
  <c r="F335" i="12"/>
  <c r="H981" i="12"/>
  <c r="H1339" i="12"/>
  <c r="F1026" i="12"/>
  <c r="H1128" i="12"/>
  <c r="G910" i="12"/>
  <c r="G611" i="12"/>
  <c r="F929" i="12"/>
  <c r="G1118" i="12"/>
  <c r="F903" i="12"/>
  <c r="G316" i="12"/>
  <c r="F682" i="12"/>
  <c r="H335" i="12"/>
  <c r="H376" i="12"/>
  <c r="G561" i="12"/>
  <c r="G469" i="12"/>
  <c r="F717" i="12"/>
  <c r="H766" i="12"/>
  <c r="H417" i="12"/>
  <c r="H615" i="12"/>
  <c r="G648" i="12"/>
  <c r="F813" i="12"/>
  <c r="H862" i="12"/>
  <c r="G104" i="12"/>
  <c r="F728" i="12"/>
  <c r="H690" i="12"/>
  <c r="G210" i="12"/>
  <c r="F899" i="12"/>
  <c r="G478" i="12"/>
  <c r="H994" i="12"/>
  <c r="G223" i="12"/>
  <c r="G883" i="12"/>
  <c r="F1012" i="12"/>
  <c r="F1240" i="12"/>
  <c r="F1018" i="12"/>
  <c r="H941" i="12"/>
  <c r="F937" i="12"/>
  <c r="G878" i="12"/>
  <c r="F1016" i="12"/>
  <c r="G1469" i="12"/>
  <c r="F1191" i="12"/>
  <c r="F809" i="12"/>
  <c r="F1071" i="12"/>
  <c r="G461" i="12"/>
  <c r="G1127" i="12"/>
  <c r="H790" i="12"/>
  <c r="F737" i="12"/>
  <c r="G666" i="12"/>
  <c r="G1026" i="12"/>
  <c r="H1203" i="12"/>
  <c r="H784" i="12"/>
  <c r="F675" i="12"/>
  <c r="H899" i="12"/>
  <c r="F1124" i="12"/>
  <c r="G1014" i="12"/>
  <c r="G1212" i="12"/>
  <c r="F848" i="12"/>
  <c r="G1092" i="12"/>
  <c r="G1446" i="12"/>
  <c r="F550" i="12"/>
  <c r="G768" i="12"/>
  <c r="G1049" i="12"/>
  <c r="F927" i="12"/>
  <c r="G1388" i="12"/>
  <c r="H1121" i="12"/>
  <c r="G675" i="12"/>
  <c r="H1017" i="12"/>
  <c r="H1371" i="12"/>
  <c r="F539" i="12"/>
  <c r="H1223" i="12"/>
  <c r="G969" i="12"/>
  <c r="H805" i="12"/>
  <c r="F531" i="12"/>
  <c r="G372" i="12"/>
  <c r="G1156" i="12"/>
  <c r="H1038" i="12"/>
  <c r="G806" i="12"/>
  <c r="F1129" i="12"/>
  <c r="F1372" i="12"/>
  <c r="G915" i="12"/>
  <c r="F946" i="12"/>
  <c r="G559" i="12"/>
  <c r="F963" i="12"/>
  <c r="H1200" i="12"/>
  <c r="G1138" i="12"/>
  <c r="G550" i="12"/>
  <c r="H904" i="12"/>
  <c r="H296" i="12"/>
  <c r="G541" i="12"/>
  <c r="H872" i="12"/>
  <c r="H1155" i="12"/>
  <c r="F419" i="12"/>
  <c r="H844" i="12"/>
  <c r="F1076" i="12"/>
  <c r="H613" i="12"/>
  <c r="H936" i="12"/>
  <c r="G384" i="12"/>
  <c r="H991" i="12"/>
  <c r="H1086" i="12"/>
  <c r="H1446" i="12"/>
  <c r="F1261" i="12"/>
  <c r="F1061" i="12"/>
  <c r="F1577" i="12"/>
  <c r="H1005" i="12"/>
  <c r="G1073" i="12"/>
  <c r="G988" i="12"/>
  <c r="H1069" i="12"/>
  <c r="H1816" i="12"/>
  <c r="F1520" i="12"/>
  <c r="H1227" i="12"/>
  <c r="H1469" i="12"/>
  <c r="F1256" i="12"/>
  <c r="H859" i="12"/>
  <c r="G1247" i="12"/>
  <c r="H1158" i="12"/>
  <c r="H1219" i="12"/>
  <c r="F1045" i="12"/>
  <c r="F1395" i="12"/>
  <c r="G1160" i="12"/>
  <c r="F625" i="12"/>
  <c r="G1259" i="12"/>
  <c r="G1174" i="12"/>
  <c r="G805" i="12"/>
  <c r="G1923" i="12"/>
  <c r="G1631" i="12"/>
  <c r="H1489" i="12"/>
  <c r="F1196" i="12"/>
  <c r="H1160" i="12"/>
  <c r="F1492" i="12"/>
  <c r="H1377" i="12"/>
  <c r="H1066" i="12"/>
  <c r="G1021" i="12"/>
  <c r="G1354" i="12"/>
  <c r="G853" i="12"/>
  <c r="G1112" i="12"/>
  <c r="G1294" i="12"/>
  <c r="H1117" i="12"/>
  <c r="G1402" i="12"/>
  <c r="H1505" i="12"/>
  <c r="H1216" i="12"/>
  <c r="F1184" i="12"/>
  <c r="G1512" i="12"/>
  <c r="H1431" i="12"/>
  <c r="G1264" i="12"/>
  <c r="F1104" i="12"/>
  <c r="G1217" i="12"/>
  <c r="F1055" i="12"/>
  <c r="G1188" i="12"/>
  <c r="H1085" i="12"/>
  <c r="F1162" i="12"/>
  <c r="H896" i="12"/>
  <c r="G1352" i="12"/>
  <c r="H1087" i="12"/>
  <c r="F1120" i="12"/>
  <c r="H947" i="12"/>
  <c r="F1125" i="12"/>
  <c r="G1518" i="12"/>
  <c r="G1139" i="12"/>
  <c r="F1342" i="12"/>
  <c r="F1178" i="12"/>
  <c r="G1572" i="12"/>
  <c r="F1627" i="12"/>
  <c r="F1549" i="12"/>
  <c r="F2224" i="12"/>
  <c r="G1660" i="12"/>
  <c r="H1731" i="12"/>
  <c r="G1573" i="12"/>
  <c r="H1496" i="12"/>
  <c r="H1612" i="12"/>
  <c r="G1268" i="12"/>
  <c r="H534" i="12"/>
  <c r="F524" i="12"/>
  <c r="F657" i="12"/>
  <c r="G736" i="12"/>
  <c r="F985" i="12"/>
  <c r="G1129" i="12"/>
  <c r="G1457" i="12"/>
  <c r="F644" i="12"/>
  <c r="G785" i="12"/>
  <c r="H710" i="12"/>
  <c r="G1054" i="12"/>
  <c r="G1297" i="12"/>
  <c r="H789" i="12"/>
  <c r="H832" i="12"/>
  <c r="G1103" i="12"/>
  <c r="F827" i="12"/>
  <c r="G830" i="12"/>
  <c r="F1255" i="12"/>
  <c r="H680" i="12"/>
  <c r="F1072" i="12"/>
  <c r="H979" i="12"/>
  <c r="F366" i="12"/>
  <c r="G601" i="12"/>
  <c r="G758" i="12"/>
  <c r="H533" i="12"/>
  <c r="F1165" i="12"/>
  <c r="H539" i="12"/>
  <c r="G983" i="12"/>
  <c r="G1347" i="12"/>
  <c r="G1199" i="12"/>
  <c r="G1662" i="12"/>
  <c r="H840" i="12"/>
  <c r="G1235" i="12"/>
  <c r="F1142" i="12"/>
  <c r="F1206" i="12"/>
  <c r="F1902" i="12"/>
  <c r="F1610" i="12"/>
  <c r="G1340" i="12"/>
  <c r="F1019" i="12"/>
  <c r="G968" i="12"/>
  <c r="F596" i="12"/>
  <c r="F1046" i="12"/>
  <c r="G1267" i="12"/>
  <c r="G1071" i="12"/>
  <c r="H1240" i="12"/>
  <c r="G1480" i="12"/>
  <c r="F1268" i="12"/>
  <c r="F662" i="12"/>
  <c r="H1083" i="12"/>
  <c r="G1278" i="12"/>
  <c r="F1089" i="12"/>
  <c r="H1374" i="12"/>
  <c r="F1376" i="12"/>
  <c r="G1016" i="12"/>
  <c r="F1294" i="12"/>
  <c r="G687" i="12"/>
  <c r="G1587" i="12"/>
  <c r="F1495" i="12"/>
  <c r="F1204" i="12"/>
  <c r="G1168" i="12"/>
  <c r="H1498" i="12"/>
  <c r="H1307" i="12"/>
  <c r="H1259" i="12"/>
  <c r="H1379" i="12"/>
  <c r="H1238" i="12"/>
  <c r="H1532" i="12"/>
  <c r="F1064" i="12"/>
  <c r="F1310" i="12"/>
  <c r="F928" i="12"/>
  <c r="G1603" i="12"/>
  <c r="F1551" i="12"/>
  <c r="F1404" i="12"/>
  <c r="F1242" i="12"/>
  <c r="H1310" i="12"/>
  <c r="H686" i="12"/>
  <c r="F947" i="12"/>
  <c r="F1217" i="12"/>
  <c r="F992" i="12"/>
  <c r="F1172" i="12"/>
  <c r="H1437" i="12"/>
  <c r="H1218" i="12"/>
  <c r="F1308" i="12"/>
  <c r="G1141" i="12"/>
  <c r="F1243" i="12"/>
  <c r="F1106" i="12"/>
  <c r="H1276" i="12"/>
  <c r="G1427" i="12"/>
  <c r="H1597" i="12"/>
  <c r="G1403" i="12"/>
  <c r="G1712" i="12"/>
  <c r="F1269" i="12"/>
  <c r="G2309" i="12"/>
  <c r="H1796" i="12"/>
  <c r="G1854" i="12"/>
  <c r="H1658" i="12"/>
  <c r="H1263" i="12"/>
  <c r="G1761" i="12"/>
  <c r="F1711" i="12"/>
  <c r="H786" i="12"/>
  <c r="G585" i="12"/>
  <c r="H1228" i="12"/>
  <c r="F1087" i="12"/>
  <c r="F1111" i="12"/>
  <c r="G748" i="12"/>
  <c r="H1542" i="12"/>
  <c r="H856" i="12"/>
  <c r="G1034" i="12"/>
  <c r="F844" i="12"/>
  <c r="H1054" i="12"/>
  <c r="H1382" i="12"/>
  <c r="H907" i="12"/>
  <c r="F959" i="12"/>
  <c r="G1341" i="12"/>
  <c r="H1143" i="12"/>
  <c r="H395" i="12"/>
  <c r="H806" i="12"/>
  <c r="G867" i="12"/>
  <c r="F1208" i="12"/>
  <c r="F1069" i="12"/>
  <c r="G811" i="12"/>
  <c r="G913" i="12"/>
  <c r="H1096" i="12"/>
  <c r="F563" i="12"/>
  <c r="H573" i="12"/>
  <c r="F830" i="12"/>
  <c r="F1201" i="12"/>
  <c r="H1432" i="12"/>
  <c r="F1185" i="12"/>
  <c r="H1747" i="12"/>
  <c r="H888" i="12"/>
  <c r="F1027" i="12"/>
  <c r="H1254" i="12"/>
  <c r="G1051" i="12"/>
  <c r="H1335" i="12"/>
  <c r="G1338" i="12"/>
  <c r="H1457" i="12"/>
  <c r="H1166" i="12"/>
  <c r="H1125" i="12"/>
  <c r="G1214" i="12"/>
  <c r="G1222" i="12"/>
  <c r="F1353" i="12"/>
  <c r="G1206" i="12"/>
  <c r="H1361" i="12"/>
  <c r="H1037" i="12"/>
  <c r="F990" i="12"/>
  <c r="F1227" i="12"/>
  <c r="H1235" i="12"/>
  <c r="H1363" i="12"/>
  <c r="F1220" i="12"/>
  <c r="G479" i="12"/>
  <c r="H523" i="12"/>
  <c r="F931" i="12"/>
  <c r="G1172" i="12"/>
  <c r="H742" i="12"/>
  <c r="F902" i="12"/>
  <c r="G708" i="12"/>
  <c r="H974" i="12"/>
  <c r="G1366" i="12"/>
  <c r="F1015" i="12"/>
  <c r="F1140" i="12"/>
  <c r="F1468" i="12"/>
  <c r="G698" i="12"/>
  <c r="G940" i="12"/>
  <c r="H1426" i="12"/>
  <c r="F1229" i="12"/>
  <c r="F812" i="12"/>
  <c r="H960" i="12"/>
  <c r="G981" i="12"/>
  <c r="H914" i="12"/>
  <c r="G817" i="12"/>
  <c r="H944" i="12"/>
  <c r="H1041" i="12"/>
  <c r="H716" i="12"/>
  <c r="H272" i="12"/>
  <c r="G837" i="12"/>
  <c r="H957" i="12"/>
  <c r="H824" i="12"/>
  <c r="F977" i="12"/>
  <c r="F710" i="12"/>
  <c r="F1833" i="12"/>
  <c r="H1109" i="12"/>
  <c r="H1209" i="12"/>
  <c r="G1342" i="12"/>
  <c r="H1192" i="12"/>
  <c r="G1485" i="12"/>
  <c r="F1487" i="12"/>
  <c r="F974" i="12"/>
  <c r="H1272" i="12"/>
  <c r="H1243" i="12"/>
  <c r="G1430" i="12"/>
  <c r="H1330" i="12"/>
  <c r="G1438" i="12"/>
  <c r="H1239" i="12"/>
  <c r="G1468" i="12"/>
  <c r="F1182" i="12"/>
  <c r="F1144" i="12"/>
  <c r="F1441" i="12"/>
  <c r="H1346" i="12"/>
  <c r="F1449" i="12"/>
  <c r="F1290" i="12"/>
  <c r="F665" i="12"/>
  <c r="G408" i="12"/>
  <c r="F895" i="12"/>
  <c r="G782" i="12"/>
  <c r="G1143" i="12"/>
  <c r="G1006" i="12"/>
  <c r="F757" i="12"/>
  <c r="H1064" i="12"/>
  <c r="H1451" i="12"/>
  <c r="H1233" i="12"/>
  <c r="F770" i="12"/>
  <c r="F476" i="12"/>
  <c r="H875" i="12"/>
  <c r="H1291" i="12"/>
  <c r="F965" i="12"/>
  <c r="G798" i="12"/>
  <c r="G397" i="12"/>
  <c r="G1079" i="12"/>
  <c r="H1070" i="12"/>
  <c r="H798" i="12"/>
  <c r="G949" i="12"/>
  <c r="F1039" i="12"/>
  <c r="F1159" i="12"/>
  <c r="H885" i="12"/>
  <c r="F572" i="12"/>
  <c r="F330" i="12"/>
  <c r="H1049" i="12"/>
  <c r="H1147" i="12"/>
  <c r="G1133" i="12"/>
  <c r="H1401" i="12"/>
  <c r="H1206" i="12"/>
  <c r="F1409" i="12"/>
  <c r="F1320" i="12"/>
  <c r="H1427" i="12"/>
  <c r="G1080" i="12"/>
  <c r="G1582" i="12"/>
  <c r="H665" i="12"/>
  <c r="F1164" i="12"/>
  <c r="F1358" i="12"/>
  <c r="H1040" i="12"/>
  <c r="F940" i="12"/>
  <c r="G1437" i="12"/>
  <c r="H1019" i="12"/>
  <c r="G1429" i="12"/>
  <c r="H995" i="12"/>
  <c r="G1283" i="12"/>
  <c r="G1256" i="12"/>
  <c r="H971" i="12"/>
  <c r="F1448" i="12"/>
  <c r="H1039" i="12"/>
  <c r="G1449" i="12"/>
  <c r="G419" i="12"/>
  <c r="H1003" i="12"/>
  <c r="H666" i="12"/>
  <c r="H924" i="12"/>
  <c r="G1255" i="12"/>
  <c r="H1177" i="12"/>
  <c r="F752" i="12"/>
  <c r="G1134" i="12"/>
  <c r="F1537" i="12"/>
  <c r="H1052" i="12"/>
  <c r="H917" i="12"/>
  <c r="H788" i="12"/>
  <c r="H986" i="12"/>
  <c r="F1377" i="12"/>
  <c r="F243" i="12"/>
  <c r="G936" i="12"/>
  <c r="G812" i="12"/>
  <c r="H973" i="12"/>
  <c r="F1156" i="12"/>
  <c r="F874" i="12"/>
  <c r="F790" i="12"/>
  <c r="G1124" i="12"/>
  <c r="H972" i="12"/>
  <c r="F993" i="12"/>
  <c r="G643" i="12"/>
  <c r="H808" i="12"/>
  <c r="F1135" i="12"/>
  <c r="H1292" i="12"/>
  <c r="F1337" i="12"/>
  <c r="F1531" i="12"/>
  <c r="H1422" i="12"/>
  <c r="F816" i="12"/>
  <c r="G1421" i="12"/>
  <c r="H1000" i="12"/>
  <c r="G1410" i="12"/>
  <c r="H1667" i="12"/>
  <c r="H874" i="12"/>
  <c r="G1303" i="12"/>
  <c r="G1443" i="12"/>
  <c r="F692" i="12"/>
  <c r="F1179" i="12"/>
  <c r="H1018" i="12"/>
  <c r="H1167" i="12"/>
  <c r="G322" i="12"/>
  <c r="H1194" i="12"/>
  <c r="H1368" i="12"/>
  <c r="H1060" i="12"/>
  <c r="F1221" i="12"/>
  <c r="G1056" i="12"/>
  <c r="G1183" i="12"/>
  <c r="G1560" i="12"/>
  <c r="G802" i="12"/>
  <c r="G1097" i="12"/>
  <c r="H1111" i="12"/>
  <c r="F795" i="12"/>
  <c r="G789" i="12"/>
  <c r="G773" i="12"/>
  <c r="H518" i="12"/>
  <c r="G539" i="12"/>
  <c r="G1053" i="12"/>
  <c r="H1164" i="12"/>
  <c r="F1103" i="12"/>
  <c r="H767" i="12"/>
  <c r="H1059" i="12"/>
  <c r="G1462" i="12"/>
  <c r="F744" i="12"/>
  <c r="H992" i="12"/>
  <c r="G420" i="12"/>
  <c r="H1063" i="12"/>
  <c r="G801" i="12"/>
  <c r="F853" i="12"/>
  <c r="H929" i="12"/>
  <c r="G619" i="12"/>
  <c r="F1090" i="12"/>
  <c r="F1081" i="12"/>
  <c r="H619" i="12"/>
  <c r="F943" i="12"/>
  <c r="F620" i="12"/>
  <c r="G1064" i="12"/>
  <c r="G1422" i="12"/>
  <c r="F1619" i="12"/>
  <c r="G1545" i="12"/>
  <c r="G1163" i="12"/>
  <c r="H996" i="12"/>
  <c r="H1151" i="12"/>
  <c r="G1538" i="12"/>
  <c r="F1753" i="12"/>
  <c r="H1091" i="12"/>
  <c r="G1083" i="12"/>
  <c r="G998" i="12"/>
  <c r="H1078" i="12"/>
  <c r="H1334" i="12"/>
  <c r="H1195" i="12"/>
  <c r="G1273" i="12"/>
  <c r="F1085" i="12"/>
  <c r="F558" i="12"/>
  <c r="F1454" i="12"/>
  <c r="G871" i="12"/>
  <c r="F1356" i="12"/>
  <c r="F1210" i="12"/>
  <c r="F1284" i="12"/>
  <c r="H1645" i="12"/>
  <c r="H1859" i="12"/>
  <c r="G833" i="12"/>
  <c r="H1093" i="12"/>
  <c r="H1283" i="12"/>
  <c r="F1099" i="12"/>
  <c r="F841" i="12"/>
  <c r="H559" i="12"/>
  <c r="H1189" i="12"/>
  <c r="H933" i="12"/>
  <c r="F1934" i="12"/>
  <c r="G1521" i="12"/>
  <c r="F1331" i="12"/>
  <c r="F1050" i="12"/>
  <c r="F1747" i="12"/>
  <c r="F862" i="12"/>
  <c r="G1121" i="12"/>
  <c r="H1299" i="12"/>
  <c r="H1126" i="12"/>
  <c r="G1412" i="12"/>
  <c r="H1413" i="12"/>
  <c r="F1511" i="12"/>
  <c r="F1224" i="12"/>
  <c r="H1190" i="12"/>
  <c r="G1270" i="12"/>
  <c r="F1114" i="12"/>
  <c r="H1224" i="12"/>
  <c r="F442" i="12"/>
  <c r="F1259" i="12"/>
  <c r="G1411" i="12"/>
  <c r="F1136" i="12"/>
  <c r="F852" i="12"/>
  <c r="F1329" i="12"/>
  <c r="F801" i="12"/>
  <c r="G933" i="12"/>
  <c r="G942" i="12"/>
  <c r="G918" i="12"/>
  <c r="F705" i="12"/>
  <c r="H828" i="12"/>
  <c r="G497" i="12"/>
  <c r="F1266" i="12"/>
  <c r="F945" i="12"/>
  <c r="G323" i="12"/>
  <c r="F1145" i="12"/>
  <c r="G437" i="12"/>
  <c r="H616" i="12"/>
  <c r="H1080" i="12"/>
  <c r="G814" i="12"/>
  <c r="F1149" i="12"/>
  <c r="F1119" i="12"/>
  <c r="H607" i="12"/>
  <c r="G747" i="12"/>
  <c r="G849" i="12"/>
  <c r="H1196" i="12"/>
  <c r="G720" i="12"/>
  <c r="H632" i="12"/>
  <c r="F769" i="12"/>
  <c r="H311" i="12"/>
  <c r="F1222" i="12"/>
  <c r="H988" i="12"/>
  <c r="G1704" i="12"/>
  <c r="F1493" i="12"/>
  <c r="F1324" i="12"/>
  <c r="F1166" i="12"/>
  <c r="H1261" i="12"/>
  <c r="G1624" i="12"/>
  <c r="G1838" i="12"/>
  <c r="H849" i="12"/>
  <c r="G1241" i="12"/>
  <c r="G1151" i="12"/>
  <c r="G1213" i="12"/>
  <c r="F1484" i="12"/>
  <c r="G1304" i="12"/>
  <c r="F1001" i="12"/>
  <c r="F748" i="12"/>
  <c r="F1112" i="12"/>
  <c r="G1019" i="12"/>
  <c r="H1098" i="12"/>
  <c r="H1494" i="12"/>
  <c r="F1315" i="12"/>
  <c r="F1020" i="12"/>
  <c r="F1731" i="12"/>
  <c r="G1317" i="12"/>
  <c r="G1233" i="12"/>
  <c r="H1241" i="12"/>
  <c r="F1369" i="12"/>
  <c r="G1226" i="12"/>
  <c r="G843" i="12"/>
  <c r="H1103" i="12"/>
  <c r="F1289" i="12"/>
  <c r="F1109" i="12"/>
  <c r="G1392" i="12"/>
  <c r="G1120" i="12"/>
  <c r="G1416" i="12"/>
  <c r="G1190" i="12"/>
  <c r="G1832" i="12"/>
  <c r="F1313" i="12"/>
  <c r="G1266" i="12"/>
  <c r="F1385" i="12"/>
  <c r="G1245" i="12"/>
  <c r="F1539" i="12"/>
  <c r="G1540" i="12"/>
  <c r="F1073" i="12"/>
  <c r="G1315" i="12"/>
  <c r="F958" i="12"/>
  <c r="G1409" i="12"/>
  <c r="F1248" i="12"/>
  <c r="H661" i="12"/>
  <c r="G923" i="12"/>
  <c r="G1007" i="12"/>
  <c r="H851" i="12"/>
  <c r="G1023" i="12"/>
  <c r="F508" i="12"/>
  <c r="G1248" i="12"/>
  <c r="F1219" i="12"/>
  <c r="G1526" i="12"/>
  <c r="H1410" i="12"/>
  <c r="G977" i="12"/>
  <c r="G1907" i="12"/>
  <c r="G1770" i="12"/>
  <c r="H1481" i="12"/>
  <c r="G2186" i="12"/>
  <c r="G2096" i="12"/>
  <c r="F1603" i="12"/>
  <c r="G1413" i="12"/>
  <c r="H1717" i="12"/>
  <c r="H1287" i="12"/>
  <c r="H2314" i="12"/>
  <c r="G226" i="12"/>
  <c r="F1056" i="12"/>
  <c r="G926" i="12"/>
  <c r="F764" i="12"/>
  <c r="G907" i="12"/>
  <c r="H773" i="12"/>
  <c r="G1116" i="12"/>
  <c r="H956" i="12"/>
  <c r="H1072" i="12"/>
  <c r="F807" i="12"/>
  <c r="F793" i="12"/>
  <c r="G566" i="12"/>
  <c r="F614" i="12"/>
  <c r="G1473" i="12"/>
  <c r="G518" i="12"/>
  <c r="H644" i="12"/>
  <c r="G947" i="12"/>
  <c r="G328" i="12"/>
  <c r="F588" i="12"/>
  <c r="G441" i="12"/>
  <c r="G900" i="12"/>
  <c r="H549" i="12"/>
  <c r="H566" i="12"/>
  <c r="F886" i="12"/>
  <c r="F921" i="12"/>
  <c r="F916" i="12"/>
  <c r="G1207" i="12"/>
  <c r="H1188" i="12"/>
  <c r="G1142" i="12"/>
  <c r="H1789" i="12"/>
  <c r="G1588" i="12"/>
  <c r="F1452" i="12"/>
  <c r="H1293" i="12"/>
  <c r="H977" i="12"/>
  <c r="H1709" i="12"/>
  <c r="H1245" i="12"/>
  <c r="G558" i="12"/>
  <c r="F1036" i="12"/>
  <c r="G1261" i="12"/>
  <c r="G1061" i="12"/>
  <c r="F1035" i="12"/>
  <c r="H1389" i="12"/>
  <c r="F1152" i="12"/>
  <c r="F590" i="12"/>
  <c r="G1253" i="12"/>
  <c r="G1167" i="12"/>
  <c r="G709" i="12"/>
  <c r="H1053" i="12"/>
  <c r="G1400" i="12"/>
  <c r="F1168" i="12"/>
  <c r="G1816" i="12"/>
  <c r="F1469" i="12"/>
  <c r="H1467" i="12"/>
  <c r="F1352" i="12"/>
  <c r="G1454" i="12"/>
  <c r="F1302" i="12"/>
  <c r="F1297" i="12"/>
  <c r="H1247" i="12"/>
  <c r="G1374" i="12"/>
  <c r="H1232" i="12"/>
  <c r="G1525" i="12"/>
  <c r="G1276" i="12"/>
  <c r="F601" i="12"/>
  <c r="H1289" i="12"/>
  <c r="H1917" i="12"/>
  <c r="H1483" i="12"/>
  <c r="F1368" i="12"/>
  <c r="F632" i="12"/>
  <c r="F1334" i="12"/>
  <c r="F1625" i="12"/>
  <c r="F1063" i="12"/>
  <c r="F1247" i="12"/>
  <c r="H1400" i="12"/>
  <c r="F1116" i="12"/>
  <c r="G1537" i="12"/>
  <c r="F1347" i="12"/>
  <c r="H1077" i="12"/>
  <c r="G1140" i="12"/>
  <c r="F1195" i="12"/>
  <c r="H1094" i="12"/>
  <c r="F1169" i="12"/>
  <c r="H1130" i="12"/>
  <c r="H1336" i="12"/>
  <c r="H1001" i="12"/>
  <c r="F1130" i="12"/>
  <c r="G712" i="12"/>
  <c r="H1073" i="12"/>
  <c r="G481" i="12"/>
  <c r="H912" i="12"/>
  <c r="H715" i="12"/>
  <c r="H918" i="12"/>
  <c r="G1228" i="12"/>
  <c r="H1134" i="12"/>
  <c r="H1208" i="12"/>
  <c r="F779" i="12"/>
  <c r="G932" i="12"/>
  <c r="G1020" i="12"/>
  <c r="H848" i="12"/>
  <c r="F823" i="12"/>
  <c r="F549" i="12"/>
  <c r="F857" i="12"/>
  <c r="F1062" i="12"/>
  <c r="G807" i="12"/>
  <c r="G839" i="12"/>
  <c r="H905" i="12"/>
  <c r="H1004" i="12"/>
  <c r="G832" i="12"/>
  <c r="H854" i="12"/>
  <c r="G993" i="12"/>
  <c r="H1057" i="12"/>
  <c r="G732" i="12"/>
  <c r="G901" i="12"/>
  <c r="H1314" i="12"/>
  <c r="H1255" i="12"/>
  <c r="F1875" i="12"/>
  <c r="H1375" i="12"/>
  <c r="G995" i="12"/>
  <c r="F1379" i="12"/>
  <c r="G1135" i="12"/>
  <c r="F1795" i="12"/>
  <c r="G1431" i="12"/>
  <c r="G1200" i="12"/>
  <c r="F1216" i="12"/>
  <c r="H1347" i="12"/>
  <c r="H1199" i="12"/>
  <c r="H1234" i="12"/>
  <c r="F1475" i="12"/>
  <c r="F1262" i="12"/>
  <c r="H631" i="12"/>
  <c r="H1074" i="12"/>
  <c r="F1273" i="12"/>
  <c r="F1080" i="12"/>
  <c r="H1246" i="12"/>
  <c r="H1485" i="12"/>
  <c r="H1273" i="12"/>
  <c r="H1901" i="12"/>
  <c r="F1572" i="12"/>
  <c r="G1004" i="12"/>
  <c r="G1453" i="12"/>
  <c r="G1048" i="12"/>
  <c r="F1458" i="12"/>
  <c r="F1473" i="12"/>
  <c r="G1357" i="12"/>
  <c r="H1459" i="12"/>
  <c r="G1316" i="12"/>
  <c r="G1614" i="12"/>
  <c r="F1383" i="12"/>
  <c r="H1076" i="12"/>
  <c r="G1030" i="12"/>
  <c r="G1364" i="12"/>
  <c r="H1034" i="12"/>
  <c r="F1480" i="12"/>
  <c r="G1077" i="12"/>
  <c r="H1484" i="12"/>
  <c r="G1710" i="12"/>
  <c r="H949" i="12"/>
  <c r="H984" i="12"/>
  <c r="H626" i="12"/>
  <c r="F1002" i="12"/>
  <c r="G1147" i="12"/>
  <c r="G1432" i="12"/>
  <c r="G1211" i="12"/>
  <c r="F741" i="12"/>
  <c r="F1118" i="12"/>
  <c r="G511" i="12"/>
  <c r="F1163" i="12"/>
  <c r="F884" i="12"/>
  <c r="G1024" i="12"/>
  <c r="H755" i="12"/>
  <c r="G1012" i="12"/>
  <c r="F1303" i="12"/>
  <c r="H922" i="12"/>
  <c r="H794" i="12"/>
  <c r="F1127" i="12"/>
  <c r="F1060" i="12"/>
  <c r="H1092" i="12"/>
  <c r="G574" i="12"/>
  <c r="F975" i="12"/>
  <c r="H868" i="12"/>
  <c r="H942" i="12"/>
  <c r="F486" i="12"/>
  <c r="G1036" i="12"/>
  <c r="G1091" i="12"/>
  <c r="F280" i="12"/>
  <c r="G1074" i="12"/>
  <c r="G1081" i="12"/>
  <c r="H1169" i="12"/>
  <c r="H892" i="12"/>
  <c r="H655" i="12"/>
  <c r="F1416" i="12"/>
  <c r="G967" i="12"/>
  <c r="G1555" i="12"/>
  <c r="H1513" i="12"/>
  <c r="F1215" i="12"/>
  <c r="G1464" i="12"/>
  <c r="G1249" i="12"/>
  <c r="G1880" i="12"/>
  <c r="H1550" i="12"/>
  <c r="F1425" i="12"/>
  <c r="G1325" i="12"/>
  <c r="F1433" i="12"/>
  <c r="F1199" i="12"/>
  <c r="H1345" i="12"/>
  <c r="F1029" i="12"/>
  <c r="F978" i="12"/>
  <c r="H1220" i="12"/>
  <c r="H1229" i="12"/>
  <c r="G1358" i="12"/>
  <c r="H1213" i="12"/>
  <c r="F1367" i="12"/>
  <c r="H1046" i="12"/>
  <c r="G1001" i="12"/>
  <c r="G1335" i="12"/>
  <c r="G898" i="12"/>
  <c r="H704" i="12"/>
  <c r="G796" i="12"/>
  <c r="F142" i="12"/>
  <c r="F613" i="12"/>
  <c r="F1171" i="12"/>
  <c r="F935" i="12"/>
  <c r="H1097" i="12"/>
  <c r="H1473" i="12"/>
  <c r="F747" i="12"/>
  <c r="F934" i="12"/>
  <c r="F1239" i="12"/>
  <c r="G924" i="12"/>
  <c r="G1221" i="12"/>
  <c r="H721" i="12"/>
  <c r="F1065" i="12"/>
  <c r="H847" i="12"/>
  <c r="G779" i="12"/>
  <c r="G822" i="12"/>
  <c r="H1153" i="12"/>
  <c r="F987" i="12"/>
  <c r="F1000" i="12"/>
  <c r="H1159" i="12"/>
  <c r="F485" i="12"/>
  <c r="F295" i="12"/>
  <c r="F999" i="12"/>
  <c r="H1099" i="12"/>
  <c r="G986" i="12"/>
  <c r="G1125" i="12"/>
  <c r="H1640" i="12"/>
  <c r="H1604" i="12"/>
  <c r="F1335" i="12"/>
  <c r="G1008" i="12"/>
  <c r="F954" i="12"/>
  <c r="G1290" i="12"/>
  <c r="F1636" i="12"/>
  <c r="H889" i="12"/>
  <c r="F1432" i="12"/>
  <c r="F1010" i="12"/>
  <c r="G1419" i="12"/>
  <c r="F1463" i="12"/>
  <c r="F1174" i="12"/>
  <c r="H1135" i="12"/>
  <c r="H1435" i="12"/>
  <c r="F1336" i="12"/>
  <c r="H1443" i="12"/>
  <c r="H1269" i="12"/>
  <c r="F1479" i="12"/>
  <c r="G1189" i="12"/>
  <c r="G1152" i="12"/>
  <c r="F1485" i="12"/>
  <c r="G527" i="12"/>
  <c r="H1163" i="12"/>
  <c r="G1202" i="12"/>
  <c r="H919" i="12"/>
  <c r="H968" i="12"/>
  <c r="H1275" i="12"/>
  <c r="F949" i="12"/>
  <c r="F1183" i="12"/>
  <c r="F1228" i="12"/>
  <c r="F900" i="12"/>
  <c r="F1043" i="12"/>
  <c r="H787" i="12"/>
  <c r="F1023" i="12"/>
  <c r="H1313" i="12"/>
  <c r="H796" i="12"/>
  <c r="H858" i="12"/>
  <c r="H528" i="12"/>
  <c r="G892" i="12"/>
  <c r="G625" i="12"/>
  <c r="G1260" i="12"/>
  <c r="H1075" i="12"/>
  <c r="H255" i="12"/>
  <c r="H522" i="12"/>
  <c r="G821" i="12"/>
  <c r="G1095" i="12"/>
  <c r="G1086" i="12"/>
  <c r="H1403" i="12"/>
  <c r="F1158" i="12"/>
  <c r="G1243" i="12"/>
  <c r="F1726" i="12"/>
  <c r="G1328" i="12"/>
  <c r="G1452" i="12"/>
  <c r="G1158" i="12"/>
  <c r="H1115" i="12"/>
  <c r="H1449" i="12"/>
  <c r="G1355" i="12"/>
  <c r="G1171" i="12"/>
  <c r="F1008" i="12"/>
  <c r="F1160" i="12"/>
  <c r="G1544" i="12"/>
  <c r="G984" i="12"/>
  <c r="F1278" i="12"/>
  <c r="G1250" i="12"/>
  <c r="F960" i="12"/>
  <c r="H1442" i="12"/>
  <c r="H1029" i="12"/>
  <c r="F275" i="12"/>
  <c r="G1046" i="12"/>
  <c r="G743" i="12"/>
  <c r="H463" i="12"/>
  <c r="G819" i="12"/>
  <c r="F1361" i="12"/>
  <c r="G1042" i="12"/>
  <c r="H801" i="12"/>
  <c r="F310" i="12"/>
  <c r="H865" i="12"/>
  <c r="H1186" i="12"/>
  <c r="F817" i="12"/>
  <c r="G1108" i="12"/>
  <c r="F1399" i="12"/>
  <c r="H954" i="12"/>
  <c r="G975" i="12"/>
  <c r="H618" i="12"/>
  <c r="H998" i="12"/>
  <c r="G851" i="12"/>
  <c r="H816" i="12"/>
  <c r="F1161" i="12"/>
  <c r="H927" i="12"/>
  <c r="G827" i="12"/>
  <c r="F951" i="12"/>
  <c r="F1202" i="12"/>
  <c r="H1171" i="12"/>
  <c r="H726" i="12"/>
  <c r="H1277" i="12"/>
  <c r="H1231" i="12"/>
  <c r="G1811" i="12"/>
  <c r="G1479" i="12"/>
  <c r="G945" i="12"/>
  <c r="F1267" i="12"/>
  <c r="H1237" i="12"/>
  <c r="H1560" i="12"/>
  <c r="H1500" i="12"/>
  <c r="G1329" i="12"/>
  <c r="H1173" i="12"/>
  <c r="H1267" i="12"/>
  <c r="F318" i="12"/>
  <c r="H1172" i="12"/>
  <c r="G1363" i="12"/>
  <c r="H1050" i="12"/>
  <c r="H1214" i="12"/>
  <c r="H1028" i="12"/>
  <c r="H1174" i="12"/>
  <c r="F637" i="12"/>
  <c r="G1201" i="12"/>
  <c r="F1374" i="12"/>
  <c r="G1069" i="12"/>
  <c r="G813" i="12"/>
  <c r="F602" i="12"/>
  <c r="F698" i="12"/>
  <c r="H702" i="12"/>
  <c r="G950" i="12"/>
  <c r="H1531" i="12"/>
  <c r="H1127" i="12"/>
  <c r="G418" i="12"/>
  <c r="G543" i="12"/>
  <c r="G581" i="12"/>
  <c r="G1286" i="12"/>
  <c r="F961" i="12"/>
  <c r="G485" i="12"/>
  <c r="H1120" i="12"/>
  <c r="G1063" i="12"/>
  <c r="G1065" i="12"/>
  <c r="H601" i="12"/>
  <c r="F1086" i="12"/>
  <c r="H507" i="12"/>
  <c r="H966" i="12"/>
  <c r="G699" i="12"/>
  <c r="F565" i="12"/>
  <c r="G955" i="12"/>
  <c r="G1044" i="12"/>
  <c r="F607" i="12"/>
  <c r="F894" i="12"/>
  <c r="G1155" i="12"/>
  <c r="H1373" i="12"/>
  <c r="H1021" i="12"/>
  <c r="H1896" i="12"/>
  <c r="H645" i="12"/>
  <c r="F1157" i="12"/>
  <c r="H1352" i="12"/>
  <c r="H1030" i="12"/>
  <c r="F1646" i="12"/>
  <c r="H1593" i="12"/>
  <c r="H1478" i="12"/>
  <c r="F1299" i="12"/>
  <c r="H989" i="12"/>
  <c r="H997" i="12"/>
  <c r="H1308" i="12"/>
  <c r="H1448" i="12"/>
  <c r="F796" i="12"/>
  <c r="H1350" i="12"/>
  <c r="G1203" i="12"/>
  <c r="H1278" i="12"/>
  <c r="G1170" i="12"/>
  <c r="F753" i="12"/>
  <c r="G1459" i="12"/>
  <c r="F933" i="12"/>
  <c r="H1752" i="12"/>
  <c r="G1423" i="12"/>
  <c r="H1252" i="12"/>
  <c r="F1491" i="12"/>
  <c r="F1279" i="12"/>
  <c r="F1907" i="12"/>
  <c r="G1110" i="12"/>
  <c r="F1411" i="12"/>
  <c r="H1183" i="12"/>
  <c r="F1827" i="12"/>
  <c r="G582" i="12"/>
  <c r="F1148" i="12"/>
  <c r="F1057" i="12"/>
  <c r="G1136" i="12"/>
  <c r="F1854" i="12"/>
  <c r="H1281" i="12"/>
  <c r="G764" i="12"/>
  <c r="F1295" i="12"/>
  <c r="F1923" i="12"/>
  <c r="G1593" i="12"/>
  <c r="F778" i="12"/>
  <c r="H289" i="12"/>
  <c r="F1438" i="12"/>
  <c r="F1007" i="12"/>
  <c r="F1214" i="12"/>
  <c r="G1216" i="12"/>
  <c r="H880" i="12"/>
  <c r="G1215" i="12"/>
  <c r="G1284" i="12"/>
  <c r="H667" i="12"/>
  <c r="G1210" i="12"/>
  <c r="G1576" i="12"/>
  <c r="F1235" i="12"/>
  <c r="F1198" i="12"/>
  <c r="F1881" i="12"/>
  <c r="F1287" i="12"/>
  <c r="F775" i="12"/>
  <c r="G1292" i="12"/>
  <c r="G1310" i="12"/>
  <c r="G1382" i="12"/>
  <c r="G952" i="12"/>
  <c r="G1107" i="12"/>
  <c r="F1304" i="12"/>
  <c r="G1231" i="12"/>
  <c r="G1441" i="12"/>
  <c r="F988" i="12"/>
  <c r="H1757" i="12"/>
  <c r="H1599" i="12"/>
  <c r="F1341" i="12"/>
  <c r="H1872" i="12"/>
  <c r="G2107" i="12"/>
  <c r="F1652" i="12"/>
  <c r="F1803" i="12"/>
  <c r="F2021" i="12"/>
  <c r="F2187" i="12"/>
  <c r="G1467" i="12"/>
  <c r="F1514" i="12"/>
  <c r="G1522" i="12"/>
  <c r="G1280" i="12"/>
  <c r="F1599" i="12"/>
  <c r="F1643" i="12"/>
  <c r="G939" i="12"/>
  <c r="H1392" i="12"/>
  <c r="F1760" i="12"/>
  <c r="H1465" i="12"/>
  <c r="F1641" i="12"/>
  <c r="H1501" i="12"/>
  <c r="H1388" i="12"/>
  <c r="F1822" i="12"/>
  <c r="F1717" i="12"/>
  <c r="G1387" i="12"/>
  <c r="F2133" i="12"/>
  <c r="H1538" i="12"/>
  <c r="H1551" i="12"/>
  <c r="H1552" i="12"/>
  <c r="H1967" i="12"/>
  <c r="F1051" i="12"/>
  <c r="G1513" i="12"/>
  <c r="G1584" i="12"/>
  <c r="H1497" i="12"/>
  <c r="G2181" i="12"/>
  <c r="H1447" i="12"/>
  <c r="F1801" i="12"/>
  <c r="F1616" i="12"/>
  <c r="F1548" i="12"/>
  <c r="H1692" i="12"/>
  <c r="H1326" i="12"/>
  <c r="H1433" i="12"/>
  <c r="G1463" i="12"/>
  <c r="H1853" i="12"/>
  <c r="F1642" i="12"/>
  <c r="H1321" i="12"/>
  <c r="H1013" i="12"/>
  <c r="H1545" i="12"/>
  <c r="H1605" i="12"/>
  <c r="F1412" i="12"/>
  <c r="F1471" i="12"/>
  <c r="H1495" i="12"/>
  <c r="H1898" i="12"/>
  <c r="G1559" i="12"/>
  <c r="H1806" i="12"/>
  <c r="G2034" i="12"/>
  <c r="G1483" i="12"/>
  <c r="G1839" i="12"/>
  <c r="H1627" i="12"/>
  <c r="F2134" i="12"/>
  <c r="H2177" i="12"/>
  <c r="H1932" i="12"/>
  <c r="G2046" i="12"/>
  <c r="F1620" i="12"/>
  <c r="H2250" i="12"/>
  <c r="H2059" i="12"/>
  <c r="G1943" i="12"/>
  <c r="H1726" i="12"/>
  <c r="H2293" i="12"/>
  <c r="G1695" i="12"/>
  <c r="H662" i="12"/>
  <c r="H2026" i="12"/>
  <c r="H1893" i="12"/>
  <c r="F1730" i="12"/>
  <c r="G1466" i="12"/>
  <c r="H943" i="12"/>
  <c r="G680" i="12"/>
  <c r="H1176" i="12"/>
  <c r="F1121" i="12"/>
  <c r="F1546" i="12"/>
  <c r="G1320" i="12"/>
  <c r="H1565" i="12"/>
  <c r="H945" i="12"/>
  <c r="G795" i="12"/>
  <c r="H458" i="12"/>
  <c r="H1304" i="12"/>
  <c r="H1661" i="12"/>
  <c r="G974" i="12"/>
  <c r="G1040" i="12"/>
  <c r="F1355" i="12"/>
  <c r="G1404" i="12"/>
  <c r="G1087" i="12"/>
  <c r="H1409" i="12"/>
  <c r="H1395" i="12"/>
  <c r="G1510" i="12"/>
  <c r="G1114" i="12"/>
  <c r="F878" i="12"/>
  <c r="G1405" i="12"/>
  <c r="H785" i="12"/>
  <c r="F972" i="12"/>
  <c r="H1141" i="12"/>
  <c r="F1891" i="12"/>
  <c r="F1685" i="12"/>
  <c r="H1488" i="12"/>
  <c r="F1968" i="12"/>
  <c r="F1022" i="12"/>
  <c r="H1440" i="12"/>
  <c r="F1378" i="12"/>
  <c r="G2106" i="12"/>
  <c r="G2272" i="12"/>
  <c r="G1635" i="12"/>
  <c r="G1610" i="12"/>
  <c r="G1611" i="12"/>
  <c r="H1613" i="12"/>
  <c r="F1442" i="12"/>
  <c r="G1728" i="12"/>
  <c r="H1165" i="12"/>
  <c r="G1561" i="12"/>
  <c r="F1296" i="12"/>
  <c r="H1569" i="12"/>
  <c r="H1763" i="12"/>
  <c r="H1594" i="12"/>
  <c r="F1523" i="12"/>
  <c r="G1274" i="12"/>
  <c r="G1802" i="12"/>
  <c r="H1522" i="12"/>
  <c r="G2218" i="12"/>
  <c r="G1699" i="12"/>
  <c r="F1637" i="12"/>
  <c r="F1638" i="12"/>
  <c r="F2053" i="12"/>
  <c r="H1491" i="12"/>
  <c r="F1293" i="12"/>
  <c r="H1669" i="12"/>
  <c r="H1591" i="12"/>
  <c r="H2266" i="12"/>
  <c r="F1729" i="12"/>
  <c r="G934" i="12"/>
  <c r="G1701" i="12"/>
  <c r="G1360" i="12"/>
  <c r="G1826" i="12"/>
  <c r="F1566" i="12"/>
  <c r="H1567" i="12"/>
  <c r="H1568" i="12"/>
  <c r="F1382" i="12"/>
  <c r="G1442" i="12"/>
  <c r="F1472" i="12"/>
  <c r="H1549" i="12"/>
  <c r="F1348" i="12"/>
  <c r="F1691" i="12"/>
  <c r="F1614" i="12"/>
  <c r="F1589" i="12"/>
  <c r="F1590" i="12"/>
  <c r="H2031" i="12"/>
  <c r="H1778" i="12"/>
  <c r="H1913" i="12"/>
  <c r="H2119" i="12"/>
  <c r="H1732" i="12"/>
  <c r="H1940" i="12"/>
  <c r="G1846" i="12"/>
  <c r="G1737" i="12"/>
  <c r="F2263" i="12"/>
  <c r="H2018" i="12"/>
  <c r="G1623" i="12"/>
  <c r="F1669" i="12"/>
  <c r="G2373" i="12"/>
  <c r="F1456" i="12"/>
  <c r="H2028" i="12"/>
  <c r="F1917" i="12"/>
  <c r="H1639" i="12"/>
  <c r="F1829" i="12"/>
  <c r="H1880" i="12"/>
  <c r="G2149" i="12"/>
  <c r="F1985" i="12"/>
  <c r="H1855" i="12"/>
  <c r="G1193" i="12"/>
  <c r="G944" i="12"/>
  <c r="G823" i="12"/>
  <c r="G1731" i="12"/>
  <c r="H1288" i="12"/>
  <c r="G649" i="12"/>
  <c r="H1405" i="12"/>
  <c r="F1651" i="12"/>
  <c r="H1140" i="12"/>
  <c r="G1088" i="12"/>
  <c r="F850" i="12"/>
  <c r="F1390" i="12"/>
  <c r="F1506" i="12"/>
  <c r="G1157" i="12"/>
  <c r="F1107" i="12"/>
  <c r="G1499" i="12"/>
  <c r="F1180" i="12"/>
  <c r="H1067" i="12"/>
  <c r="G1516" i="12"/>
  <c r="H853" i="12"/>
  <c r="F1100" i="12"/>
  <c r="G1236" i="12"/>
  <c r="G860" i="12"/>
  <c r="H1266" i="12"/>
  <c r="F1088" i="12"/>
  <c r="G1194" i="12"/>
  <c r="G1254" i="12"/>
  <c r="H1429" i="12"/>
  <c r="F1309" i="12"/>
  <c r="G1232" i="12"/>
  <c r="G2053" i="12"/>
  <c r="H1035" i="12"/>
  <c r="H1577" i="12"/>
  <c r="F1515" i="12"/>
  <c r="H2191" i="12"/>
  <c r="H1840" i="12"/>
  <c r="F1790" i="12"/>
  <c r="H1695" i="12"/>
  <c r="H1349" i="12"/>
  <c r="H1773" i="12"/>
  <c r="G1583" i="12"/>
  <c r="H1813" i="12"/>
  <c r="F1321" i="12"/>
  <c r="F1212" i="12"/>
  <c r="F1453" i="12"/>
  <c r="G1314" i="12"/>
  <c r="G1886" i="12"/>
  <c r="F1680" i="12"/>
  <c r="H1322" i="12"/>
  <c r="G1506" i="12"/>
  <c r="G1367" i="12"/>
  <c r="H1611" i="12"/>
  <c r="H2303" i="12"/>
  <c r="G1827" i="12"/>
  <c r="G1722" i="12"/>
  <c r="G1397" i="12"/>
  <c r="G2138" i="12"/>
  <c r="F699" i="12"/>
  <c r="F522" i="12"/>
  <c r="H1385" i="12"/>
  <c r="G1029" i="12"/>
  <c r="G607" i="12"/>
  <c r="H1056" i="12"/>
  <c r="G1736" i="12"/>
  <c r="H1458" i="12"/>
  <c r="G970" i="12"/>
  <c r="G1478" i="12"/>
  <c r="G1475" i="12"/>
  <c r="F1598" i="12"/>
  <c r="H833" i="12"/>
  <c r="H990" i="12"/>
  <c r="H1250" i="12"/>
  <c r="G905" i="12"/>
  <c r="F1205" i="12"/>
  <c r="F1083" i="12"/>
  <c r="F1096" i="12"/>
  <c r="F1276" i="12"/>
  <c r="F1326" i="12"/>
  <c r="F1082" i="12"/>
  <c r="F1363" i="12"/>
  <c r="H1152" i="12"/>
  <c r="G1324" i="12"/>
  <c r="H965" i="12"/>
  <c r="H1624" i="12"/>
  <c r="H1461" i="12"/>
  <c r="F1428" i="12"/>
  <c r="H2138" i="12"/>
  <c r="G919" i="12"/>
  <c r="H1572" i="12"/>
  <c r="F1606" i="12"/>
  <c r="F2277" i="12"/>
  <c r="F1942" i="12"/>
  <c r="F1918" i="12"/>
  <c r="F1781" i="12"/>
  <c r="F1496" i="12"/>
  <c r="H1933" i="12"/>
  <c r="G1348" i="12"/>
  <c r="F1397" i="12"/>
  <c r="F1013" i="12"/>
  <c r="G1470" i="12"/>
  <c r="F1563" i="12"/>
  <c r="H1387" i="12"/>
  <c r="H1402" i="12"/>
  <c r="G1765" i="12"/>
  <c r="F1474" i="12"/>
  <c r="G1646" i="12"/>
  <c r="F1508" i="12"/>
  <c r="H1397" i="12"/>
  <c r="F2389" i="12"/>
  <c r="H1290" i="12"/>
  <c r="H1807" i="12"/>
  <c r="F1529" i="12"/>
  <c r="H2223" i="12"/>
  <c r="H1043" i="12"/>
  <c r="G876" i="12"/>
  <c r="F1025" i="12"/>
  <c r="G1262" i="12"/>
  <c r="F1006" i="12"/>
  <c r="G1379" i="12"/>
  <c r="H1821" i="12"/>
  <c r="F1075" i="12"/>
  <c r="G1126" i="12"/>
  <c r="H1024" i="12"/>
  <c r="G1197" i="12"/>
  <c r="G1683" i="12"/>
  <c r="F1094" i="12"/>
  <c r="H1144" i="12"/>
  <c r="F1307" i="12"/>
  <c r="G1131" i="12"/>
  <c r="G1300" i="12"/>
  <c r="F1253" i="12"/>
  <c r="H1305" i="12"/>
  <c r="H1414" i="12"/>
  <c r="G1224" i="12"/>
  <c r="F1393" i="12"/>
  <c r="G1448" i="12"/>
  <c r="F1041" i="12"/>
  <c r="F1431" i="12"/>
  <c r="H1124" i="12"/>
  <c r="G1779" i="12"/>
  <c r="F1568" i="12"/>
  <c r="G1548" i="12"/>
  <c r="H2394" i="12"/>
  <c r="H1211" i="12"/>
  <c r="G1307" i="12"/>
  <c r="H1340" i="12"/>
  <c r="G2362" i="12"/>
  <c r="G2027" i="12"/>
  <c r="F1460" i="12"/>
  <c r="H1328" i="12"/>
  <c r="G1590" i="12"/>
  <c r="H1476" i="12"/>
  <c r="G1520" i="12"/>
  <c r="H1528" i="12"/>
  <c r="F1344" i="12"/>
  <c r="F971" i="12"/>
  <c r="G1648" i="12"/>
  <c r="F1288" i="12"/>
  <c r="H1566" i="12"/>
  <c r="G1311" i="12"/>
  <c r="F1575" i="12"/>
  <c r="F1769" i="12"/>
  <c r="F1600" i="12"/>
  <c r="G1529" i="12"/>
  <c r="H1666" i="12"/>
  <c r="F1519" i="12"/>
  <c r="G1376" i="12"/>
  <c r="F1034" i="12"/>
  <c r="F2309" i="12"/>
  <c r="H1286" i="12"/>
  <c r="G637" i="12"/>
  <c r="G1384" i="12"/>
  <c r="H1108" i="12"/>
  <c r="F656" i="12"/>
  <c r="H1464" i="12"/>
  <c r="G1344" i="12"/>
  <c r="H1222" i="12"/>
  <c r="F1467" i="12"/>
  <c r="G1240" i="12"/>
  <c r="F1465" i="12"/>
  <c r="H1768" i="12"/>
  <c r="F1236" i="12"/>
  <c r="H970" i="12"/>
  <c r="F1461" i="12"/>
  <c r="F1272" i="12"/>
  <c r="G1050" i="12"/>
  <c r="F996" i="12"/>
  <c r="F1059" i="12"/>
  <c r="H1297" i="12"/>
  <c r="H1315" i="12"/>
  <c r="F1521" i="12"/>
  <c r="H976" i="12"/>
  <c r="H1184" i="12"/>
  <c r="F742" i="12"/>
  <c r="H1242" i="12"/>
  <c r="F1440" i="12"/>
  <c r="G1653" i="12"/>
  <c r="F1238" i="12"/>
  <c r="H1684" i="12"/>
  <c r="G1263" i="12"/>
  <c r="H1507" i="12"/>
  <c r="G1488" i="12"/>
  <c r="F1879" i="12"/>
  <c r="H2112" i="12"/>
  <c r="H1619" i="12"/>
  <c r="H1479" i="12"/>
  <c r="F1360" i="12"/>
  <c r="G1651" i="12"/>
  <c r="H1615" i="12"/>
  <c r="H1616" i="12"/>
  <c r="H1629" i="12"/>
  <c r="F1451" i="12"/>
  <c r="H1733" i="12"/>
  <c r="G1406" i="12"/>
  <c r="G1275" i="12"/>
  <c r="F1462" i="12"/>
  <c r="G1323" i="12"/>
  <c r="H1891" i="12"/>
  <c r="G1685" i="12"/>
  <c r="H1332" i="12"/>
  <c r="F1804" i="12"/>
  <c r="H1651" i="12"/>
  <c r="G1514" i="12"/>
  <c r="H1407" i="12"/>
  <c r="F1213" i="12"/>
  <c r="F800" i="12"/>
  <c r="H1142" i="12"/>
  <c r="F1582" i="12"/>
  <c r="G1227" i="12"/>
  <c r="G1039" i="12"/>
  <c r="H1672" i="12"/>
  <c r="H1325" i="12"/>
  <c r="F1571" i="12"/>
  <c r="G1393" i="12"/>
  <c r="G1067" i="12"/>
  <c r="G881" i="12"/>
  <c r="G1336" i="12"/>
  <c r="H1581" i="12"/>
  <c r="G1567" i="12"/>
  <c r="G1373" i="12"/>
  <c r="F1153" i="12"/>
  <c r="G1149" i="12"/>
  <c r="H1198" i="12"/>
  <c r="F1415" i="12"/>
  <c r="F1401" i="12"/>
  <c r="F1436" i="12"/>
  <c r="F1132" i="12"/>
  <c r="H1023" i="12"/>
  <c r="H1055" i="12"/>
  <c r="H1331" i="12"/>
  <c r="G1598" i="12"/>
  <c r="H1738" i="12"/>
  <c r="H1428" i="12"/>
  <c r="G1820" i="12"/>
  <c r="F1763" i="12"/>
  <c r="F1605" i="12"/>
  <c r="F1585" i="12"/>
  <c r="G1973" i="12"/>
  <c r="H1668" i="12"/>
  <c r="F1737" i="12"/>
  <c r="H1578" i="12"/>
  <c r="F1503" i="12"/>
  <c r="G1795" i="12"/>
  <c r="F1701" i="12"/>
  <c r="H1359" i="12"/>
  <c r="F1779" i="12"/>
  <c r="H1588" i="12"/>
  <c r="F1014" i="12"/>
  <c r="G1144" i="12"/>
  <c r="H1477" i="12"/>
  <c r="G1568" i="12"/>
  <c r="H1515" i="12"/>
  <c r="H1412" i="12"/>
  <c r="H1770" i="12"/>
  <c r="G1482" i="12"/>
  <c r="G1911" i="12"/>
  <c r="H1779" i="12"/>
  <c r="G1605" i="12"/>
  <c r="H1535" i="12"/>
  <c r="F1676" i="12"/>
  <c r="H1704" i="12"/>
  <c r="G1642" i="12"/>
  <c r="F1024" i="12"/>
  <c r="G2058" i="12"/>
  <c r="G1968" i="12"/>
  <c r="H1504" i="12"/>
  <c r="F1318" i="12"/>
  <c r="F1675" i="12"/>
  <c r="F1597" i="12"/>
  <c r="F2272" i="12"/>
  <c r="G1678" i="12"/>
  <c r="G1534" i="12"/>
  <c r="G1435" i="12"/>
  <c r="F1561" i="12"/>
  <c r="F1414" i="12"/>
  <c r="F1285" i="12"/>
  <c r="H1736" i="12"/>
  <c r="H1663" i="12"/>
  <c r="H1284" i="12"/>
  <c r="H1715" i="12"/>
  <c r="G1557" i="12"/>
  <c r="G1420" i="12"/>
  <c r="F1984" i="12"/>
  <c r="G1867" i="12"/>
  <c r="H1696" i="12"/>
  <c r="H2098" i="12"/>
  <c r="F1759" i="12"/>
  <c r="H1002" i="12"/>
  <c r="G1676" i="12"/>
  <c r="H812" i="12"/>
  <c r="G859" i="12"/>
  <c r="F1177" i="12"/>
  <c r="G1667" i="12"/>
  <c r="G1361" i="12"/>
  <c r="H1182" i="12"/>
  <c r="G626" i="12"/>
  <c r="G1496" i="12"/>
  <c r="G1656" i="12"/>
  <c r="G1500" i="12"/>
  <c r="H1204" i="12"/>
  <c r="G928" i="12"/>
  <c r="H1421" i="12"/>
  <c r="F1667" i="12"/>
  <c r="F1137" i="12"/>
  <c r="G595" i="12"/>
  <c r="F982" i="12"/>
  <c r="G1277" i="12"/>
  <c r="F970" i="12"/>
  <c r="G1532" i="12"/>
  <c r="H920" i="12"/>
  <c r="G961" i="12"/>
  <c r="F1422" i="12"/>
  <c r="G1169" i="12"/>
  <c r="H1215" i="12"/>
  <c r="F1417" i="12"/>
  <c r="G1726" i="12"/>
  <c r="H1154" i="12"/>
  <c r="G1692" i="12"/>
  <c r="G1924" i="12"/>
  <c r="G1896" i="12"/>
  <c r="G1690" i="12"/>
  <c r="F1350" i="12"/>
  <c r="H2058" i="12"/>
  <c r="F1805" i="12"/>
  <c r="F1865" i="12"/>
  <c r="F1664" i="12"/>
  <c r="G1285" i="12"/>
  <c r="H1928" i="12"/>
  <c r="G1786" i="12"/>
  <c r="H1502" i="12"/>
  <c r="F806" i="12"/>
  <c r="F1357" i="12"/>
  <c r="F1407" i="12"/>
  <c r="F1364" i="12"/>
  <c r="F1128" i="12"/>
  <c r="H1653" i="12"/>
  <c r="F1400" i="12"/>
  <c r="G1577" i="12"/>
  <c r="G1321" i="12"/>
  <c r="G1580" i="12"/>
  <c r="F2000" i="12"/>
  <c r="F1897" i="12"/>
  <c r="H1690" i="12"/>
  <c r="H1342" i="12"/>
  <c r="G1812" i="12"/>
  <c r="H1832" i="12"/>
  <c r="H1727" i="12"/>
  <c r="G1407" i="12"/>
  <c r="H2143" i="12"/>
  <c r="H2053" i="12"/>
  <c r="F1683" i="12"/>
  <c r="F1501" i="12"/>
  <c r="G1760" i="12"/>
  <c r="H1625" i="12"/>
  <c r="G2357" i="12"/>
  <c r="G1806" i="12"/>
  <c r="G1621" i="12"/>
  <c r="G1553" i="12"/>
  <c r="H1683" i="12"/>
  <c r="H1540" i="12"/>
  <c r="G1445" i="12"/>
  <c r="G1875" i="12"/>
  <c r="F1749" i="12"/>
  <c r="F1445" i="12"/>
  <c r="H1827" i="12"/>
  <c r="H1642" i="12"/>
  <c r="H1608" i="12"/>
  <c r="G2117" i="12"/>
  <c r="H1963" i="12"/>
  <c r="G1829" i="12"/>
  <c r="G1663" i="12"/>
  <c r="H1877" i="12"/>
  <c r="G1595" i="12"/>
  <c r="H1846" i="12"/>
  <c r="H1847" i="12"/>
  <c r="F2194" i="12"/>
  <c r="G2088" i="12"/>
  <c r="G1759" i="12"/>
  <c r="G1718" i="12"/>
  <c r="G2288" i="12"/>
  <c r="F1687" i="12"/>
  <c r="G1331" i="12"/>
  <c r="G2021" i="12"/>
  <c r="G1887" i="12"/>
  <c r="G707" i="12"/>
  <c r="H864" i="12"/>
  <c r="G1093" i="12"/>
  <c r="F1838" i="12"/>
  <c r="F1500" i="12"/>
  <c r="F1190" i="12"/>
  <c r="F846" i="12"/>
  <c r="G1299" i="12"/>
  <c r="H1741" i="12"/>
  <c r="G1055" i="12"/>
  <c r="F1300" i="12"/>
  <c r="H817" i="12"/>
  <c r="G1085" i="12"/>
  <c r="G1752" i="12"/>
  <c r="H963" i="12"/>
  <c r="H1341" i="12"/>
  <c r="H1136" i="12"/>
  <c r="G1389" i="12"/>
  <c r="F1126" i="12"/>
  <c r="F1093" i="12"/>
  <c r="F1105" i="12"/>
  <c r="G1187" i="12"/>
  <c r="H952" i="12"/>
  <c r="F1275" i="12"/>
  <c r="H1007" i="12"/>
  <c r="H1133" i="12"/>
  <c r="F1849" i="12"/>
  <c r="G1415" i="12"/>
  <c r="F1826" i="12"/>
  <c r="F2011" i="12"/>
  <c r="G1458" i="12"/>
  <c r="H1775" i="12"/>
  <c r="H1436" i="12"/>
  <c r="F2144" i="12"/>
  <c r="F704" i="12"/>
  <c r="F1375" i="12"/>
  <c r="G1749" i="12"/>
  <c r="H1445" i="12"/>
  <c r="H1468" i="12"/>
  <c r="H1338" i="12"/>
  <c r="H1595" i="12"/>
  <c r="H1518" i="12"/>
  <c r="H1527" i="12"/>
  <c r="F1535" i="12"/>
  <c r="F1635" i="12"/>
  <c r="H1470" i="12"/>
  <c r="F1739" i="12"/>
  <c r="G953" i="12"/>
  <c r="G1291" i="12"/>
  <c r="H1471" i="12"/>
  <c r="G1333" i="12"/>
  <c r="F1110" i="12"/>
  <c r="G1440" i="12"/>
  <c r="F1776" i="12"/>
  <c r="F1490" i="12"/>
  <c r="G1917" i="12"/>
  <c r="F1306" i="12"/>
  <c r="F1813" i="12"/>
  <c r="G1535" i="12"/>
  <c r="F2229" i="12"/>
  <c r="F2139" i="12"/>
  <c r="F1843" i="12"/>
  <c r="F1626" i="12"/>
  <c r="G1296" i="12"/>
  <c r="G1769" i="12"/>
  <c r="G1613" i="12"/>
  <c r="G1109" i="12"/>
  <c r="H1706" i="12"/>
  <c r="G1370" i="12"/>
  <c r="H1811" i="12"/>
  <c r="H1626" i="12"/>
  <c r="H1558" i="12"/>
  <c r="H1364" i="12"/>
  <c r="G1220" i="12"/>
  <c r="G1558" i="12"/>
  <c r="G1327" i="12"/>
  <c r="F1728" i="12"/>
  <c r="H1506" i="12"/>
  <c r="F2240" i="12"/>
  <c r="F2049" i="12"/>
  <c r="F1932" i="12"/>
  <c r="H1799" i="12"/>
  <c r="F1972" i="12"/>
  <c r="H1042" i="12"/>
  <c r="F1963" i="12"/>
  <c r="F1948" i="12"/>
  <c r="H1466" i="12"/>
  <c r="F1645" i="12"/>
  <c r="F1878" i="12"/>
  <c r="F1911" i="12"/>
  <c r="F1615" i="12"/>
  <c r="H1822" i="12"/>
  <c r="F1758" i="12"/>
  <c r="G2133" i="12"/>
  <c r="H1979" i="12"/>
  <c r="G1849" i="12"/>
  <c r="H1071" i="12"/>
  <c r="H2197" i="12"/>
  <c r="H2134" i="12"/>
  <c r="F1876" i="12"/>
  <c r="G838" i="12"/>
  <c r="G999" i="12"/>
  <c r="H1008" i="12"/>
  <c r="H1512" i="12"/>
  <c r="G1101" i="12"/>
  <c r="G1289" i="12"/>
  <c r="F1092" i="12"/>
  <c r="H1384" i="12"/>
  <c r="G1912" i="12"/>
  <c r="H1221" i="12"/>
  <c r="G1176" i="12"/>
  <c r="F839" i="12"/>
  <c r="G1395" i="12"/>
  <c r="H1837" i="12"/>
  <c r="H656" i="12"/>
  <c r="F1427" i="12"/>
  <c r="G1251" i="12"/>
  <c r="H763" i="12"/>
  <c r="G1013" i="12"/>
  <c r="H964" i="12"/>
  <c r="F1231" i="12"/>
  <c r="F1319" i="12"/>
  <c r="H1114" i="12"/>
  <c r="H1381" i="12"/>
  <c r="G1181" i="12"/>
  <c r="F1249" i="12"/>
  <c r="F1346" i="12"/>
  <c r="F1541" i="12"/>
  <c r="H1929" i="12"/>
  <c r="H2181" i="12"/>
  <c r="F1630" i="12"/>
  <c r="H1319" i="12"/>
  <c r="H1553" i="12"/>
  <c r="G2229" i="12"/>
  <c r="H1202" i="12"/>
  <c r="G1539" i="12"/>
  <c r="F1257" i="12"/>
  <c r="F1559" i="12"/>
  <c r="G1630" i="12"/>
  <c r="G1487" i="12"/>
  <c r="F1370" i="12"/>
  <c r="H1656" i="12"/>
  <c r="F1621" i="12"/>
  <c r="F1622" i="12"/>
  <c r="G1784" i="12"/>
  <c r="F1594" i="12"/>
  <c r="H1162" i="12"/>
  <c r="G1161" i="12"/>
  <c r="G1486" i="12"/>
  <c r="H1573" i="12"/>
  <c r="F1483" i="12"/>
  <c r="G912" i="12"/>
  <c r="H1582" i="12"/>
  <c r="F1330" i="12"/>
  <c r="H1585" i="12"/>
  <c r="G2005" i="12"/>
  <c r="F1545" i="12"/>
  <c r="G1386" i="12"/>
  <c r="G1178" i="12"/>
  <c r="G2314" i="12"/>
  <c r="G2224" i="12"/>
  <c r="H1316" i="12"/>
  <c r="H1423" i="12"/>
  <c r="H1454" i="12"/>
  <c r="F1885" i="12"/>
  <c r="H940" i="12"/>
  <c r="G1477" i="12"/>
  <c r="F1792" i="12"/>
  <c r="H1509" i="12"/>
  <c r="H1274" i="12"/>
  <c r="F1712" i="12"/>
  <c r="G1380" i="12"/>
  <c r="G1566" i="12"/>
  <c r="F1424" i="12"/>
  <c r="H1537" i="12"/>
  <c r="F1513" i="12"/>
  <c r="G1813" i="12"/>
  <c r="H1583" i="12"/>
  <c r="H2362" i="12"/>
  <c r="F1301" i="12"/>
  <c r="F2018" i="12"/>
  <c r="F1909" i="12"/>
  <c r="G2057" i="12"/>
  <c r="F1391" i="12"/>
  <c r="H2069" i="12"/>
  <c r="F1457" i="12"/>
  <c r="H1318" i="12"/>
  <c r="H1088" i="12"/>
  <c r="H1603" i="12"/>
  <c r="G1372" i="12"/>
  <c r="F1030" i="12"/>
  <c r="H1014" i="12"/>
  <c r="F1470" i="12"/>
  <c r="H1592" i="12"/>
  <c r="G964" i="12"/>
  <c r="H870" i="12"/>
  <c r="F860" i="12"/>
  <c r="H1480" i="12"/>
  <c r="F1373" i="12"/>
  <c r="F726" i="12"/>
  <c r="H843" i="12"/>
  <c r="F1175" i="12"/>
  <c r="F913" i="12"/>
  <c r="F1146" i="12"/>
  <c r="H1157" i="12"/>
  <c r="F785" i="12"/>
  <c r="H1425" i="12"/>
  <c r="H1236" i="12"/>
  <c r="H747" i="12"/>
  <c r="G1309" i="12"/>
  <c r="H953" i="12"/>
  <c r="H1525" i="12"/>
  <c r="H1797" i="12"/>
  <c r="H2015" i="12"/>
  <c r="F2267" i="12"/>
  <c r="H1784" i="12"/>
  <c r="G1471" i="12"/>
  <c r="H1268" i="12"/>
  <c r="F2400" i="12"/>
  <c r="H1104" i="12"/>
  <c r="G959" i="12"/>
  <c r="G1434" i="12"/>
  <c r="F1286" i="12"/>
  <c r="G1742" i="12"/>
  <c r="F1584" i="12"/>
  <c r="G1509" i="12"/>
  <c r="H1800" i="12"/>
  <c r="G1706" i="12"/>
  <c r="H1369" i="12"/>
  <c r="G1089" i="12"/>
  <c r="F1366" i="12"/>
  <c r="H1415" i="12"/>
  <c r="H1372" i="12"/>
  <c r="F1251" i="12"/>
  <c r="F1659" i="12"/>
  <c r="F1581" i="12"/>
  <c r="F1115" i="12"/>
  <c r="H1306" i="12"/>
  <c r="F1481" i="12"/>
  <c r="G1343" i="12"/>
  <c r="F1053" i="12"/>
  <c r="F1459" i="12"/>
  <c r="G1489" i="12"/>
  <c r="F1689" i="12"/>
  <c r="F1209" i="12"/>
  <c r="F1176" i="12"/>
  <c r="G1234" i="12"/>
  <c r="F1048" i="12"/>
  <c r="F1678" i="12"/>
  <c r="H753" i="12"/>
  <c r="G1098" i="12"/>
  <c r="G1246" i="12"/>
  <c r="F1067" i="12"/>
  <c r="H1688" i="12"/>
  <c r="G1318" i="12"/>
  <c r="G1094" i="12"/>
  <c r="H779" i="12"/>
  <c r="G1104" i="12"/>
  <c r="G1257" i="12"/>
  <c r="H1282" i="12"/>
  <c r="F1311" i="12"/>
  <c r="F1271" i="12"/>
  <c r="G1326" i="12"/>
  <c r="G589" i="12"/>
  <c r="G976" i="12"/>
  <c r="G1115" i="12"/>
  <c r="H1646" i="12"/>
  <c r="G1369" i="12"/>
  <c r="F2101" i="12"/>
  <c r="G2352" i="12"/>
  <c r="H1912" i="12"/>
  <c r="F1744" i="12"/>
  <c r="H1438" i="12"/>
  <c r="F1693" i="12"/>
  <c r="G1225" i="12"/>
  <c r="H1450" i="12"/>
  <c r="G1552" i="12"/>
  <c r="G1447" i="12"/>
  <c r="G1870" i="12"/>
  <c r="G1669" i="12"/>
  <c r="H1300" i="12"/>
  <c r="H1205" i="12"/>
  <c r="H1791" i="12"/>
  <c r="F1509" i="12"/>
  <c r="F1525" i="12"/>
  <c r="F1534" i="12"/>
  <c r="G1541" i="12"/>
  <c r="G1640" i="12"/>
  <c r="F1478" i="12"/>
  <c r="G1744" i="12"/>
  <c r="G1549" i="12"/>
  <c r="F1032" i="12"/>
  <c r="F1507" i="12"/>
  <c r="F1579" i="12"/>
  <c r="H1490" i="12"/>
  <c r="G803" i="12"/>
  <c r="H1168" i="12"/>
  <c r="H1309" i="12"/>
  <c r="G1774" i="12"/>
  <c r="F833" i="12"/>
  <c r="H1012" i="12"/>
  <c r="H1366" i="12"/>
  <c r="G1057" i="12"/>
  <c r="G1763" i="12"/>
  <c r="H1362" i="12"/>
  <c r="G980" i="12"/>
  <c r="H1398" i="12"/>
  <c r="G1204" i="12"/>
  <c r="F1774" i="12"/>
  <c r="F1489" i="12"/>
  <c r="F1077" i="12"/>
  <c r="F814" i="12"/>
  <c r="G1230" i="12"/>
  <c r="F1354" i="12"/>
  <c r="H1394" i="12"/>
  <c r="F1068" i="12"/>
  <c r="H1045" i="12"/>
  <c r="H1411" i="12"/>
  <c r="G870" i="12"/>
  <c r="H1149" i="12"/>
  <c r="G844" i="12"/>
  <c r="F1423" i="12"/>
  <c r="H1508" i="12"/>
  <c r="H2271" i="12"/>
  <c r="H1702" i="12"/>
  <c r="F1450" i="12"/>
  <c r="H1225" i="12"/>
  <c r="G1554" i="12"/>
  <c r="H1826" i="12"/>
  <c r="G1269" i="12"/>
  <c r="F1583" i="12"/>
  <c r="H1637" i="12"/>
  <c r="H725" i="12"/>
  <c r="H1383" i="12"/>
  <c r="H1754" i="12"/>
  <c r="H1455" i="12"/>
  <c r="G1492" i="12"/>
  <c r="H1348" i="12"/>
  <c r="F1601" i="12"/>
  <c r="F1662" i="12"/>
  <c r="G1626" i="12"/>
  <c r="G1627" i="12"/>
  <c r="G1800" i="12"/>
  <c r="G1599" i="12"/>
  <c r="F1226" i="12"/>
  <c r="F1241" i="12"/>
  <c r="F1477" i="12"/>
  <c r="F1011" i="12"/>
  <c r="G1657" i="12"/>
  <c r="F1131" i="12"/>
  <c r="G1078" i="12"/>
  <c r="G1505" i="12"/>
  <c r="H1197" i="12"/>
  <c r="H1848" i="12"/>
  <c r="H1474" i="12"/>
  <c r="H958" i="12"/>
  <c r="H1526" i="12"/>
  <c r="F1211" i="12"/>
  <c r="G1859" i="12"/>
  <c r="G1082" i="12"/>
  <c r="H1210" i="12"/>
  <c r="H1323" i="12"/>
  <c r="H1320" i="12"/>
  <c r="G1498" i="12"/>
  <c r="F843" i="12"/>
  <c r="G1205" i="12"/>
  <c r="G1209" i="12"/>
  <c r="F966" i="12"/>
  <c r="H1090" i="12"/>
  <c r="G1272" i="12"/>
  <c r="F1265" i="12"/>
  <c r="F1562" i="12"/>
  <c r="H1600" i="12"/>
  <c r="F2357" i="12"/>
  <c r="G1834" i="12"/>
  <c r="F1609" i="12"/>
  <c r="G1424" i="12"/>
  <c r="H1700" i="12"/>
  <c r="G1930" i="12"/>
  <c r="G1608" i="12"/>
  <c r="G1433" i="12"/>
  <c r="F1723" i="12"/>
  <c r="F976" i="12"/>
  <c r="F1556" i="12"/>
  <c r="H1280" i="12"/>
  <c r="G1564" i="12"/>
  <c r="H1635" i="12"/>
  <c r="F1494" i="12"/>
  <c r="F1380" i="12"/>
  <c r="F1806" i="12"/>
  <c r="H1711" i="12"/>
  <c r="G1378" i="12"/>
  <c r="F1200" i="12"/>
  <c r="F1386" i="12"/>
  <c r="H1424" i="12"/>
  <c r="F1866" i="12"/>
  <c r="G1672" i="12"/>
  <c r="H1486" i="12"/>
  <c r="H1749" i="12"/>
  <c r="F1586" i="12"/>
  <c r="G1175" i="12"/>
  <c r="F638" i="12"/>
  <c r="G1439" i="12"/>
  <c r="F1394" i="12"/>
  <c r="G1265" i="12"/>
  <c r="G958" i="12"/>
  <c r="H1258" i="12"/>
  <c r="H1294" i="12"/>
  <c r="H1699" i="12"/>
  <c r="F1084" i="12"/>
  <c r="F1325" i="12"/>
  <c r="G1130" i="12"/>
  <c r="G1305" i="12"/>
  <c r="G1099" i="12"/>
  <c r="F1532" i="12"/>
  <c r="F1305" i="12"/>
  <c r="G1494" i="12"/>
  <c r="F1406" i="12"/>
  <c r="G705" i="12"/>
  <c r="H1122" i="12"/>
  <c r="F980" i="12"/>
  <c r="G996" i="12"/>
  <c r="F926" i="12"/>
  <c r="G1398" i="12"/>
  <c r="G1368" i="12"/>
  <c r="H1416" i="12"/>
  <c r="G1295" i="12"/>
  <c r="F1332" i="12"/>
  <c r="H1586" i="12"/>
  <c r="H1936" i="12"/>
  <c r="F1365" i="12"/>
  <c r="F1547" i="12"/>
  <c r="G1833" i="12"/>
  <c r="G2016" i="12"/>
  <c r="G1768" i="12"/>
  <c r="F1578" i="12"/>
  <c r="G1808" i="12"/>
  <c r="H1230" i="12"/>
  <c r="G1119" i="12"/>
  <c r="G1444" i="12"/>
  <c r="G1301" i="12"/>
  <c r="G1758" i="12"/>
  <c r="G1589" i="12"/>
  <c r="H1516" i="12"/>
  <c r="F1245" i="12"/>
  <c r="F1797" i="12"/>
  <c r="G1515" i="12"/>
  <c r="G1531" i="12"/>
  <c r="G1546" i="12"/>
  <c r="G1547" i="12"/>
  <c r="G1962" i="12"/>
  <c r="H1805" i="12"/>
  <c r="G1615" i="12"/>
  <c r="H1257" i="12"/>
  <c r="H1751" i="12"/>
  <c r="H1131" i="12"/>
  <c r="F1588" i="12"/>
  <c r="F1339" i="12"/>
  <c r="F1591" i="12"/>
  <c r="H2010" i="12"/>
  <c r="G1979" i="12"/>
  <c r="G1550" i="12"/>
  <c r="G1396" i="12"/>
  <c r="F1232" i="12"/>
  <c r="H2319" i="12"/>
  <c r="G1688" i="12"/>
  <c r="G1507" i="12"/>
  <c r="H1765" i="12"/>
  <c r="H1524" i="12"/>
  <c r="F1338" i="12"/>
  <c r="H1685" i="12"/>
  <c r="G965" i="12"/>
  <c r="H1614" i="12"/>
  <c r="H1376" i="12"/>
  <c r="G1720" i="12"/>
  <c r="H1150" i="12"/>
  <c r="F1091" i="12"/>
  <c r="H1935" i="12"/>
  <c r="H1631" i="12"/>
  <c r="G1281" i="12"/>
  <c r="H1610" i="12"/>
  <c r="F1973" i="12"/>
  <c r="F1260" i="12"/>
  <c r="F1528" i="12"/>
  <c r="F2149" i="12"/>
  <c r="F1604" i="12"/>
  <c r="H1547" i="12"/>
  <c r="F1573" i="12"/>
  <c r="G1308" i="12"/>
  <c r="F1632" i="12"/>
  <c r="H1587" i="12"/>
  <c r="G1349" i="12"/>
  <c r="G1840" i="12"/>
  <c r="F2087" i="12"/>
  <c r="F1775" i="12"/>
  <c r="G1594" i="12"/>
  <c r="H2032" i="12"/>
  <c r="G2023" i="12"/>
  <c r="G1987" i="12"/>
  <c r="F1742" i="12"/>
  <c r="F2075" i="12"/>
  <c r="H2097" i="12"/>
  <c r="F1613" i="12"/>
  <c r="G1371" i="12"/>
  <c r="F2034" i="12"/>
  <c r="F2341" i="12"/>
  <c r="G2070" i="12"/>
  <c r="F2210" i="12"/>
  <c r="G1885" i="12"/>
  <c r="H1771" i="12"/>
  <c r="H1523" i="12"/>
  <c r="H1475" i="12"/>
  <c r="F2107" i="12"/>
  <c r="F2060" i="12"/>
  <c r="F1773" i="12"/>
  <c r="G1523" i="12"/>
  <c r="G2000" i="12"/>
  <c r="F1980" i="12"/>
  <c r="F1644" i="12"/>
  <c r="F1698" i="12"/>
  <c r="H1571" i="12"/>
  <c r="H2170" i="12"/>
  <c r="G2006" i="12"/>
  <c r="F1882" i="12"/>
  <c r="F1732" i="12"/>
  <c r="F1524" i="12"/>
  <c r="F2123" i="12"/>
  <c r="F2076" i="12"/>
  <c r="F1799" i="12"/>
  <c r="G1844" i="12"/>
  <c r="H2255" i="12"/>
  <c r="H1984" i="12"/>
  <c r="F2055" i="12"/>
  <c r="G1792" i="12"/>
  <c r="H1787" i="12"/>
  <c r="G1805" i="12"/>
  <c r="F2162" i="12"/>
  <c r="F1952" i="12"/>
  <c r="F1841" i="12"/>
  <c r="H1885" i="12"/>
  <c r="G2085" i="12"/>
  <c r="H1947" i="12"/>
  <c r="H1061" i="12"/>
  <c r="G2048" i="12"/>
  <c r="G2017" i="12"/>
  <c r="H1680" i="12"/>
  <c r="H1998" i="12"/>
  <c r="F2749" i="12"/>
  <c r="G2307" i="12"/>
  <c r="H2334" i="12"/>
  <c r="G1337" i="12"/>
  <c r="G1909" i="12"/>
  <c r="G1999" i="12"/>
  <c r="G2781" i="12"/>
  <c r="F2569" i="12"/>
  <c r="F2570" i="12"/>
  <c r="H2131" i="12"/>
  <c r="F2002" i="12"/>
  <c r="H2003" i="12"/>
  <c r="G2418" i="12"/>
  <c r="F2467" i="12"/>
  <c r="F2468" i="12"/>
  <c r="G1869" i="12"/>
  <c r="H1993" i="12"/>
  <c r="H2450" i="12"/>
  <c r="F2191" i="12"/>
  <c r="H2012" i="12"/>
  <c r="G2014" i="12"/>
  <c r="F2429" i="12"/>
  <c r="H2477" i="12"/>
  <c r="H2478" i="12"/>
  <c r="F1883" i="12"/>
  <c r="G2004" i="12"/>
  <c r="G2461" i="12"/>
  <c r="H2206" i="12"/>
  <c r="G2087" i="12"/>
  <c r="F1298" i="12"/>
  <c r="G774" i="12"/>
  <c r="H2101" i="12"/>
  <c r="H1632" i="12"/>
  <c r="F1237" i="12"/>
  <c r="F1696" i="12"/>
  <c r="H2399" i="12"/>
  <c r="H860" i="12"/>
  <c r="H1786" i="12"/>
  <c r="G2234" i="12"/>
  <c r="H1337" i="12"/>
  <c r="F1263" i="12"/>
  <c r="G1658" i="12"/>
  <c r="G1237" i="12"/>
  <c r="G1717" i="12"/>
  <c r="G1625" i="12"/>
  <c r="F1312" i="12"/>
  <c r="H1957" i="12"/>
  <c r="G2172" i="12"/>
  <c r="H1889" i="12"/>
  <c r="G1602" i="12"/>
  <c r="H1873" i="12"/>
  <c r="H2108" i="12"/>
  <c r="F1538" i="12"/>
  <c r="H1386" i="12"/>
  <c r="G2176" i="12"/>
  <c r="F2183" i="12"/>
  <c r="F2069" i="12"/>
  <c r="F1754" i="12"/>
  <c r="G2119" i="12"/>
  <c r="G1659" i="12"/>
  <c r="H1564" i="12"/>
  <c r="G1601" i="12"/>
  <c r="F2032" i="12"/>
  <c r="F1900" i="12"/>
  <c r="G1739" i="12"/>
  <c r="G1238" i="12"/>
  <c r="G2208" i="12"/>
  <c r="G1381" i="12"/>
  <c r="H1888" i="12"/>
  <c r="G1511" i="12"/>
  <c r="G2112" i="12"/>
  <c r="G2065" i="12"/>
  <c r="G1782" i="12"/>
  <c r="H1830" i="12"/>
  <c r="H1356" i="12"/>
  <c r="H2298" i="12"/>
  <c r="H2091" i="12"/>
  <c r="G1975" i="12"/>
  <c r="H1856" i="12"/>
  <c r="F1429" i="12"/>
  <c r="H2229" i="12"/>
  <c r="G1565" i="12"/>
  <c r="G1908" i="12"/>
  <c r="H1944" i="12"/>
  <c r="H2383" i="12"/>
  <c r="F2086" i="12"/>
  <c r="G2140" i="12"/>
  <c r="G1455" i="12"/>
  <c r="G1918" i="12"/>
  <c r="G1913" i="12"/>
  <c r="G1864" i="12"/>
  <c r="F2080" i="12"/>
  <c r="G1942" i="12"/>
  <c r="H1843" i="12"/>
  <c r="G2213" i="12"/>
  <c r="F2033" i="12"/>
  <c r="F1565" i="12"/>
  <c r="F2155" i="12"/>
  <c r="H2102" i="12"/>
  <c r="G1895" i="12"/>
  <c r="G2105" i="12"/>
  <c r="G2834" i="12"/>
  <c r="G2408" i="12"/>
  <c r="F2431" i="12"/>
  <c r="H2234" i="12"/>
  <c r="H2040" i="12"/>
  <c r="H2084" i="12"/>
  <c r="G2143" i="12"/>
  <c r="G2145" i="12"/>
  <c r="F2147" i="12"/>
  <c r="F2257" i="12"/>
  <c r="G1679" i="12"/>
  <c r="G1418" i="12"/>
  <c r="H2503" i="12"/>
  <c r="G2552" i="12"/>
  <c r="G2553" i="12"/>
  <c r="G1992" i="12"/>
  <c r="F1624" i="12"/>
  <c r="F2536" i="12"/>
  <c r="H2307" i="12"/>
  <c r="F1697" i="12"/>
  <c r="G1543" i="12"/>
  <c r="G2514" i="12"/>
  <c r="F2563" i="12"/>
  <c r="F2564" i="12"/>
  <c r="H2013" i="12"/>
  <c r="H1648" i="12"/>
  <c r="H2546" i="12"/>
  <c r="G2321" i="12"/>
  <c r="H1713" i="12"/>
  <c r="H901" i="12"/>
  <c r="F889" i="12"/>
  <c r="G1928" i="12"/>
  <c r="G1743" i="12"/>
  <c r="H1677" i="12"/>
  <c r="G1781" i="12"/>
  <c r="G1684" i="12"/>
  <c r="G1177" i="12"/>
  <c r="F1349" i="12"/>
  <c r="F2405" i="12"/>
  <c r="G1533" i="12"/>
  <c r="G1179" i="12"/>
  <c r="H1743" i="12"/>
  <c r="F1699" i="12"/>
  <c r="H1802" i="12"/>
  <c r="F1403" i="12"/>
  <c r="H1463" i="12"/>
  <c r="G2064" i="12"/>
  <c r="H2257" i="12"/>
  <c r="F1982" i="12"/>
  <c r="F1709" i="12"/>
  <c r="F1969" i="12"/>
  <c r="G1730" i="12"/>
  <c r="F1741" i="12"/>
  <c r="H1296" i="12"/>
  <c r="G1796" i="12"/>
  <c r="F1314" i="12"/>
  <c r="F2197" i="12"/>
  <c r="F2065" i="12"/>
  <c r="H2204" i="12"/>
  <c r="G1866" i="12"/>
  <c r="F1746" i="12"/>
  <c r="G1756" i="12"/>
  <c r="H2154" i="12"/>
  <c r="G1990" i="12"/>
  <c r="F1862" i="12"/>
  <c r="F1786" i="12"/>
  <c r="F2315" i="12"/>
  <c r="G1721" i="12"/>
  <c r="F1981" i="12"/>
  <c r="H1051" i="12"/>
  <c r="H2213" i="12"/>
  <c r="H1456" i="12"/>
  <c r="F1895" i="12"/>
  <c r="G1933" i="12"/>
  <c r="F1434" i="12"/>
  <c r="G1362" i="12"/>
  <c r="H1641" i="12"/>
  <c r="H2060" i="12"/>
  <c r="F1955" i="12"/>
  <c r="F1812" i="12"/>
  <c r="F2331" i="12"/>
  <c r="G1746" i="12"/>
  <c r="F1997" i="12"/>
  <c r="F2030" i="12"/>
  <c r="H1744" i="12"/>
  <c r="G1650" i="12"/>
  <c r="F1526" i="12"/>
  <c r="F1254" i="12"/>
  <c r="G1319" i="12"/>
  <c r="H2047" i="12"/>
  <c r="F1811" i="12"/>
  <c r="H1487" i="12"/>
  <c r="F1820" i="12"/>
  <c r="F1550" i="12"/>
  <c r="G1495" i="12"/>
  <c r="F1930" i="12"/>
  <c r="F1328" i="12"/>
  <c r="F1443" i="12"/>
  <c r="G1146" i="12"/>
  <c r="F1859" i="12"/>
  <c r="H1514" i="12"/>
  <c r="H1561" i="12"/>
  <c r="F1569" i="12"/>
  <c r="H2165" i="12"/>
  <c r="G2103" i="12"/>
  <c r="G1857" i="12"/>
  <c r="F1905" i="12"/>
  <c r="G2054" i="12"/>
  <c r="F1856" i="12"/>
  <c r="H1863" i="12"/>
  <c r="G1184" i="12"/>
  <c r="H1924" i="12"/>
  <c r="G1713" i="12"/>
  <c r="H2335" i="12"/>
  <c r="G1517" i="12"/>
  <c r="H1570" i="12"/>
  <c r="G2277" i="12"/>
  <c r="H1867" i="12"/>
  <c r="F1078" i="12"/>
  <c r="H2282" i="12"/>
  <c r="H2075" i="12"/>
  <c r="G1959" i="12"/>
  <c r="G1946" i="12"/>
  <c r="G1668" i="12"/>
  <c r="F1848" i="12"/>
  <c r="G2066" i="12"/>
  <c r="G1794" i="12"/>
  <c r="G2320" i="12"/>
  <c r="H1729" i="12"/>
  <c r="G1986" i="12"/>
  <c r="G2019" i="12"/>
  <c r="G1696" i="12"/>
  <c r="H1761" i="12"/>
  <c r="G1780" i="12"/>
  <c r="F2146" i="12"/>
  <c r="G2040" i="12"/>
  <c r="H1983" i="12"/>
  <c r="G1693" i="12"/>
  <c r="F1868" i="12"/>
  <c r="G2082" i="12"/>
  <c r="G1673" i="12"/>
  <c r="G1941" i="12"/>
  <c r="G1828" i="12"/>
  <c r="G1066" i="12"/>
  <c r="G997" i="12"/>
  <c r="F1387" i="12"/>
  <c r="H1391" i="12"/>
  <c r="H1303" i="12"/>
  <c r="F1755" i="12"/>
  <c r="F1924" i="12"/>
  <c r="F1710" i="12"/>
  <c r="H1589" i="12"/>
  <c r="F2016" i="12"/>
  <c r="H1636" i="12"/>
  <c r="F1225" i="12"/>
  <c r="G1797" i="12"/>
  <c r="F1392" i="12"/>
  <c r="G1776" i="12"/>
  <c r="H1365" i="12"/>
  <c r="G1322" i="12"/>
  <c r="H2277" i="12"/>
  <c r="H2188" i="12"/>
  <c r="H1955" i="12"/>
  <c r="F2037" i="12"/>
  <c r="H1380" i="12"/>
  <c r="G1954" i="12"/>
  <c r="F1961" i="12"/>
  <c r="H1399" i="12"/>
  <c r="F2038" i="12"/>
  <c r="F1842" i="12"/>
  <c r="G1649" i="12"/>
  <c r="H1737" i="12"/>
  <c r="F1748" i="12"/>
  <c r="F2384" i="12"/>
  <c r="F1964" i="12"/>
  <c r="G1891" i="12"/>
  <c r="G2389" i="12"/>
  <c r="F1596" i="12"/>
  <c r="H2044" i="12"/>
  <c r="F2085" i="12"/>
  <c r="F1828" i="12"/>
  <c r="G1948" i="12"/>
  <c r="F1530" i="12"/>
  <c r="H1951" i="12"/>
  <c r="H1676" i="12"/>
  <c r="G1855" i="12"/>
  <c r="H2071" i="12"/>
  <c r="G1655" i="12"/>
  <c r="G1298" i="12"/>
  <c r="G1899" i="12"/>
  <c r="F1894" i="12"/>
  <c r="G2231" i="12"/>
  <c r="H2125" i="12"/>
  <c r="H2111" i="12"/>
  <c r="H1860" i="12"/>
  <c r="G1964" i="12"/>
  <c r="G1620" i="12"/>
  <c r="F1715" i="12"/>
  <c r="G2069" i="12"/>
  <c r="F1931" i="12"/>
  <c r="G1117" i="12"/>
  <c r="G1173" i="12"/>
  <c r="G990" i="12"/>
  <c r="F1244" i="12"/>
  <c r="H1544" i="12"/>
  <c r="G1282" i="12"/>
  <c r="F2096" i="12"/>
  <c r="G1843" i="12"/>
  <c r="G1563" i="12"/>
  <c r="G2101" i="12"/>
  <c r="F1653" i="12"/>
  <c r="G1002" i="12"/>
  <c r="H1367" i="12"/>
  <c r="H1576" i="12"/>
  <c r="G1330" i="12"/>
  <c r="G1551" i="12"/>
  <c r="F1808" i="12"/>
  <c r="F1912" i="12"/>
  <c r="G1391" i="12"/>
  <c r="F2041" i="12"/>
  <c r="H2175" i="12"/>
  <c r="F1720" i="12"/>
  <c r="H2039" i="12"/>
  <c r="G1767" i="12"/>
  <c r="H1607" i="12"/>
  <c r="H1285" i="12"/>
  <c r="F2114" i="12"/>
  <c r="F1860" i="12"/>
  <c r="G1861" i="12"/>
  <c r="H1868" i="12"/>
  <c r="F1719" i="12"/>
  <c r="G2049" i="12"/>
  <c r="F1413" i="12"/>
  <c r="G1727" i="12"/>
  <c r="G1755" i="12"/>
  <c r="F2130" i="12"/>
  <c r="F2213" i="12"/>
  <c r="F1958" i="12"/>
  <c r="H2033" i="12"/>
  <c r="F1740" i="12"/>
  <c r="G2090" i="12"/>
  <c r="F1847" i="12"/>
  <c r="H1953" i="12"/>
  <c r="H1574" i="12"/>
  <c r="F1793" i="12"/>
  <c r="H1529" i="12"/>
  <c r="H2005" i="12"/>
  <c r="G1985" i="12"/>
  <c r="F1654" i="12"/>
  <c r="G1707" i="12"/>
  <c r="G2250" i="12"/>
  <c r="F1974" i="12"/>
  <c r="H2049" i="12"/>
  <c r="F1766" i="12"/>
  <c r="F1705" i="12"/>
  <c r="G2197" i="12"/>
  <c r="F2017" i="12"/>
  <c r="G1025" i="12"/>
  <c r="G1105" i="12"/>
  <c r="H1460" i="12"/>
  <c r="G1279" i="12"/>
  <c r="F1657" i="12"/>
  <c r="H1444" i="12"/>
  <c r="F2352" i="12"/>
  <c r="F1317" i="12"/>
  <c r="H1170" i="12"/>
  <c r="H2186" i="12"/>
  <c r="G1738" i="12"/>
  <c r="H1693" i="12"/>
  <c r="G1508" i="12"/>
  <c r="G1694" i="12"/>
  <c r="G1481" i="12"/>
  <c r="H1251" i="12"/>
  <c r="H1584" i="12"/>
  <c r="H2016" i="12"/>
  <c r="F1722" i="12"/>
  <c r="G1607" i="12"/>
  <c r="F2325" i="12"/>
  <c r="G2033" i="12"/>
  <c r="F2125" i="12"/>
  <c r="F1884" i="12"/>
  <c r="G2042" i="12"/>
  <c r="H1745" i="12"/>
  <c r="G2199" i="12"/>
  <c r="F2256" i="12"/>
  <c r="H1958" i="12"/>
  <c r="G1385" i="12"/>
  <c r="H1866" i="12"/>
  <c r="H1703" i="12"/>
  <c r="F1765" i="12"/>
  <c r="G1879" i="12"/>
  <c r="F1874" i="12"/>
  <c r="G2215" i="12"/>
  <c r="H2351" i="12"/>
  <c r="G2059" i="12"/>
  <c r="F2119" i="12"/>
  <c r="H1862" i="12"/>
  <c r="H2239" i="12"/>
  <c r="G1963" i="12"/>
  <c r="F2039" i="12"/>
  <c r="G1748" i="12"/>
  <c r="H1903" i="12"/>
  <c r="H1517" i="12"/>
  <c r="H2117" i="12"/>
  <c r="H2070" i="12"/>
  <c r="H1790" i="12"/>
  <c r="F1837" i="12"/>
  <c r="G2378" i="12"/>
  <c r="H2080" i="12"/>
  <c r="F2135" i="12"/>
  <c r="H1882" i="12"/>
  <c r="F1540" i="12"/>
  <c r="F2320" i="12"/>
  <c r="G2102" i="12"/>
  <c r="F1986" i="12"/>
  <c r="G1994" i="12"/>
  <c r="H1728" i="12"/>
  <c r="H1881" i="12"/>
  <c r="G1465" i="12"/>
  <c r="G1936" i="12"/>
  <c r="G1919" i="12"/>
  <c r="H1617" i="12"/>
  <c r="F2043" i="12"/>
  <c r="F2012" i="12"/>
  <c r="H2287" i="12"/>
  <c r="F2006" i="12"/>
  <c r="G2076" i="12"/>
  <c r="F2099" i="12"/>
  <c r="H1760" i="12"/>
  <c r="G2605" i="12"/>
  <c r="H2390" i="12"/>
  <c r="H2391" i="12"/>
  <c r="G1938" i="12"/>
  <c r="G1741" i="12"/>
  <c r="H2583" i="12"/>
  <c r="G2632" i="12"/>
  <c r="G2633" i="12"/>
  <c r="G2634" i="12"/>
  <c r="F2344" i="12"/>
  <c r="F2040" i="12"/>
  <c r="G1734" i="12"/>
  <c r="F2244" i="12"/>
  <c r="H2504" i="12"/>
  <c r="G1703" i="12"/>
  <c r="H1758" i="12"/>
  <c r="G2212" i="12"/>
  <c r="H2280" i="12"/>
  <c r="H2281" i="12"/>
  <c r="F2072" i="12"/>
  <c r="H1767" i="12"/>
  <c r="H2259" i="12"/>
  <c r="G2515" i="12"/>
  <c r="G1937" i="12"/>
  <c r="G1775" i="12"/>
  <c r="F1040" i="12"/>
  <c r="G1313" i="12"/>
  <c r="H1557" i="12"/>
  <c r="F1396" i="12"/>
  <c r="G1790" i="12"/>
  <c r="F1558" i="12"/>
  <c r="H1590" i="12"/>
  <c r="F1673" i="12"/>
  <c r="G1417" i="12"/>
  <c r="H1357" i="12"/>
  <c r="G992" i="12"/>
  <c r="G1571" i="12"/>
  <c r="G1600" i="12"/>
  <c r="F1817" i="12"/>
  <c r="G1579" i="12"/>
  <c r="G1674" i="12"/>
  <c r="G1569" i="12"/>
  <c r="H2128" i="12"/>
  <c r="H1849" i="12"/>
  <c r="G1581" i="12"/>
  <c r="G1989" i="12"/>
  <c r="H2118" i="12"/>
  <c r="G1697" i="12"/>
  <c r="G1977" i="12"/>
  <c r="F2181" i="12"/>
  <c r="F1880" i="12"/>
  <c r="G1524" i="12"/>
  <c r="H2378" i="12"/>
  <c r="F2044" i="12"/>
  <c r="G1754" i="12"/>
  <c r="G1984" i="12"/>
  <c r="G1835" i="12"/>
  <c r="H1534" i="12"/>
  <c r="H1989" i="12"/>
  <c r="G1969" i="12"/>
  <c r="H1618" i="12"/>
  <c r="G1709" i="12"/>
  <c r="F1592" i="12"/>
  <c r="G2204" i="12"/>
  <c r="F1960" i="12"/>
  <c r="H2367" i="12"/>
  <c r="F2070" i="12"/>
  <c r="G2124" i="12"/>
  <c r="F1869" i="12"/>
  <c r="F1993" i="12"/>
  <c r="H1353" i="12"/>
  <c r="F2219" i="12"/>
  <c r="F1518" i="12"/>
  <c r="G1901" i="12"/>
  <c r="G1939" i="12"/>
  <c r="G1735" i="12"/>
  <c r="F1640" i="12"/>
  <c r="G2220" i="12"/>
  <c r="F1976" i="12"/>
  <c r="F1552" i="12"/>
  <c r="G1504" i="12"/>
  <c r="H1660" i="12"/>
  <c r="G2071" i="12"/>
  <c r="G2122" i="12"/>
  <c r="G1873" i="12"/>
  <c r="F1975" i="12"/>
  <c r="G1612" i="12"/>
  <c r="H2037" i="12"/>
  <c r="H2006" i="12"/>
  <c r="H1559" i="12"/>
  <c r="H2149" i="12"/>
  <c r="G2097" i="12"/>
  <c r="F1437" i="12"/>
  <c r="F2118" i="12"/>
  <c r="H2161" i="12"/>
  <c r="G1732" i="12"/>
  <c r="F1892" i="12"/>
  <c r="H2690" i="12"/>
  <c r="G2478" i="12"/>
  <c r="G2479" i="12"/>
  <c r="H2087" i="12"/>
  <c r="H1897" i="12"/>
  <c r="F2669" i="12"/>
  <c r="H2198" i="12"/>
  <c r="H2231" i="12"/>
  <c r="G2209" i="12"/>
  <c r="G2438" i="12"/>
  <c r="H1654" i="12"/>
  <c r="G1884" i="12"/>
  <c r="F2353" i="12"/>
  <c r="F2590" i="12"/>
  <c r="F2247" i="12"/>
  <c r="G1897" i="12"/>
  <c r="G2326" i="12"/>
  <c r="G2383" i="12"/>
  <c r="F2385" i="12"/>
  <c r="G1689" i="12"/>
  <c r="F1898" i="12"/>
  <c r="F2365" i="12"/>
  <c r="H2600" i="12"/>
  <c r="G1661" i="12"/>
  <c r="H1915" i="12"/>
  <c r="F2339" i="12"/>
  <c r="F2396" i="12"/>
  <c r="F2397" i="12"/>
  <c r="F1706" i="12"/>
  <c r="F1785" i="12"/>
  <c r="H1453" i="12"/>
  <c r="G1456" i="12"/>
  <c r="G1664" i="12"/>
  <c r="G1902" i="12"/>
  <c r="H1417" i="12"/>
  <c r="G1753" i="12"/>
  <c r="G1460" i="12"/>
  <c r="H1541" i="12"/>
  <c r="G1096" i="12"/>
  <c r="F1405" i="12"/>
  <c r="H1720" i="12"/>
  <c r="F1771" i="12"/>
  <c r="F1291" i="12"/>
  <c r="G1242" i="12"/>
  <c r="H1759" i="12"/>
  <c r="F1371" i="12"/>
  <c r="H1719" i="12"/>
  <c r="F1949" i="12"/>
  <c r="F1751" i="12"/>
  <c r="H2122" i="12"/>
  <c r="H1678" i="12"/>
  <c r="F1830" i="12"/>
  <c r="H2062" i="12"/>
  <c r="G2330" i="12"/>
  <c r="G1974" i="12"/>
  <c r="H1739" i="12"/>
  <c r="H1710" i="12"/>
  <c r="G2129" i="12"/>
  <c r="F1522" i="12"/>
  <c r="H2085" i="12"/>
  <c r="H1937" i="12"/>
  <c r="G1472" i="12"/>
  <c r="F2091" i="12"/>
  <c r="H2054" i="12"/>
  <c r="H1764" i="12"/>
  <c r="H1892" i="12"/>
  <c r="F1780" i="12"/>
  <c r="F1570" i="12"/>
  <c r="G2045" i="12"/>
  <c r="H1718" i="12"/>
  <c r="F1617" i="12"/>
  <c r="H2209" i="12"/>
  <c r="G1965" i="12"/>
  <c r="G2078" i="12"/>
  <c r="H1803" i="12"/>
  <c r="H2325" i="12"/>
  <c r="F1738" i="12"/>
  <c r="H1991" i="12"/>
  <c r="H2024" i="12"/>
  <c r="F1936" i="12"/>
  <c r="F1821" i="12"/>
  <c r="F1631" i="12"/>
  <c r="G2061" i="12"/>
  <c r="H1781" i="12"/>
  <c r="G1778" i="12"/>
  <c r="F1798" i="12"/>
  <c r="H2156" i="12"/>
  <c r="F2261" i="12"/>
  <c r="F1990" i="12"/>
  <c r="G2060" i="12"/>
  <c r="H1543" i="12"/>
  <c r="G2144" i="12"/>
  <c r="F2092" i="12"/>
  <c r="F1658" i="12"/>
  <c r="F2251" i="12"/>
  <c r="G1643" i="12"/>
  <c r="H1794" i="12"/>
  <c r="F1703" i="12"/>
  <c r="H1420" i="12"/>
  <c r="G1903" i="12"/>
  <c r="F1994" i="12"/>
  <c r="F2776" i="12"/>
  <c r="H2563" i="12"/>
  <c r="H2564" i="12"/>
  <c r="H1705" i="12"/>
  <c r="F2004" i="12"/>
  <c r="G2754" i="12"/>
  <c r="H2313" i="12"/>
  <c r="F2342" i="12"/>
  <c r="F2323" i="12"/>
  <c r="H2523" i="12"/>
  <c r="F1844" i="12"/>
  <c r="G1988" i="12"/>
  <c r="G2445" i="12"/>
  <c r="F2184" i="12"/>
  <c r="G2007" i="12"/>
  <c r="F2009" i="12"/>
  <c r="H2423" i="12"/>
  <c r="G2472" i="12"/>
  <c r="G2473" i="12"/>
  <c r="H1876" i="12"/>
  <c r="F1230" i="12"/>
  <c r="F1098" i="12"/>
  <c r="H1875" i="12"/>
  <c r="H1434" i="12"/>
  <c r="G1450" i="12"/>
  <c r="F1542" i="12"/>
  <c r="F1873" i="12"/>
  <c r="H1598" i="12"/>
  <c r="G1426" i="12"/>
  <c r="G1192" i="12"/>
  <c r="F1359" i="12"/>
  <c r="F1870" i="12"/>
  <c r="F1574" i="12"/>
  <c r="H1492" i="12"/>
  <c r="G862" i="12"/>
  <c r="F1280" i="12"/>
  <c r="H1575" i="12"/>
  <c r="H1712" i="12"/>
  <c r="F1688" i="12"/>
  <c r="H1871" i="12"/>
  <c r="G2245" i="12"/>
  <c r="F1815" i="12"/>
  <c r="F2104" i="12"/>
  <c r="F1608" i="12"/>
  <c r="F1639" i="12"/>
  <c r="G1729" i="12"/>
  <c r="G1862" i="12"/>
  <c r="G1860" i="12"/>
  <c r="H1931" i="12"/>
  <c r="F1455" i="12"/>
  <c r="F2299" i="12"/>
  <c r="F2023" i="12"/>
  <c r="F1408" i="12"/>
  <c r="F2203" i="12"/>
  <c r="H1301" i="12"/>
  <c r="G1032" i="12"/>
  <c r="G2037" i="12"/>
  <c r="G1906" i="12"/>
  <c r="H1746" i="12"/>
  <c r="H1324" i="12"/>
  <c r="F1899" i="12"/>
  <c r="G1788" i="12"/>
  <c r="G1597" i="12"/>
  <c r="H2050" i="12"/>
  <c r="F1682" i="12"/>
  <c r="F1957" i="12"/>
  <c r="F1686" i="12"/>
  <c r="H1861" i="12"/>
  <c r="F2077" i="12"/>
  <c r="G1592" i="12"/>
  <c r="F2064" i="12"/>
  <c r="F1925" i="12"/>
  <c r="H1772" i="12"/>
  <c r="H1530" i="12"/>
  <c r="G1332" i="12"/>
  <c r="H1911" i="12"/>
  <c r="H1906" i="12"/>
  <c r="F2242" i="12"/>
  <c r="G2410" i="12"/>
  <c r="G2091" i="12"/>
  <c r="H2145" i="12"/>
  <c r="F1649" i="12"/>
  <c r="H2245" i="12"/>
  <c r="G1629" i="12"/>
  <c r="G1852" i="12"/>
  <c r="H1370" i="12"/>
  <c r="H1780" i="12"/>
  <c r="H1962" i="12"/>
  <c r="H1854" i="12"/>
  <c r="F2112" i="12"/>
  <c r="G2035" i="12"/>
  <c r="G2079" i="12"/>
  <c r="G2136" i="12"/>
  <c r="G2137" i="12"/>
  <c r="G2139" i="12"/>
  <c r="H1902" i="12"/>
  <c r="H2110" i="12"/>
  <c r="H2057" i="12"/>
  <c r="F2414" i="12"/>
  <c r="G2436" i="12"/>
  <c r="G2421" i="12"/>
  <c r="H2203" i="12"/>
  <c r="G1476" i="12"/>
  <c r="G1501" i="12"/>
  <c r="H1674" i="12"/>
  <c r="G1586" i="12"/>
  <c r="H1317" i="12"/>
  <c r="G1351" i="12"/>
  <c r="H2309" i="12"/>
  <c r="H1327" i="12"/>
  <c r="G1503" i="12"/>
  <c r="F1512" i="12"/>
  <c r="F1502" i="12"/>
  <c r="H1354" i="12"/>
  <c r="H1262" i="12"/>
  <c r="G1375" i="12"/>
  <c r="G1153" i="12"/>
  <c r="F1444" i="12"/>
  <c r="F1684" i="12"/>
  <c r="G1841" i="12"/>
  <c r="H1823" i="12"/>
  <c r="F1967" i="12"/>
  <c r="F2368" i="12"/>
  <c r="H1919" i="12"/>
  <c r="H1671" i="12"/>
  <c r="G1972" i="12"/>
  <c r="H1852" i="12"/>
  <c r="F1855" i="12"/>
  <c r="G1641" i="12"/>
  <c r="F1979" i="12"/>
  <c r="H2017" i="12"/>
  <c r="F1398" i="12"/>
  <c r="F1650" i="12"/>
  <c r="G2108" i="12"/>
  <c r="H1777" i="12"/>
  <c r="G2304" i="12"/>
  <c r="F1713" i="12"/>
  <c r="G1383" i="12"/>
  <c r="F2160" i="12"/>
  <c r="H1995" i="12"/>
  <c r="G1868" i="12"/>
  <c r="G1162" i="12"/>
  <c r="H2042" i="12"/>
  <c r="F1913" i="12"/>
  <c r="F1756" i="12"/>
  <c r="G1401" i="12"/>
  <c r="H1818" i="12"/>
  <c r="H2095" i="12"/>
  <c r="G1853" i="12"/>
  <c r="F1959" i="12"/>
  <c r="F1602" i="12"/>
  <c r="F1593" i="12"/>
  <c r="F2192" i="12"/>
  <c r="H2011" i="12"/>
  <c r="G1888" i="12"/>
  <c r="G1740" i="12"/>
  <c r="F1543" i="12"/>
  <c r="F2027" i="12"/>
  <c r="H1393" i="12"/>
  <c r="H1579" i="12"/>
  <c r="H1312" i="12"/>
  <c r="G1872" i="12"/>
  <c r="G1493" i="12"/>
  <c r="F1497" i="12"/>
  <c r="G1628" i="12"/>
  <c r="H1519" i="12"/>
  <c r="G1596" i="12"/>
  <c r="G1848" i="12"/>
  <c r="F1595" i="12"/>
  <c r="F1486" i="12"/>
  <c r="F1435" i="12"/>
  <c r="H1533" i="12"/>
  <c r="F1587" i="12"/>
  <c r="H1396" i="12"/>
  <c r="G2170" i="12"/>
  <c r="H1942" i="12"/>
  <c r="H1926" i="12"/>
  <c r="G2052" i="12"/>
  <c r="F2171" i="12"/>
  <c r="F2007" i="12"/>
  <c r="F1809" i="12"/>
  <c r="H1351" i="12"/>
  <c r="H1994" i="12"/>
  <c r="G1953" i="12"/>
  <c r="H1679" i="12"/>
  <c r="G2080" i="12"/>
  <c r="F2103" i="12"/>
  <c r="H1418" i="12"/>
  <c r="F1814" i="12"/>
  <c r="H2193" i="12"/>
  <c r="F1941" i="12"/>
  <c r="F1660" i="12"/>
  <c r="H1841" i="12"/>
  <c r="G1556" i="12"/>
  <c r="F2288" i="12"/>
  <c r="F2081" i="12"/>
  <c r="H1964" i="12"/>
  <c r="F1430" i="12"/>
  <c r="G2165" i="12"/>
  <c r="F2001" i="12"/>
  <c r="H1874" i="12"/>
  <c r="H1723" i="12"/>
  <c r="F1922" i="12"/>
  <c r="F2245" i="12"/>
  <c r="H1968" i="12"/>
  <c r="G2044" i="12"/>
  <c r="H1756" i="12"/>
  <c r="G1394" i="12"/>
  <c r="F2304" i="12"/>
  <c r="F2097" i="12"/>
  <c r="H1980" i="12"/>
  <c r="F1863" i="12"/>
  <c r="G1530" i="12"/>
  <c r="G2128" i="12"/>
  <c r="H1058" i="12"/>
  <c r="F1752" i="12"/>
  <c r="F1499" i="12"/>
  <c r="G2394" i="12"/>
  <c r="H1620" i="12"/>
  <c r="G1353" i="12"/>
  <c r="G1771" i="12"/>
  <c r="G1562" i="12"/>
  <c r="F1362" i="12"/>
  <c r="G1715" i="12"/>
  <c r="G1680" i="12"/>
  <c r="G1609" i="12"/>
  <c r="F1553" i="12"/>
  <c r="G982" i="12"/>
  <c r="H1869" i="12"/>
  <c r="G1528" i="12"/>
  <c r="G2298" i="12"/>
  <c r="F2028" i="12"/>
  <c r="G2013" i="12"/>
  <c r="H1708" i="12"/>
  <c r="F2283" i="12"/>
  <c r="G2092" i="12"/>
  <c r="F1915" i="12"/>
  <c r="F1718" i="12"/>
  <c r="F2128" i="12"/>
  <c r="H2038" i="12"/>
  <c r="H1406" i="12"/>
  <c r="G2192" i="12"/>
  <c r="G2188" i="12"/>
  <c r="F1735" i="12"/>
  <c r="G1947" i="12"/>
  <c r="F1466" i="12"/>
  <c r="H2079" i="12"/>
  <c r="H1820" i="12"/>
  <c r="F1943" i="12"/>
  <c r="H1256" i="12"/>
  <c r="G2405" i="12"/>
  <c r="G1617" i="12"/>
  <c r="F2050" i="12"/>
  <c r="F1567" i="12"/>
  <c r="G2293" i="12"/>
  <c r="G2086" i="12"/>
  <c r="F1970" i="12"/>
  <c r="G1850" i="12"/>
  <c r="G2009" i="12"/>
  <c r="F2373" i="12"/>
  <c r="G2075" i="12"/>
  <c r="H2129" i="12"/>
  <c r="G1876" i="12"/>
  <c r="H1452" i="12"/>
  <c r="F1439" i="12"/>
  <c r="H1650" i="12"/>
  <c r="F2066" i="12"/>
  <c r="H1795" i="12"/>
  <c r="F2022" i="12"/>
  <c r="H1358" i="12"/>
  <c r="H2090" i="12"/>
  <c r="H1404" i="12"/>
  <c r="F1612" i="12"/>
  <c r="F1887" i="12"/>
  <c r="H1647" i="12"/>
  <c r="F1504" i="12"/>
  <c r="H1864" i="12"/>
  <c r="H1311" i="12"/>
  <c r="G1365" i="12"/>
  <c r="F1517" i="12"/>
  <c r="G1451" i="12"/>
  <c r="G1747" i="12"/>
  <c r="G1616" i="12"/>
  <c r="F1554" i="12"/>
  <c r="G2113" i="12"/>
  <c r="H1997" i="12"/>
  <c r="H1110" i="12"/>
  <c r="G1591" i="12"/>
  <c r="F1704" i="12"/>
  <c r="F2003" i="12"/>
  <c r="H1845" i="12"/>
  <c r="G1702" i="12"/>
  <c r="F2124" i="12"/>
  <c r="F1322" i="12"/>
  <c r="H1804" i="12"/>
  <c r="H1390" i="12"/>
  <c r="H1923" i="12"/>
  <c r="H2048" i="12"/>
  <c r="F1954" i="12"/>
  <c r="H2207" i="12"/>
  <c r="H1952" i="12"/>
  <c r="G2028" i="12"/>
  <c r="F1611" i="12"/>
  <c r="H1735" i="12"/>
  <c r="H1762" i="12"/>
  <c r="G2135" i="12"/>
  <c r="H1295" i="12"/>
  <c r="F1233" i="12"/>
  <c r="F1629" i="12"/>
  <c r="G2055" i="12"/>
  <c r="H1949" i="12"/>
  <c r="H2094" i="12"/>
  <c r="F1727" i="12"/>
  <c r="H1628" i="12"/>
  <c r="F2215" i="12"/>
  <c r="H1970" i="12"/>
  <c r="F1707" i="12"/>
  <c r="F1770" i="12"/>
  <c r="H1788" i="12"/>
  <c r="G2151" i="12"/>
  <c r="H2045" i="12"/>
  <c r="H1819" i="12"/>
  <c r="G2336" i="12"/>
  <c r="F1139" i="12"/>
  <c r="F1533" i="12"/>
  <c r="G1606" i="12"/>
  <c r="F2176" i="12"/>
  <c r="F1557" i="12"/>
  <c r="F1761" i="12"/>
  <c r="H2064" i="12"/>
  <c r="F1733" i="12"/>
  <c r="G1978" i="12"/>
  <c r="H1344" i="12"/>
  <c r="H1226" i="12"/>
  <c r="H1539" i="12"/>
  <c r="F1607" i="12"/>
  <c r="G1578" i="12"/>
  <c r="F1886" i="12"/>
  <c r="H1701" i="12"/>
  <c r="F1840" i="12"/>
  <c r="G1670" i="12"/>
  <c r="F2083" i="12"/>
  <c r="G1619" i="12"/>
  <c r="F1788" i="12"/>
  <c r="H1835" i="12"/>
  <c r="G1783" i="12"/>
  <c r="F1946" i="12"/>
  <c r="F1853" i="12"/>
  <c r="H1925" i="12"/>
  <c r="F1389" i="12"/>
  <c r="H1930" i="12"/>
  <c r="H1721" i="12"/>
  <c r="G2074" i="12"/>
  <c r="H1511" i="12"/>
  <c r="G2039" i="12"/>
  <c r="G2346" i="12"/>
  <c r="F2054" i="12"/>
  <c r="H2113" i="12"/>
  <c r="H1563" i="12"/>
  <c r="H1886" i="12"/>
  <c r="G1881" i="12"/>
  <c r="H2220" i="12"/>
  <c r="H1621" i="12"/>
  <c r="F1745" i="12"/>
  <c r="F1772" i="12"/>
  <c r="H2140" i="12"/>
  <c r="F2035" i="12"/>
  <c r="F1674" i="12"/>
  <c r="G1905" i="12"/>
  <c r="G1814" i="12"/>
  <c r="G1618" i="12"/>
  <c r="F2056" i="12"/>
  <c r="G1312" i="12"/>
  <c r="H1905" i="12"/>
  <c r="G1900" i="12"/>
  <c r="H2236" i="12"/>
  <c r="F1333" i="12"/>
  <c r="F1989" i="12"/>
  <c r="G1719" i="12"/>
  <c r="G1874" i="12"/>
  <c r="H1556" i="12"/>
  <c r="G2325" i="12"/>
  <c r="H2107" i="12"/>
  <c r="G1991" i="12"/>
  <c r="G1185" i="12"/>
  <c r="H2096" i="12"/>
  <c r="F2151" i="12"/>
  <c r="G1787" i="12"/>
  <c r="H1694" i="12"/>
  <c r="F1488" i="12"/>
  <c r="H1812" i="12"/>
  <c r="H1828" i="12"/>
  <c r="G1932" i="12"/>
  <c r="F1734" i="12"/>
  <c r="G2578" i="12"/>
  <c r="F2627" i="12"/>
  <c r="F2628" i="12"/>
  <c r="F2629" i="12"/>
  <c r="G2104" i="12"/>
  <c r="F1768" i="12"/>
  <c r="H2610" i="12"/>
  <c r="H2396" i="12"/>
  <c r="H2397" i="12"/>
  <c r="H2437" i="12"/>
  <c r="F2129" i="12"/>
  <c r="G1750" i="12"/>
  <c r="G2205" i="12"/>
  <c r="G2274" i="12"/>
  <c r="G1390" i="12"/>
  <c r="F1668" i="12"/>
  <c r="F1702" i="12"/>
  <c r="F1476" i="12"/>
  <c r="H2225" i="12"/>
  <c r="H2202" i="12"/>
  <c r="H1652" i="12"/>
  <c r="F1796" i="12"/>
  <c r="F1648" i="12"/>
  <c r="G1847" i="12"/>
  <c r="G2341" i="12"/>
  <c r="G1958" i="12"/>
  <c r="H1977" i="12"/>
  <c r="F2494" i="12"/>
  <c r="H2543" i="12"/>
  <c r="G1865" i="12"/>
  <c r="F2547" i="12"/>
  <c r="F2374" i="12"/>
  <c r="H2241" i="12"/>
  <c r="G1777" i="12"/>
  <c r="G2206" i="12"/>
  <c r="G2098" i="12"/>
  <c r="H1785" i="12"/>
  <c r="F2643" i="12"/>
  <c r="G2252" i="12"/>
  <c r="F1999" i="12"/>
  <c r="G2797" i="12"/>
  <c r="F2127" i="12"/>
  <c r="H2019" i="12"/>
  <c r="G2690" i="12"/>
  <c r="H2520" i="12"/>
  <c r="G2114" i="12"/>
  <c r="F2036" i="12"/>
  <c r="F2781" i="12"/>
  <c r="G2347" i="12"/>
  <c r="H2372" i="12"/>
  <c r="F1679" i="12"/>
  <c r="H1927" i="12"/>
  <c r="H2352" i="12"/>
  <c r="F2408" i="12"/>
  <c r="F2409" i="12"/>
  <c r="F2410" i="12"/>
  <c r="G1687" i="12"/>
  <c r="G1934" i="12"/>
  <c r="H2358" i="12"/>
  <c r="H2413" i="12"/>
  <c r="H2414" i="12"/>
  <c r="H2415" i="12"/>
  <c r="G2491" i="12"/>
  <c r="F2051" i="12"/>
  <c r="H1682" i="12"/>
  <c r="F2568" i="12"/>
  <c r="H2347" i="12"/>
  <c r="H2348" i="12"/>
  <c r="H2172" i="12"/>
  <c r="F2057" i="12"/>
  <c r="F2461" i="12"/>
  <c r="H2509" i="12"/>
  <c r="H2510" i="12"/>
  <c r="F1933" i="12"/>
  <c r="G2036" i="12"/>
  <c r="G2493" i="12"/>
  <c r="H2253" i="12"/>
  <c r="G1644" i="12"/>
  <c r="H1966" i="12"/>
  <c r="H2727" i="12"/>
  <c r="F2281" i="12"/>
  <c r="G1914" i="12"/>
  <c r="F1708" i="12"/>
  <c r="G2562" i="12"/>
  <c r="F2611" i="12"/>
  <c r="H1965" i="12"/>
  <c r="G1428" i="12"/>
  <c r="G2509" i="12"/>
  <c r="F2074" i="12"/>
  <c r="G2437" i="12"/>
  <c r="G2465" i="12"/>
  <c r="G2968" i="12"/>
  <c r="H2983" i="12"/>
  <c r="F2766" i="12"/>
  <c r="G2591" i="12"/>
  <c r="G2257" i="12"/>
  <c r="G2567" i="12"/>
  <c r="H2954" i="12"/>
  <c r="H2661" i="12"/>
  <c r="G2617" i="12"/>
  <c r="F2459" i="12"/>
  <c r="H2400" i="12"/>
  <c r="F2965" i="12"/>
  <c r="G2971" i="12"/>
  <c r="G1982" i="12"/>
  <c r="H2336" i="12"/>
  <c r="H2387" i="12"/>
  <c r="H3013" i="12"/>
  <c r="H2153" i="12"/>
  <c r="G2356" i="12"/>
  <c r="G2312" i="12"/>
  <c r="H1724" i="12"/>
  <c r="G2349" i="12"/>
  <c r="G2400" i="12"/>
  <c r="F2966" i="12"/>
  <c r="F2185" i="12"/>
  <c r="F2375" i="12"/>
  <c r="G1632" i="12"/>
  <c r="H2001" i="12"/>
  <c r="F1560" i="12"/>
  <c r="F1536" i="12"/>
  <c r="H1643" i="12"/>
  <c r="H1554" i="12"/>
  <c r="G1789" i="12"/>
  <c r="F2347" i="12"/>
  <c r="G1359" i="12"/>
  <c r="G2118" i="12"/>
  <c r="H1649" i="12"/>
  <c r="G2156" i="12"/>
  <c r="H1548" i="12"/>
  <c r="G2579" i="12"/>
  <c r="G2201" i="12"/>
  <c r="F1983" i="12"/>
  <c r="G2499" i="12"/>
  <c r="H2463" i="12"/>
  <c r="H1943" i="12"/>
  <c r="H1904" i="12"/>
  <c r="F2321" i="12"/>
  <c r="G1723" i="12"/>
  <c r="H1910" i="12"/>
  <c r="G2214" i="12"/>
  <c r="F1965" i="12"/>
  <c r="G1638" i="12"/>
  <c r="H2167" i="12"/>
  <c r="G2254" i="12"/>
  <c r="H1580" i="12"/>
  <c r="H2775" i="12"/>
  <c r="F2606" i="12"/>
  <c r="H1782" i="12"/>
  <c r="F1544" i="12"/>
  <c r="H2151" i="12"/>
  <c r="H2440" i="12"/>
  <c r="F2463" i="12"/>
  <c r="H2092" i="12"/>
  <c r="G2030" i="12"/>
  <c r="F2445" i="12"/>
  <c r="H2493" i="12"/>
  <c r="H2494" i="12"/>
  <c r="H2495" i="12"/>
  <c r="F2098" i="12"/>
  <c r="H2035" i="12"/>
  <c r="G2450" i="12"/>
  <c r="F2499" i="12"/>
  <c r="F2500" i="12"/>
  <c r="F2501" i="12"/>
  <c r="F2164" i="12"/>
  <c r="H1622" i="12"/>
  <c r="F1832" i="12"/>
  <c r="G2653" i="12"/>
  <c r="F2441" i="12"/>
  <c r="F2442" i="12"/>
  <c r="F1836" i="12"/>
  <c r="H1673" i="12"/>
  <c r="G2546" i="12"/>
  <c r="F2595" i="12"/>
  <c r="F2596" i="12"/>
  <c r="H2061" i="12"/>
  <c r="G1700" i="12"/>
  <c r="H2578" i="12"/>
  <c r="F2360" i="12"/>
  <c r="H1842" i="12"/>
  <c r="H2078" i="12"/>
  <c r="F2813" i="12"/>
  <c r="G2384" i="12"/>
  <c r="F2045" i="12"/>
  <c r="H1857" i="12"/>
  <c r="H2647" i="12"/>
  <c r="F2168" i="12"/>
  <c r="H2077" i="12"/>
  <c r="F1743" i="12"/>
  <c r="H2594" i="12"/>
  <c r="F2122" i="12"/>
  <c r="G2549" i="12"/>
  <c r="H2550" i="12"/>
  <c r="F2678" i="12"/>
  <c r="F2667" i="12"/>
  <c r="G2860" i="12"/>
  <c r="F2255" i="12"/>
  <c r="G2375" i="12"/>
  <c r="H2689" i="12"/>
  <c r="F2939" i="12"/>
  <c r="F2759" i="12"/>
  <c r="G2397" i="12"/>
  <c r="F2571" i="12"/>
  <c r="F2487" i="12"/>
  <c r="G2976" i="12"/>
  <c r="H2632" i="12"/>
  <c r="G2401" i="12"/>
  <c r="F2464" i="12"/>
  <c r="G2481" i="12"/>
  <c r="H2990" i="12"/>
  <c r="F2355" i="12"/>
  <c r="H2464" i="12"/>
  <c r="H2412" i="12"/>
  <c r="F2573" i="12"/>
  <c r="H2474" i="12"/>
  <c r="F2492" i="12"/>
  <c r="G2571" i="12"/>
  <c r="F2367" i="12"/>
  <c r="G2475" i="12"/>
  <c r="F1694" i="12"/>
  <c r="F1634" i="12"/>
  <c r="F2199" i="12"/>
  <c r="H2021" i="12"/>
  <c r="F1782" i="12"/>
  <c r="G2032" i="12"/>
  <c r="F1901" i="12"/>
  <c r="F1736" i="12"/>
  <c r="H1472" i="12"/>
  <c r="H1686" i="12"/>
  <c r="F1947" i="12"/>
  <c r="F1926" i="12"/>
  <c r="H2189" i="12"/>
  <c r="G2168" i="12"/>
  <c r="H2043" i="12"/>
  <c r="G1585" i="12"/>
  <c r="H2584" i="12"/>
  <c r="F2549" i="12"/>
  <c r="F2093" i="12"/>
  <c r="H2004" i="12"/>
  <c r="G2419" i="12"/>
  <c r="H1914" i="12"/>
  <c r="F2010" i="12"/>
  <c r="G2327" i="12"/>
  <c r="H2103" i="12"/>
  <c r="F1794" i="12"/>
  <c r="F2287" i="12"/>
  <c r="F1564" i="12"/>
  <c r="G1793" i="12"/>
  <c r="F2143" i="12"/>
  <c r="H2419" i="12"/>
  <c r="F1944" i="12"/>
  <c r="G1785" i="12"/>
  <c r="F2274" i="12"/>
  <c r="F2526" i="12"/>
  <c r="G2548" i="12"/>
  <c r="H1815" i="12"/>
  <c r="F1647" i="12"/>
  <c r="G2530" i="12"/>
  <c r="F2579" i="12"/>
  <c r="F2580" i="12"/>
  <c r="F2581" i="12"/>
  <c r="G1823" i="12"/>
  <c r="H1655" i="12"/>
  <c r="H2535" i="12"/>
  <c r="G2584" i="12"/>
  <c r="G2585" i="12"/>
  <c r="G2586" i="12"/>
  <c r="F2285" i="12"/>
  <c r="G1824" i="12"/>
  <c r="H1956" i="12"/>
  <c r="H2738" i="12"/>
  <c r="G2526" i="12"/>
  <c r="G2527" i="12"/>
  <c r="G2018" i="12"/>
  <c r="H1838" i="12"/>
  <c r="H2631" i="12"/>
  <c r="H2144" i="12"/>
  <c r="F2177" i="12"/>
  <c r="G2261" i="12"/>
  <c r="G1519" i="12"/>
  <c r="F1418" i="12"/>
  <c r="H1990" i="12"/>
  <c r="H1894" i="12"/>
  <c r="H2133" i="12"/>
  <c r="H2076" i="12"/>
  <c r="H1879" i="12"/>
  <c r="F2005" i="12"/>
  <c r="G1821" i="12"/>
  <c r="G2256" i="12"/>
  <c r="G2263" i="12"/>
  <c r="G2306" i="12"/>
  <c r="H2288" i="12"/>
  <c r="F2167" i="12"/>
  <c r="G1898" i="12"/>
  <c r="G2175" i="12"/>
  <c r="H2506" i="12"/>
  <c r="F1714" i="12"/>
  <c r="F2090" i="12"/>
  <c r="G2301" i="12"/>
  <c r="H2066" i="12"/>
  <c r="G2095" i="12"/>
  <c r="H2424" i="12"/>
  <c r="H1730" i="12"/>
  <c r="H1916" i="12"/>
  <c r="F2390" i="12"/>
  <c r="G1952" i="12"/>
  <c r="F1928" i="12"/>
  <c r="H2267" i="12"/>
  <c r="F2505" i="12"/>
  <c r="H2082" i="12"/>
  <c r="G1910" i="12"/>
  <c r="F2377" i="12"/>
  <c r="G2611" i="12"/>
  <c r="H2633" i="12"/>
  <c r="G2002" i="12"/>
  <c r="F1810" i="12"/>
  <c r="H2615" i="12"/>
  <c r="H2104" i="12"/>
  <c r="G2153" i="12"/>
  <c r="F2131" i="12"/>
  <c r="H2007" i="12"/>
  <c r="F1825" i="12"/>
  <c r="F2621" i="12"/>
  <c r="F2126" i="12"/>
  <c r="G2161" i="12"/>
  <c r="H2139" i="12"/>
  <c r="G1892" i="12"/>
  <c r="G1971" i="12"/>
  <c r="F2042" i="12"/>
  <c r="F2824" i="12"/>
  <c r="H2611" i="12"/>
  <c r="H2612" i="12"/>
  <c r="G1474" i="12"/>
  <c r="F1956" i="12"/>
  <c r="F2717" i="12"/>
  <c r="G2268" i="12"/>
  <c r="H1520" i="12"/>
  <c r="H1918" i="12"/>
  <c r="F1995" i="12"/>
  <c r="H1662" i="12"/>
  <c r="F1671" i="12"/>
  <c r="G2240" i="12"/>
  <c r="G1822" i="12"/>
  <c r="G1995" i="12"/>
  <c r="G2154" i="12"/>
  <c r="G1925" i="12"/>
  <c r="F1446" i="12"/>
  <c r="F2061" i="12"/>
  <c r="G2407" i="12"/>
  <c r="F2262" i="12"/>
  <c r="H1996" i="12"/>
  <c r="H2196" i="12"/>
  <c r="F2295" i="12"/>
  <c r="F2592" i="12"/>
  <c r="H1908" i="12"/>
  <c r="F2319" i="12"/>
  <c r="H2402" i="12"/>
  <c r="F1681" i="12"/>
  <c r="F2509" i="12"/>
  <c r="F2510" i="12"/>
  <c r="H1920" i="12"/>
  <c r="G2015" i="12"/>
  <c r="G2648" i="12"/>
  <c r="F2082" i="12"/>
  <c r="H2030" i="12"/>
  <c r="F2371" i="12"/>
  <c r="G2590" i="12"/>
  <c r="G1889" i="12"/>
  <c r="H2009" i="12"/>
  <c r="H2466" i="12"/>
  <c r="H2214" i="12"/>
  <c r="G2216" i="12"/>
  <c r="G2130" i="12"/>
  <c r="F1940" i="12"/>
  <c r="F2701" i="12"/>
  <c r="H2244" i="12"/>
  <c r="H2275" i="12"/>
  <c r="G2255" i="12"/>
  <c r="F1323" i="12"/>
  <c r="G1945" i="12"/>
  <c r="G2706" i="12"/>
  <c r="G2253" i="12"/>
  <c r="F2282" i="12"/>
  <c r="F2264" i="12"/>
  <c r="F1510" i="12"/>
  <c r="G1634" i="12"/>
  <c r="H2135" i="12"/>
  <c r="F2206" i="12"/>
  <c r="F2207" i="12"/>
  <c r="F2209" i="12"/>
  <c r="F1816" i="12"/>
  <c r="F2068" i="12"/>
  <c r="G2802" i="12"/>
  <c r="H2371" i="12"/>
  <c r="H1878" i="12"/>
  <c r="F1938" i="12"/>
  <c r="H1974" i="12"/>
  <c r="G1960" i="12"/>
  <c r="G1807" i="12"/>
  <c r="H2341" i="12"/>
  <c r="G1219" i="12"/>
  <c r="G1686" i="12"/>
  <c r="G2282" i="12"/>
  <c r="F1402" i="12"/>
  <c r="H1753" i="12"/>
  <c r="G2029" i="12"/>
  <c r="F2493" i="12"/>
  <c r="G2366" i="12"/>
  <c r="F1316" i="12"/>
  <c r="H2312" i="12"/>
  <c r="H2483" i="12"/>
  <c r="F2233" i="12"/>
  <c r="F1987" i="12"/>
  <c r="F2589" i="12"/>
  <c r="F2489" i="12"/>
  <c r="F2115" i="12"/>
  <c r="G2594" i="12"/>
  <c r="G2595" i="12"/>
  <c r="G2008" i="12"/>
  <c r="H2100" i="12"/>
  <c r="F2222" i="12"/>
  <c r="G1705" i="12"/>
  <c r="G1491" i="12"/>
  <c r="F2632" i="12"/>
  <c r="H2176" i="12"/>
  <c r="F2019" i="12"/>
  <c r="H1657" i="12"/>
  <c r="F2552" i="12"/>
  <c r="H2327" i="12"/>
  <c r="H2328" i="12"/>
  <c r="F1791" i="12"/>
  <c r="G2041" i="12"/>
  <c r="G2786" i="12"/>
  <c r="H2353" i="12"/>
  <c r="G2379" i="12"/>
  <c r="H2361" i="12"/>
  <c r="G1799" i="12"/>
  <c r="H2046" i="12"/>
  <c r="H2791" i="12"/>
  <c r="H2359" i="12"/>
  <c r="G2385" i="12"/>
  <c r="G2368" i="12"/>
  <c r="G1798" i="12"/>
  <c r="F1818" i="12"/>
  <c r="G2259" i="12"/>
  <c r="H2320" i="12"/>
  <c r="H2321" i="12"/>
  <c r="H2322" i="12"/>
  <c r="H1986" i="12"/>
  <c r="F1656" i="12"/>
  <c r="G2182" i="12"/>
  <c r="F2462" i="12"/>
  <c r="F1420" i="12"/>
  <c r="F1896" i="12"/>
  <c r="F1633" i="12"/>
  <c r="H1714" i="12"/>
  <c r="H1725" i="12"/>
  <c r="F1677" i="12"/>
  <c r="G1637" i="12"/>
  <c r="H2027" i="12"/>
  <c r="H1360" i="12"/>
  <c r="G1306" i="12"/>
  <c r="H1899" i="12"/>
  <c r="H1633" i="12"/>
  <c r="H2663" i="12"/>
  <c r="G2457" i="12"/>
  <c r="H2034" i="12"/>
  <c r="F2413" i="12"/>
  <c r="F2269" i="12"/>
  <c r="G2343" i="12"/>
  <c r="H2109" i="12"/>
  <c r="G2674" i="12"/>
  <c r="G2574" i="12"/>
  <c r="G1757" i="12"/>
  <c r="H2679" i="12"/>
  <c r="H2408" i="12"/>
  <c r="G1408" i="12"/>
  <c r="F2221" i="12"/>
  <c r="H2333" i="12"/>
  <c r="G1970" i="12"/>
  <c r="F1777" i="12"/>
  <c r="G2717" i="12"/>
  <c r="G2295" i="12"/>
  <c r="G1536" i="12"/>
  <c r="H1810" i="12"/>
  <c r="G2637" i="12"/>
  <c r="F2425" i="12"/>
  <c r="F2426" i="12"/>
  <c r="G1949" i="12"/>
  <c r="H1623" i="12"/>
  <c r="H2158" i="12"/>
  <c r="F2446" i="12"/>
  <c r="G2468" i="12"/>
  <c r="G2453" i="12"/>
  <c r="H1954" i="12"/>
  <c r="G1636" i="12"/>
  <c r="H2166" i="12"/>
  <c r="G2451" i="12"/>
  <c r="H2473" i="12"/>
  <c r="H2458" i="12"/>
  <c r="H1798" i="12"/>
  <c r="H1939" i="12"/>
  <c r="H2364" i="12"/>
  <c r="F2419" i="12"/>
  <c r="F2420" i="12"/>
  <c r="F2421" i="12"/>
  <c r="H2114" i="12"/>
  <c r="F1819" i="12"/>
  <c r="G2300" i="12"/>
  <c r="G2547" i="12"/>
  <c r="H1907" i="12"/>
  <c r="F1831" i="12"/>
  <c r="H2273" i="12"/>
  <c r="G2333" i="12"/>
  <c r="G2334" i="12"/>
  <c r="F2067" i="12"/>
  <c r="G1725" i="12"/>
  <c r="F2584" i="12"/>
  <c r="F2366" i="12"/>
  <c r="G1791" i="12"/>
  <c r="F1951" i="12"/>
  <c r="H2418" i="12"/>
  <c r="F2071" i="12"/>
  <c r="F1851" i="12"/>
  <c r="H2292" i="12"/>
  <c r="G2353" i="12"/>
  <c r="H2505" i="12"/>
  <c r="F2202" i="12"/>
  <c r="F2166" i="12"/>
  <c r="G3026" i="12"/>
  <c r="F2722" i="12"/>
  <c r="F2182" i="12"/>
  <c r="H2442" i="12"/>
  <c r="H2470" i="12"/>
  <c r="G8" i="12"/>
  <c r="F3016" i="12"/>
  <c r="F2772" i="12"/>
  <c r="F2618" i="12"/>
  <c r="F2265" i="12"/>
  <c r="H2572" i="12"/>
  <c r="F2960" i="12"/>
  <c r="H2667" i="12"/>
  <c r="G2403" i="12"/>
  <c r="G2576" i="12"/>
  <c r="G2492" i="12"/>
  <c r="G2992" i="12"/>
  <c r="G1818" i="12"/>
  <c r="F1123" i="12"/>
  <c r="G1574" i="12"/>
  <c r="F1498" i="12"/>
  <c r="F1721" i="12"/>
  <c r="H1834" i="12"/>
  <c r="G1339" i="12"/>
  <c r="F2113" i="12"/>
  <c r="G1957" i="12"/>
  <c r="G1461" i="12"/>
  <c r="F1953" i="12"/>
  <c r="G1830" i="12"/>
  <c r="G2228" i="12"/>
  <c r="H2542" i="12"/>
  <c r="H1644" i="12"/>
  <c r="G2498" i="12"/>
  <c r="G2372" i="12"/>
  <c r="F2523" i="12"/>
  <c r="F1750" i="12"/>
  <c r="H2759" i="12"/>
  <c r="F2153" i="12"/>
  <c r="G1921" i="12"/>
  <c r="F2765" i="12"/>
  <c r="G2494" i="12"/>
  <c r="H1766" i="12"/>
  <c r="H2332" i="12"/>
  <c r="F2430" i="12"/>
  <c r="F2109" i="12"/>
  <c r="G1904" i="12"/>
  <c r="H2802" i="12"/>
  <c r="F2484" i="12"/>
  <c r="F1800" i="12"/>
  <c r="G1929" i="12"/>
  <c r="H2722" i="12"/>
  <c r="G2510" i="12"/>
  <c r="G2511" i="12"/>
  <c r="F2088" i="12"/>
  <c r="H1793" i="12"/>
  <c r="G2280" i="12"/>
  <c r="G2531" i="12"/>
  <c r="H2553" i="12"/>
  <c r="H2538" i="12"/>
  <c r="G2093" i="12"/>
  <c r="F1802" i="12"/>
  <c r="H2286" i="12"/>
  <c r="H2536" i="12"/>
  <c r="F2559" i="12"/>
  <c r="F2544" i="12"/>
  <c r="G2167" i="12"/>
  <c r="H2051" i="12"/>
  <c r="H2455" i="12"/>
  <c r="G2504" i="12"/>
  <c r="G2505" i="12"/>
  <c r="G2506" i="12"/>
  <c r="G1766" i="12"/>
  <c r="F1935" i="12"/>
  <c r="H2401" i="12"/>
  <c r="F2105" i="12"/>
  <c r="G1815" i="12"/>
  <c r="G1950" i="12"/>
  <c r="H2376" i="12"/>
  <c r="H2429" i="12"/>
  <c r="H2430" i="12"/>
  <c r="F1672" i="12"/>
  <c r="H1865" i="12"/>
  <c r="G2669" i="12"/>
  <c r="F2457" i="12"/>
  <c r="G1944" i="12"/>
  <c r="F2047" i="12"/>
  <c r="F2504" i="12"/>
  <c r="F1914" i="12"/>
  <c r="F1977" i="12"/>
  <c r="G2395" i="12"/>
  <c r="H2445" i="12"/>
  <c r="G2110" i="12"/>
  <c r="F2330" i="12"/>
  <c r="F2286" i="12"/>
  <c r="G2672" i="12"/>
  <c r="F2820" i="12"/>
  <c r="F2253" i="12"/>
  <c r="H2554" i="12"/>
  <c r="F2556" i="12"/>
  <c r="F2684" i="12"/>
  <c r="F2673" i="12"/>
  <c r="H2865" i="12"/>
  <c r="G2276" i="12"/>
  <c r="G2381" i="12"/>
  <c r="G2696" i="12"/>
  <c r="F2971" i="12"/>
  <c r="H2765" i="12"/>
  <c r="G2532" i="12"/>
  <c r="G2226" i="12"/>
  <c r="G2189" i="12"/>
  <c r="F2258" i="12"/>
  <c r="H2185" i="12"/>
  <c r="G2285" i="12"/>
  <c r="H2980" i="12"/>
  <c r="F2543" i="12"/>
  <c r="G2241" i="12"/>
  <c r="H2063" i="12"/>
  <c r="H1973" i="12"/>
  <c r="F1893" i="12"/>
  <c r="F2117" i="12"/>
  <c r="H1562" i="12"/>
  <c r="F1937" i="12"/>
  <c r="F1846" i="12"/>
  <c r="G1677" i="12"/>
  <c r="F2336" i="12"/>
  <c r="H1722" i="12"/>
  <c r="G2038" i="12"/>
  <c r="G1976" i="12"/>
  <c r="G2339" i="12"/>
  <c r="F2223" i="12"/>
  <c r="H1836" i="12"/>
  <c r="F2237" i="12"/>
  <c r="H2462" i="12"/>
  <c r="F2363" i="12"/>
  <c r="G1915" i="12"/>
  <c r="H2099" i="12"/>
  <c r="G2275" i="12"/>
  <c r="G2051" i="12"/>
  <c r="H2121" i="12"/>
  <c r="H2579" i="12"/>
  <c r="G1927" i="12"/>
  <c r="H2599" i="12"/>
  <c r="H2199" i="12"/>
  <c r="G1773" i="12"/>
  <c r="G1803" i="12"/>
  <c r="H2174" i="12"/>
  <c r="G2569" i="12"/>
  <c r="G1955" i="12"/>
  <c r="F2026" i="12"/>
  <c r="F2808" i="12"/>
  <c r="H2595" i="12"/>
  <c r="H2596" i="12"/>
  <c r="G1714" i="12"/>
  <c r="G1916" i="12"/>
  <c r="F2383" i="12"/>
  <c r="H2616" i="12"/>
  <c r="F2639" i="12"/>
  <c r="H2155" i="12"/>
  <c r="H1748" i="12"/>
  <c r="G1922" i="12"/>
  <c r="H2389" i="12"/>
  <c r="F2622" i="12"/>
  <c r="G2644" i="12"/>
  <c r="G2163" i="12"/>
  <c r="H1829" i="12"/>
  <c r="G1665" i="12"/>
  <c r="F2541" i="12"/>
  <c r="H2589" i="12"/>
  <c r="H2590" i="12"/>
  <c r="H2591" i="12"/>
  <c r="F1927" i="12"/>
  <c r="F2031" i="12"/>
  <c r="F2488" i="12"/>
  <c r="F2246" i="12"/>
  <c r="F2178" i="12"/>
  <c r="G2062" i="12"/>
  <c r="G2466" i="12"/>
  <c r="F2515" i="12"/>
  <c r="F2516" i="12"/>
  <c r="G1863" i="12"/>
  <c r="H1972" i="12"/>
  <c r="H2754" i="12"/>
  <c r="G2542" i="12"/>
  <c r="G2072" i="12"/>
  <c r="H1734" i="12"/>
  <c r="G2589" i="12"/>
  <c r="H2252" i="12"/>
  <c r="H2083" i="12"/>
  <c r="G2482" i="12"/>
  <c r="F2531" i="12"/>
  <c r="G2302" i="12"/>
  <c r="F2438" i="12"/>
  <c r="G2388" i="12"/>
  <c r="H2769" i="12"/>
  <c r="H2907" i="12"/>
  <c r="H2268" i="12"/>
  <c r="H2201" i="12"/>
  <c r="G2173" i="12"/>
  <c r="F2782" i="12"/>
  <c r="F2771" i="12"/>
  <c r="F2951" i="12"/>
  <c r="F2437" i="12"/>
  <c r="H2475" i="12"/>
  <c r="H2793" i="12"/>
  <c r="H2544" i="12"/>
  <c r="F2860" i="12"/>
  <c r="H2146" i="12"/>
  <c r="F2350" i="12"/>
  <c r="F2306" i="12"/>
  <c r="F2089" i="12"/>
  <c r="F2343" i="12"/>
  <c r="H2393" i="12"/>
  <c r="H3029" i="12"/>
  <c r="G2162" i="12"/>
  <c r="F2369" i="12"/>
  <c r="H2318" i="12"/>
  <c r="G1871" i="12"/>
  <c r="H2355" i="12"/>
  <c r="H1555" i="12"/>
  <c r="G2012" i="12"/>
  <c r="H1887" i="12"/>
  <c r="F2235" i="12"/>
  <c r="H1601" i="12"/>
  <c r="G2022" i="12"/>
  <c r="H1999" i="12"/>
  <c r="H1814" i="12"/>
  <c r="G1639" i="12"/>
  <c r="F1482" i="12"/>
  <c r="H2123" i="12"/>
  <c r="F1716" i="12"/>
  <c r="H2434" i="12"/>
  <c r="G2516" i="12"/>
  <c r="H1981" i="12"/>
  <c r="H2345" i="12"/>
  <c r="F2548" i="12"/>
  <c r="F2454" i="12"/>
  <c r="F2046" i="12"/>
  <c r="H2530" i="12"/>
  <c r="F2379" i="12"/>
  <c r="G1490" i="12"/>
  <c r="F2252" i="12"/>
  <c r="F2161" i="12"/>
  <c r="H1333" i="12"/>
  <c r="F2685" i="12"/>
  <c r="F2314" i="12"/>
  <c r="H1938" i="12"/>
  <c r="H1922" i="12"/>
  <c r="G2294" i="12"/>
  <c r="H2137" i="12"/>
  <c r="F1580" i="12"/>
  <c r="H2056" i="12"/>
  <c r="H2182" i="12"/>
  <c r="G2184" i="12"/>
  <c r="G2185" i="12"/>
  <c r="H1895" i="12"/>
  <c r="F2015" i="12"/>
  <c r="F2472" i="12"/>
  <c r="G2222" i="12"/>
  <c r="G2223" i="12"/>
  <c r="F2278" i="12"/>
  <c r="F1903" i="12"/>
  <c r="G2020" i="12"/>
  <c r="G2477" i="12"/>
  <c r="G2230" i="12"/>
  <c r="F2232" i="12"/>
  <c r="G2284" i="12"/>
  <c r="F2013" i="12"/>
  <c r="G1831" i="12"/>
  <c r="G2626" i="12"/>
  <c r="H2136" i="12"/>
  <c r="F2169" i="12"/>
  <c r="G2147" i="12"/>
  <c r="G2056" i="12"/>
  <c r="F1692" i="12"/>
  <c r="G2573" i="12"/>
  <c r="F2354" i="12"/>
  <c r="G1842" i="12"/>
  <c r="G1691" i="12"/>
  <c r="H2551" i="12"/>
  <c r="G2600" i="12"/>
  <c r="F2293" i="12"/>
  <c r="F1998" i="12"/>
  <c r="F2058" i="12"/>
  <c r="F2840" i="12"/>
  <c r="H2627" i="12"/>
  <c r="G1681" i="12"/>
  <c r="F1872" i="12"/>
  <c r="H2674" i="12"/>
  <c r="G1920" i="12"/>
  <c r="G1716" i="12"/>
  <c r="H2567" i="12"/>
  <c r="G2616" i="12"/>
  <c r="F2458" i="12"/>
  <c r="F2534" i="12"/>
  <c r="H2476" i="12"/>
  <c r="F2864" i="12"/>
  <c r="H3030" i="12"/>
  <c r="G2246" i="12"/>
  <c r="F2337" i="12"/>
  <c r="F2292" i="12"/>
  <c r="G2874" i="12"/>
  <c r="H2864" i="12"/>
  <c r="F2599" i="12"/>
  <c r="F1426" i="12"/>
  <c r="H1408" i="12"/>
  <c r="F2226" i="12"/>
  <c r="F1867" i="12"/>
  <c r="H1536" i="12"/>
  <c r="F1670" i="12"/>
  <c r="H2127" i="12"/>
  <c r="G1772" i="12"/>
  <c r="G1804" i="12"/>
  <c r="G1666" i="12"/>
  <c r="F1695" i="12"/>
  <c r="G1877" i="12"/>
  <c r="F2520" i="12"/>
  <c r="H2601" i="12"/>
  <c r="H1740" i="12"/>
  <c r="F2440" i="12"/>
  <c r="H2521" i="12"/>
  <c r="G2539" i="12"/>
  <c r="F1890" i="12"/>
  <c r="F2616" i="12"/>
  <c r="H2072" i="12"/>
  <c r="H1776" i="12"/>
  <c r="F2359" i="12"/>
  <c r="H2558" i="12"/>
  <c r="F1767" i="12"/>
  <c r="G2770" i="12"/>
  <c r="G2414" i="12"/>
  <c r="G2077" i="12"/>
  <c r="H2020" i="12"/>
  <c r="F2483" i="12"/>
  <c r="G2262" i="12"/>
  <c r="H1783" i="12"/>
  <c r="F2236" i="12"/>
  <c r="H2300" i="12"/>
  <c r="H2301" i="12"/>
  <c r="H2302" i="12"/>
  <c r="G2024" i="12"/>
  <c r="F1666" i="12"/>
  <c r="G2557" i="12"/>
  <c r="F2334" i="12"/>
  <c r="F2335" i="12"/>
  <c r="H2380" i="12"/>
  <c r="H2029" i="12"/>
  <c r="G1675" i="12"/>
  <c r="H2562" i="12"/>
  <c r="G2340" i="12"/>
  <c r="G2342" i="12"/>
  <c r="H2386" i="12"/>
  <c r="G1399" i="12"/>
  <c r="H1950" i="12"/>
  <c r="H2711" i="12"/>
  <c r="G2260" i="12"/>
  <c r="G2289" i="12"/>
  <c r="G2270" i="12"/>
  <c r="F1655" i="12"/>
  <c r="F1852" i="12"/>
  <c r="H2658" i="12"/>
  <c r="G2446" i="12"/>
  <c r="G1527" i="12"/>
  <c r="G2043" i="12"/>
  <c r="G2120" i="12"/>
  <c r="F1996" i="12"/>
  <c r="H1638" i="12"/>
  <c r="G2001" i="12"/>
  <c r="G2266" i="12"/>
  <c r="F1888" i="12"/>
  <c r="H1941" i="12"/>
  <c r="H1858" i="12"/>
  <c r="G1931" i="12"/>
  <c r="H1987" i="12"/>
  <c r="F2260" i="12"/>
  <c r="G2169" i="12"/>
  <c r="G1724" i="12"/>
  <c r="G2525" i="12"/>
  <c r="F2607" i="12"/>
  <c r="H2233" i="12"/>
  <c r="H1750" i="12"/>
  <c r="G2701" i="12"/>
  <c r="H2238" i="12"/>
  <c r="F1910" i="12"/>
  <c r="G2621" i="12"/>
  <c r="F2110" i="12"/>
  <c r="H1909" i="12"/>
  <c r="F2136" i="12"/>
  <c r="H2499" i="12"/>
  <c r="H1697" i="12"/>
  <c r="F2106" i="12"/>
  <c r="G2568" i="12"/>
  <c r="F1192" i="12"/>
  <c r="H1921" i="12"/>
  <c r="G2345" i="12"/>
  <c r="F2402" i="12"/>
  <c r="F2403" i="12"/>
  <c r="F2404" i="12"/>
  <c r="F1576" i="12"/>
  <c r="G1819" i="12"/>
  <c r="H2642" i="12"/>
  <c r="G2430" i="12"/>
  <c r="G2431" i="12"/>
  <c r="H2469" i="12"/>
  <c r="G1604" i="12"/>
  <c r="H1825" i="12"/>
  <c r="F2648" i="12"/>
  <c r="H2435" i="12"/>
  <c r="H2436" i="12"/>
  <c r="F2475" i="12"/>
  <c r="H1808" i="12"/>
  <c r="F2052" i="12"/>
  <c r="F2797" i="12"/>
  <c r="H2365" i="12"/>
  <c r="G2391" i="12"/>
  <c r="G2374" i="12"/>
  <c r="H1850" i="12"/>
  <c r="F1962" i="12"/>
  <c r="F2744" i="12"/>
  <c r="H2531" i="12"/>
  <c r="F1381" i="12"/>
  <c r="H1948" i="12"/>
  <c r="F1555" i="12"/>
  <c r="G2081" i="12"/>
  <c r="H1839" i="12"/>
  <c r="H2086" i="12"/>
  <c r="F1778" i="12"/>
  <c r="G1980" i="12"/>
  <c r="G1745" i="12"/>
  <c r="G2010" i="12"/>
  <c r="G1652" i="12"/>
  <c r="G2094" i="12"/>
  <c r="G2365" i="12"/>
  <c r="H2289" i="12"/>
  <c r="H1883" i="12"/>
  <c r="F2696" i="12"/>
  <c r="G2177" i="12"/>
  <c r="F2318" i="12"/>
  <c r="F1904" i="12"/>
  <c r="H2786" i="12"/>
  <c r="G1733" i="12"/>
  <c r="F2020" i="12"/>
  <c r="H2706" i="12"/>
  <c r="H2246" i="12"/>
  <c r="F1784" i="12"/>
  <c r="F2456" i="12"/>
  <c r="F2585" i="12"/>
  <c r="H1482" i="12"/>
  <c r="F2228" i="12"/>
  <c r="H2653" i="12"/>
  <c r="F2059" i="12"/>
  <c r="F2025" i="12"/>
  <c r="H2439" i="12"/>
  <c r="G2488" i="12"/>
  <c r="G2489" i="12"/>
  <c r="G2490" i="12"/>
  <c r="G1809" i="12"/>
  <c r="G1935" i="12"/>
  <c r="F2728" i="12"/>
  <c r="H2515" i="12"/>
  <c r="H2516" i="12"/>
  <c r="F2555" i="12"/>
  <c r="H1817" i="12"/>
  <c r="G1951" i="12"/>
  <c r="G2733" i="12"/>
  <c r="F2521" i="12"/>
  <c r="F2522" i="12"/>
  <c r="G2560" i="12"/>
  <c r="G1981" i="12"/>
  <c r="G1647" i="12"/>
  <c r="G2174" i="12"/>
  <c r="H2456" i="12"/>
  <c r="F2479" i="12"/>
  <c r="G2026" i="12"/>
  <c r="H1976" i="12"/>
  <c r="G2047" i="12"/>
  <c r="G2829" i="12"/>
  <c r="H1546" i="12"/>
  <c r="G2202" i="12"/>
  <c r="F2048" i="12"/>
  <c r="H1596" i="12"/>
  <c r="H1769" i="12"/>
  <c r="F1618" i="12"/>
  <c r="F2208" i="12"/>
  <c r="H2065" i="12"/>
  <c r="G1893" i="12"/>
  <c r="H2159" i="12"/>
  <c r="F1789" i="12"/>
  <c r="G1890" i="12"/>
  <c r="G2456" i="12"/>
  <c r="H2263" i="12"/>
  <c r="G1998" i="12"/>
  <c r="F2268" i="12"/>
  <c r="F2296" i="12"/>
  <c r="G2417" i="12"/>
  <c r="H2014" i="12"/>
  <c r="F2152" i="12"/>
  <c r="H1659" i="12"/>
  <c r="H1343" i="12"/>
  <c r="F2792" i="12"/>
  <c r="G1502" i="12"/>
  <c r="F1916" i="12"/>
  <c r="G2541" i="12"/>
  <c r="H2168" i="12"/>
  <c r="H1792" i="12"/>
  <c r="G2434" i="12"/>
  <c r="F2230" i="12"/>
  <c r="H2022" i="12"/>
  <c r="H1634" i="12"/>
  <c r="F2525" i="12"/>
  <c r="H2573" i="12"/>
  <c r="H2574" i="12"/>
  <c r="G1570" i="12"/>
  <c r="H1960" i="12"/>
  <c r="G2031" i="12"/>
  <c r="G2813" i="12"/>
  <c r="F2601" i="12"/>
  <c r="F2602" i="12"/>
  <c r="H1675" i="12"/>
  <c r="F1966" i="12"/>
  <c r="H2036" i="12"/>
  <c r="H2818" i="12"/>
  <c r="G2606" i="12"/>
  <c r="G2607" i="12"/>
  <c r="G2187" i="12"/>
  <c r="G2109" i="12"/>
  <c r="G1810" i="12"/>
  <c r="F2294" i="12"/>
  <c r="F2542" i="12"/>
  <c r="G2564" i="12"/>
  <c r="F1762" i="12"/>
  <c r="G1645" i="12"/>
  <c r="H2142" i="12"/>
  <c r="F2214" i="12"/>
  <c r="H2215" i="12"/>
  <c r="F1421" i="12"/>
  <c r="G1762" i="12"/>
  <c r="F1919" i="12"/>
  <c r="H1755" i="12"/>
  <c r="H1946" i="12"/>
  <c r="F1764" i="12"/>
  <c r="H2330" i="12"/>
  <c r="G2236" i="12"/>
  <c r="H2000" i="12"/>
  <c r="H2106" i="12"/>
  <c r="H1900" i="12"/>
  <c r="H1716" i="12"/>
  <c r="H2541" i="12"/>
  <c r="G2367" i="12"/>
  <c r="F1343" i="12"/>
  <c r="G2371" i="12"/>
  <c r="H2484" i="12"/>
  <c r="H1493" i="12"/>
  <c r="F2116" i="12"/>
  <c r="G2377" i="12"/>
  <c r="H1687" i="12"/>
  <c r="H1742" i="12"/>
  <c r="F2159" i="12"/>
  <c r="F1834" i="12"/>
  <c r="G2025" i="12"/>
  <c r="H2626" i="12"/>
  <c r="F2289" i="12"/>
  <c r="F1950" i="12"/>
  <c r="H2519" i="12"/>
  <c r="F2340" i="12"/>
  <c r="H1670" i="12"/>
  <c r="H1801" i="12"/>
  <c r="G2610" i="12"/>
  <c r="F2063" i="12"/>
  <c r="G2146" i="12"/>
  <c r="G2160" i="12"/>
  <c r="H1606" i="12"/>
  <c r="G2099" i="12"/>
  <c r="G2190" i="12"/>
  <c r="G2191" i="12"/>
  <c r="G2193" i="12"/>
  <c r="H2261" i="12"/>
  <c r="F1623" i="12"/>
  <c r="G2121" i="12"/>
  <c r="G2198" i="12"/>
  <c r="F2200" i="12"/>
  <c r="F2201" i="12"/>
  <c r="H2304" i="12"/>
  <c r="F1757" i="12"/>
  <c r="F1929" i="12"/>
  <c r="H2395" i="12"/>
  <c r="G2067" i="12"/>
  <c r="H2073" i="12"/>
  <c r="G1894" i="12"/>
  <c r="H1824" i="12"/>
  <c r="G2267" i="12"/>
  <c r="F2327" i="12"/>
  <c r="F2328" i="12"/>
  <c r="F2120" i="12"/>
  <c r="G1825" i="12"/>
  <c r="H2306" i="12"/>
  <c r="H2552" i="12"/>
  <c r="G1882" i="12"/>
  <c r="H1698" i="12"/>
  <c r="F2557" i="12"/>
  <c r="H2605" i="12"/>
  <c r="F1908" i="12"/>
  <c r="H1971" i="12"/>
  <c r="H2388" i="12"/>
  <c r="G2440" i="12"/>
  <c r="H1602" i="12"/>
  <c r="G1845" i="12"/>
  <c r="H2326" i="12"/>
  <c r="H1978" i="12"/>
  <c r="G2155" i="12"/>
  <c r="G2258" i="12"/>
  <c r="G2959" i="12"/>
  <c r="H2788" i="12"/>
  <c r="G2978" i="12"/>
  <c r="H2308" i="12"/>
  <c r="G2443" i="12"/>
  <c r="F2395" i="12"/>
  <c r="G2776" i="12"/>
  <c r="F2913" i="12"/>
  <c r="F1787" i="12"/>
  <c r="F2270" i="12"/>
  <c r="H2695" i="12"/>
  <c r="F1921" i="12"/>
  <c r="G1836" i="12"/>
  <c r="F2637" i="12"/>
  <c r="G2622" i="12"/>
  <c r="G1682" i="12"/>
  <c r="G2520" i="12"/>
  <c r="G2003" i="12"/>
  <c r="G2319" i="12"/>
  <c r="F1877" i="12"/>
  <c r="F2424" i="12"/>
  <c r="G2426" i="12"/>
  <c r="F2562" i="12"/>
  <c r="H2944" i="12"/>
  <c r="H2431" i="12"/>
  <c r="G2292" i="12"/>
  <c r="H2620" i="12"/>
  <c r="F2316" i="12"/>
  <c r="F2476" i="12"/>
  <c r="G2684" i="12"/>
  <c r="H2680" i="12"/>
  <c r="G2565" i="12"/>
  <c r="H2492" i="12"/>
  <c r="H2537" i="12"/>
  <c r="G2486" i="12"/>
  <c r="F2800" i="12"/>
  <c r="G2194" i="12"/>
  <c r="H2417" i="12"/>
  <c r="G2658" i="12"/>
  <c r="H2374" i="12"/>
  <c r="G2508" i="12"/>
  <c r="F2982" i="12"/>
  <c r="H2607" i="12"/>
  <c r="F2180" i="12"/>
  <c r="G2911" i="12"/>
  <c r="F2734" i="12"/>
  <c r="H2532" i="12"/>
  <c r="H2179" i="12"/>
  <c r="G2519" i="12"/>
  <c r="H2906" i="12"/>
  <c r="G2550" i="12"/>
  <c r="H2162" i="12"/>
  <c r="H2317" i="12"/>
  <c r="G2638" i="12"/>
  <c r="G2997" i="12"/>
  <c r="G2710" i="12"/>
  <c r="H2623" i="12"/>
  <c r="G2211" i="12"/>
  <c r="G2927" i="12"/>
  <c r="G2596" i="12"/>
  <c r="F2291" i="12"/>
  <c r="G2251" i="12"/>
  <c r="F1971" i="12"/>
  <c r="F2284" i="12"/>
  <c r="G2344" i="12"/>
  <c r="G1751" i="12"/>
  <c r="F2416" i="12"/>
  <c r="G2449" i="12"/>
  <c r="H2105" i="12"/>
  <c r="F2317" i="12"/>
  <c r="F2273" i="12"/>
  <c r="G2500" i="12"/>
  <c r="F2195" i="12"/>
  <c r="F2158" i="12"/>
  <c r="F2848" i="12"/>
  <c r="F2790" i="12"/>
  <c r="F2651" i="12"/>
  <c r="H2629" i="12"/>
  <c r="G2572" i="12"/>
  <c r="H2989" i="12"/>
  <c r="F2851" i="12"/>
  <c r="F2836" i="12"/>
  <c r="F2594" i="12"/>
  <c r="F3022" i="12"/>
  <c r="G2856" i="12"/>
  <c r="H2841" i="12"/>
  <c r="G3013" i="12"/>
  <c r="H2913" i="12"/>
  <c r="G2664" i="12"/>
  <c r="F2838" i="12"/>
  <c r="F2845" i="12"/>
  <c r="F2762" i="12"/>
  <c r="G3014" i="12"/>
  <c r="F2815" i="12"/>
  <c r="G2676" i="12"/>
  <c r="H2948" i="12"/>
  <c r="G2814" i="12"/>
  <c r="G2736" i="12"/>
  <c r="F2659" i="12"/>
  <c r="F2999" i="12"/>
  <c r="F2827" i="12"/>
  <c r="G2688" i="12"/>
  <c r="H2958" i="12"/>
  <c r="G2692" i="12"/>
  <c r="H2124" i="12"/>
  <c r="H2346" i="12"/>
  <c r="H2237" i="12"/>
  <c r="H2025" i="12"/>
  <c r="F1992" i="12"/>
  <c r="G2722" i="12"/>
  <c r="H2222" i="12"/>
  <c r="H1831" i="12"/>
  <c r="G2159" i="12"/>
  <c r="F1690" i="12"/>
  <c r="F2760" i="12"/>
  <c r="H2008" i="12"/>
  <c r="F2680" i="12"/>
  <c r="G2554" i="12"/>
  <c r="H2683" i="12"/>
  <c r="G2609" i="12"/>
  <c r="H2559" i="12"/>
  <c r="F2482" i="12"/>
  <c r="H2728" i="12"/>
  <c r="H2468" i="12"/>
  <c r="G2561" i="12"/>
  <c r="G2782" i="12"/>
  <c r="F2778" i="12"/>
  <c r="G2217" i="12"/>
  <c r="H2529" i="12"/>
  <c r="F2490" i="12"/>
  <c r="G2157" i="12"/>
  <c r="G2890" i="12"/>
  <c r="F2576" i="12"/>
  <c r="F2503" i="12"/>
  <c r="H2183" i="12"/>
  <c r="F2491" i="12"/>
  <c r="F2212" i="12"/>
  <c r="G1671" i="12"/>
  <c r="F2225" i="12"/>
  <c r="G2305" i="12"/>
  <c r="H2996" i="12"/>
  <c r="G2831" i="12"/>
  <c r="F2154" i="12"/>
  <c r="G2311" i="12"/>
  <c r="F2630" i="12"/>
  <c r="F2992" i="12"/>
  <c r="G2704" i="12"/>
  <c r="F2349" i="12"/>
  <c r="G2422" i="12"/>
  <c r="F2739" i="12"/>
  <c r="F2993" i="12"/>
  <c r="G1622" i="12"/>
  <c r="G2248" i="12"/>
  <c r="H2331" i="12"/>
  <c r="H3012" i="12"/>
  <c r="H2254" i="12"/>
  <c r="G2411" i="12"/>
  <c r="G2358" i="12"/>
  <c r="G1497" i="12"/>
  <c r="H2410" i="12"/>
  <c r="F2444" i="12"/>
  <c r="F2600" i="12"/>
  <c r="H2522" i="12"/>
  <c r="H2534" i="12"/>
  <c r="G2537" i="12"/>
  <c r="G2432" i="12"/>
  <c r="F2376" i="12"/>
  <c r="G2628" i="12"/>
  <c r="H2323" i="12"/>
  <c r="H2279" i="12"/>
  <c r="G2981" i="12"/>
  <c r="H2897" i="12"/>
  <c r="H2748" i="12"/>
  <c r="F2732" i="12"/>
  <c r="F2764" i="12"/>
  <c r="F2693" i="12"/>
  <c r="G2936" i="12"/>
  <c r="H2921" i="12"/>
  <c r="F2770" i="12"/>
  <c r="F2699" i="12"/>
  <c r="H2941" i="12"/>
  <c r="F2927" i="12"/>
  <c r="H2608" i="12"/>
  <c r="G2990" i="12"/>
  <c r="F2658" i="12"/>
  <c r="F2961" i="12"/>
  <c r="G2930" i="12"/>
  <c r="F2857" i="12"/>
  <c r="H2697" i="12"/>
  <c r="G2903" i="12"/>
  <c r="H2773" i="12"/>
  <c r="G2858" i="12"/>
  <c r="F2924" i="12"/>
  <c r="H2833" i="12"/>
  <c r="G2756" i="12"/>
  <c r="G2728" i="12"/>
  <c r="F2914" i="12"/>
  <c r="H2785" i="12"/>
  <c r="H3028" i="12"/>
  <c r="G2826" i="12"/>
  <c r="G1764" i="12"/>
  <c r="H1609" i="12"/>
  <c r="G2269" i="12"/>
  <c r="H2482" i="12"/>
  <c r="H1774" i="12"/>
  <c r="H2807" i="12"/>
  <c r="G2011" i="12"/>
  <c r="H1945" i="12"/>
  <c r="H2472" i="12"/>
  <c r="H1844" i="12"/>
  <c r="F2062" i="12"/>
  <c r="G1698" i="12"/>
  <c r="G2765" i="12"/>
  <c r="G2310" i="12"/>
  <c r="H2781" i="12"/>
  <c r="H2655" i="12"/>
  <c r="F2163" i="12"/>
  <c r="H2787" i="12"/>
  <c r="F2826" i="12"/>
  <c r="F2565" i="12"/>
  <c r="G2180" i="12"/>
  <c r="H2874" i="12"/>
  <c r="F2871" i="12"/>
  <c r="F2356" i="12"/>
  <c r="G2702" i="12"/>
  <c r="H2628" i="12"/>
  <c r="H2486" i="12"/>
  <c r="H2975" i="12"/>
  <c r="F2241" i="12"/>
  <c r="F2205" i="12"/>
  <c r="H2384" i="12"/>
  <c r="G2592" i="12"/>
  <c r="F2326" i="12"/>
  <c r="G1993" i="12"/>
  <c r="G2380" i="12"/>
  <c r="F2412" i="12"/>
  <c r="F2998" i="12"/>
  <c r="H2933" i="12"/>
  <c r="H2342" i="12"/>
  <c r="F2417" i="12"/>
  <c r="G2732" i="12"/>
  <c r="H3008" i="12"/>
  <c r="H2801" i="12"/>
  <c r="F2485" i="12"/>
  <c r="F2513" i="12"/>
  <c r="G2836" i="12"/>
  <c r="F2647" i="12"/>
  <c r="H1851" i="12"/>
  <c r="G2398" i="12"/>
  <c r="G2433" i="12"/>
  <c r="H3019" i="12"/>
  <c r="H2409" i="12"/>
  <c r="G2507" i="12"/>
  <c r="F2450" i="12"/>
  <c r="H2514" i="12"/>
  <c r="G2517" i="12"/>
  <c r="G2529" i="12"/>
  <c r="H1969" i="12"/>
  <c r="H2637" i="12"/>
  <c r="F2108" i="12"/>
  <c r="F2238" i="12"/>
  <c r="H1664" i="12"/>
  <c r="F2190" i="12"/>
  <c r="H1985" i="12"/>
  <c r="H2041" i="12"/>
  <c r="F2558" i="12"/>
  <c r="F2073" i="12"/>
  <c r="G2237" i="12"/>
  <c r="F1864" i="12"/>
  <c r="G2100" i="12"/>
  <c r="H2194" i="12"/>
  <c r="F2874" i="12"/>
  <c r="F2753" i="12"/>
  <c r="H2316" i="12"/>
  <c r="G2879" i="12"/>
  <c r="G3004" i="12"/>
  <c r="F2170" i="12"/>
  <c r="G2299" i="12"/>
  <c r="G2703" i="12"/>
  <c r="G2956" i="12"/>
  <c r="G2464" i="12"/>
  <c r="H2799" i="12"/>
  <c r="F2290" i="12"/>
  <c r="F2572" i="12"/>
  <c r="F3019" i="12"/>
  <c r="H2368" i="12"/>
  <c r="F2418" i="12"/>
  <c r="G2360" i="12"/>
  <c r="F2249" i="12"/>
  <c r="G2423" i="12"/>
  <c r="H2743" i="12"/>
  <c r="G2485" i="12"/>
  <c r="H2502" i="12"/>
  <c r="F2608" i="12"/>
  <c r="H2576" i="12"/>
  <c r="H2479" i="12"/>
  <c r="H2507" i="12"/>
  <c r="G2830" i="12"/>
  <c r="F2640" i="12"/>
  <c r="F2892" i="12"/>
  <c r="G2618" i="12"/>
  <c r="H2195" i="12"/>
  <c r="F2922" i="12"/>
  <c r="F2746" i="12"/>
  <c r="F2333" i="12"/>
  <c r="G2501" i="12"/>
  <c r="H2518" i="12"/>
  <c r="H2638" i="12"/>
  <c r="H2548" i="12"/>
  <c r="G2203" i="12"/>
  <c r="G2535" i="12"/>
  <c r="H2568" i="12"/>
  <c r="H2147" i="12"/>
  <c r="H2132" i="12"/>
  <c r="H2074" i="12"/>
  <c r="H1959" i="12"/>
  <c r="G1801" i="12"/>
  <c r="F2239" i="12"/>
  <c r="F1857" i="12"/>
  <c r="H2407" i="12"/>
  <c r="F1823" i="12"/>
  <c r="G2158" i="12"/>
  <c r="F2137" i="12"/>
  <c r="H1982" i="12"/>
  <c r="F2346" i="12"/>
  <c r="F1988" i="12"/>
  <c r="G2244" i="12"/>
  <c r="H2329" i="12"/>
  <c r="F2955" i="12"/>
  <c r="G2849" i="12"/>
  <c r="H2453" i="12"/>
  <c r="H2964" i="12"/>
  <c r="H2854" i="12"/>
  <c r="G2329" i="12"/>
  <c r="H2180" i="12"/>
  <c r="H2800" i="12"/>
  <c r="F1920" i="12"/>
  <c r="G2459" i="12"/>
  <c r="F2890" i="12"/>
  <c r="H2447" i="12"/>
  <c r="F2196" i="12"/>
  <c r="G1926" i="12"/>
  <c r="H2485" i="12"/>
  <c r="G2503" i="12"/>
  <c r="G2200" i="12"/>
  <c r="F2157" i="12"/>
  <c r="H2508" i="12"/>
  <c r="F2301" i="12"/>
  <c r="H2586" i="12"/>
  <c r="F2588" i="12"/>
  <c r="H2720" i="12"/>
  <c r="H2709" i="12"/>
  <c r="F2613" i="12"/>
  <c r="F2188" i="12"/>
  <c r="H2916" i="12"/>
  <c r="F2740" i="12"/>
  <c r="F2024" i="12"/>
  <c r="H2240" i="12"/>
  <c r="G2324" i="12"/>
  <c r="G3007" i="12"/>
  <c r="F2843" i="12"/>
  <c r="H2488" i="12"/>
  <c r="G2131" i="12"/>
  <c r="F2094" i="12"/>
  <c r="G2739" i="12"/>
  <c r="G2178" i="12"/>
  <c r="G2331" i="12"/>
  <c r="H2652" i="12"/>
  <c r="G2558" i="12"/>
  <c r="G2303" i="12"/>
  <c r="H2258" i="12"/>
  <c r="F2231" i="12"/>
  <c r="H1890" i="12"/>
  <c r="H2243" i="12"/>
  <c r="F1807" i="12"/>
  <c r="H1992" i="12"/>
  <c r="F2664" i="12"/>
  <c r="G2183" i="12"/>
  <c r="F2280" i="12"/>
  <c r="H2260" i="12"/>
  <c r="F2084" i="12"/>
  <c r="H2525" i="12"/>
  <c r="G2089" i="12"/>
  <c r="F2175" i="12"/>
  <c r="G2448" i="12"/>
  <c r="G2775" i="12"/>
  <c r="H2934" i="12"/>
  <c r="H2565" i="12"/>
  <c r="H2981" i="12"/>
  <c r="F2940" i="12"/>
  <c r="F2448" i="12"/>
  <c r="H2299" i="12"/>
  <c r="F2891" i="12"/>
  <c r="F2451" i="12"/>
  <c r="F2132" i="12"/>
  <c r="G2975" i="12"/>
  <c r="H2575" i="12"/>
  <c r="F2312" i="12"/>
  <c r="H2621" i="12"/>
  <c r="F2587" i="12"/>
  <c r="H2592" i="12"/>
  <c r="G2420" i="12"/>
  <c r="H2297" i="12"/>
  <c r="H2604" i="12"/>
  <c r="G2462" i="12"/>
  <c r="H2256" i="12"/>
  <c r="H2219" i="12"/>
  <c r="F2818" i="12"/>
  <c r="F1889" i="12"/>
  <c r="H2232" i="12"/>
  <c r="H2311" i="12"/>
  <c r="F3002" i="12"/>
  <c r="G2837" i="12"/>
  <c r="G1708" i="12"/>
  <c r="G2392" i="12"/>
  <c r="F2428" i="12"/>
  <c r="H2987" i="12"/>
  <c r="F3003" i="12"/>
  <c r="H2547" i="12"/>
  <c r="H2290" i="12"/>
  <c r="F2243" i="12"/>
  <c r="H2836" i="12"/>
  <c r="G2361" i="12"/>
  <c r="F2433" i="12"/>
  <c r="F2751" i="12"/>
  <c r="H2526" i="12"/>
  <c r="H2421" i="12"/>
  <c r="F2364" i="12"/>
  <c r="F1628" i="12"/>
  <c r="H2557" i="12"/>
  <c r="F2307" i="12"/>
  <c r="F1945" i="12"/>
  <c r="F1665" i="12"/>
  <c r="G2749" i="12"/>
  <c r="F2029" i="12"/>
  <c r="H2382" i="12"/>
  <c r="H2230" i="12"/>
  <c r="H1691" i="12"/>
  <c r="G2287" i="12"/>
  <c r="F1700" i="12"/>
  <c r="H2294" i="12"/>
  <c r="H2549" i="12"/>
  <c r="F2869" i="12"/>
  <c r="F2668" i="12"/>
  <c r="H2210" i="12"/>
  <c r="H2959" i="12"/>
  <c r="H3031" i="12"/>
  <c r="F2560" i="12"/>
  <c r="F2401" i="12"/>
  <c r="G3016" i="12"/>
  <c r="G2281" i="12"/>
  <c r="G2271" i="12"/>
  <c r="H2696" i="12"/>
  <c r="G2469" i="12"/>
  <c r="G2412" i="12"/>
  <c r="F2378" i="12"/>
  <c r="F2470" i="12"/>
  <c r="G2714" i="12"/>
  <c r="H2569" i="12"/>
  <c r="F2406" i="12"/>
  <c r="G2720" i="12"/>
  <c r="F2436" i="12"/>
  <c r="H2392" i="12"/>
  <c r="F2332" i="12"/>
  <c r="G2906" i="12"/>
  <c r="F2100" i="12"/>
  <c r="G2386" i="12"/>
  <c r="H2422" i="12"/>
  <c r="G3019" i="12"/>
  <c r="H2965" i="12"/>
  <c r="G2221" i="12"/>
  <c r="F2496" i="12"/>
  <c r="G2513" i="12"/>
  <c r="G2630" i="12"/>
  <c r="F2609" i="12"/>
  <c r="F2452" i="12"/>
  <c r="F2411" i="12"/>
  <c r="F2351" i="12"/>
  <c r="G2922" i="12"/>
  <c r="F2517" i="12"/>
  <c r="F2529" i="12"/>
  <c r="G2847" i="12"/>
  <c r="F2322" i="12"/>
  <c r="G2528" i="12"/>
  <c r="F2455" i="12"/>
  <c r="H2489" i="12"/>
  <c r="H2171" i="12"/>
  <c r="G2142" i="12"/>
  <c r="G2447" i="12"/>
  <c r="G2523" i="12"/>
  <c r="F2466" i="12"/>
  <c r="F2398" i="12"/>
  <c r="H2459" i="12"/>
  <c r="F2775" i="12"/>
  <c r="F2801" i="12"/>
  <c r="F2962" i="12"/>
  <c r="H2840" i="12"/>
  <c r="F2942" i="12"/>
  <c r="G2661" i="12"/>
  <c r="F2730" i="12"/>
  <c r="H2644" i="12"/>
  <c r="F2937" i="12"/>
  <c r="G2667" i="12"/>
  <c r="F2736" i="12"/>
  <c r="H2651" i="12"/>
  <c r="H2636" i="12"/>
  <c r="H2992" i="12"/>
  <c r="F2642" i="12"/>
  <c r="H2739" i="12"/>
  <c r="H2698" i="12"/>
  <c r="H2994" i="12"/>
  <c r="G2852" i="12"/>
  <c r="G2966" i="12"/>
  <c r="H2935" i="12"/>
  <c r="G2862" i="12"/>
  <c r="H2660" i="12"/>
  <c r="G2613" i="12"/>
  <c r="H2877" i="12"/>
  <c r="F2863" i="12"/>
  <c r="F2977" i="12"/>
  <c r="G2946" i="12"/>
  <c r="F2873" i="12"/>
  <c r="G3008" i="12"/>
  <c r="G2940" i="12"/>
  <c r="H1279" i="12"/>
  <c r="F1835" i="12"/>
  <c r="F2308" i="12"/>
  <c r="H2370" i="12"/>
  <c r="F1845" i="12"/>
  <c r="H2834" i="12"/>
  <c r="G1997" i="12"/>
  <c r="H2471" i="12"/>
  <c r="H1503" i="12"/>
  <c r="F1839" i="12"/>
  <c r="G2390" i="12"/>
  <c r="G1956" i="12"/>
  <c r="G2396" i="12"/>
  <c r="G2249" i="12"/>
  <c r="G2954" i="12"/>
  <c r="H2945" i="12"/>
  <c r="G2337" i="12"/>
  <c r="G2960" i="12"/>
  <c r="F2674" i="12"/>
  <c r="G2210" i="12"/>
  <c r="G2487" i="12"/>
  <c r="F2679" i="12"/>
  <c r="H2340" i="12"/>
  <c r="G2387" i="12"/>
  <c r="F2794" i="12"/>
  <c r="H2570" i="12"/>
  <c r="H2497" i="12"/>
  <c r="G2354" i="12"/>
  <c r="G2148" i="12"/>
  <c r="H2811" i="12"/>
  <c r="H2500" i="12"/>
  <c r="F2497" i="12"/>
  <c r="H2817" i="12"/>
  <c r="G2207" i="12"/>
  <c r="G2496" i="12"/>
  <c r="G2428" i="12"/>
  <c r="H2991" i="12"/>
  <c r="F2829" i="12"/>
  <c r="H2490" i="12"/>
  <c r="F2508" i="12"/>
  <c r="G2619" i="12"/>
  <c r="G2597" i="12"/>
  <c r="F2478" i="12"/>
  <c r="G2115" i="12"/>
  <c r="H2598" i="12"/>
  <c r="H2732" i="12"/>
  <c r="H2721" i="12"/>
  <c r="G2308" i="12"/>
  <c r="G2512" i="12"/>
  <c r="G2444" i="12"/>
  <c r="H3007" i="12"/>
  <c r="H2639" i="12"/>
  <c r="G2219" i="12"/>
  <c r="H2932" i="12"/>
  <c r="G2484" i="12"/>
  <c r="H2163" i="12"/>
  <c r="G2134" i="12"/>
  <c r="H2617" i="12"/>
  <c r="F2311" i="12"/>
  <c r="F2266" i="12"/>
  <c r="G2575" i="12"/>
  <c r="H2226" i="12"/>
  <c r="G2551" i="12"/>
  <c r="G2538" i="12"/>
  <c r="H2089" i="12"/>
  <c r="H2868" i="12"/>
  <c r="H2928" i="12"/>
  <c r="H2613" i="12"/>
  <c r="F2926" i="12"/>
  <c r="H2737" i="12"/>
  <c r="G2801" i="12"/>
  <c r="G2827" i="12"/>
  <c r="G2743" i="12"/>
  <c r="H2835" i="12"/>
  <c r="G2807" i="12"/>
  <c r="G2833" i="12"/>
  <c r="F2750" i="12"/>
  <c r="G2921" i="12"/>
  <c r="F2686" i="12"/>
  <c r="F2742" i="12"/>
  <c r="G2885" i="12"/>
  <c r="H2814" i="12"/>
  <c r="F2676" i="12"/>
  <c r="H2937" i="12"/>
  <c r="H2673" i="12"/>
  <c r="G2625" i="12"/>
  <c r="H2947" i="12"/>
  <c r="H2812" i="12"/>
  <c r="H2723" i="12"/>
  <c r="F2995" i="12"/>
  <c r="G2948" i="12"/>
  <c r="G2686" i="12"/>
  <c r="G2643" i="12"/>
  <c r="G2958" i="12"/>
  <c r="H2672" i="12"/>
  <c r="H2634" i="12"/>
  <c r="F2102" i="12"/>
  <c r="F1419" i="12"/>
  <c r="F2310" i="12"/>
  <c r="G2424" i="12"/>
  <c r="G1961" i="12"/>
  <c r="H2221" i="12"/>
  <c r="G2125" i="12"/>
  <c r="G2642" i="12"/>
  <c r="G2123" i="12"/>
  <c r="F1978" i="12"/>
  <c r="H1833" i="12"/>
  <c r="G1878" i="12"/>
  <c r="G2483" i="12"/>
  <c r="G2369" i="12"/>
  <c r="G2944" i="12"/>
  <c r="F2582" i="12"/>
  <c r="H2088" i="12"/>
  <c r="F2979" i="12"/>
  <c r="H2081" i="12"/>
  <c r="H2349" i="12"/>
  <c r="H2884" i="12"/>
  <c r="F2777" i="12"/>
  <c r="H2622" i="12"/>
  <c r="F2481" i="12"/>
  <c r="F2885" i="12"/>
  <c r="G2225" i="12"/>
  <c r="G2196" i="12"/>
  <c r="H2192" i="12"/>
  <c r="G2291" i="12"/>
  <c r="H2900" i="12"/>
  <c r="F2111" i="12"/>
  <c r="F2173" i="12"/>
  <c r="F2906" i="12"/>
  <c r="H2425" i="12"/>
  <c r="G2084" i="12"/>
  <c r="H2513" i="12"/>
  <c r="G3003" i="12"/>
  <c r="G2402" i="12"/>
  <c r="G2083" i="12"/>
  <c r="G2593" i="12"/>
  <c r="H2726" i="12"/>
  <c r="H2715" i="12"/>
  <c r="F2473" i="12"/>
  <c r="H2270" i="12"/>
  <c r="G2235" i="12"/>
  <c r="H2830" i="12"/>
  <c r="H2819" i="12"/>
  <c r="G2452" i="12"/>
  <c r="F2148" i="12"/>
  <c r="F2095" i="12"/>
  <c r="F1824" i="12"/>
  <c r="H2276" i="12"/>
  <c r="F2338" i="12"/>
  <c r="F3018" i="12"/>
  <c r="G2612" i="12"/>
  <c r="G2297" i="12"/>
  <c r="F2259" i="12"/>
  <c r="H2269" i="12"/>
  <c r="F2422" i="12"/>
  <c r="G2370" i="12"/>
  <c r="G2232" i="12"/>
  <c r="H2356" i="12"/>
  <c r="H2671" i="12"/>
  <c r="G2111" i="12"/>
  <c r="H2249" i="12"/>
  <c r="F2954" i="12"/>
  <c r="G2655" i="12"/>
  <c r="F2724" i="12"/>
  <c r="G2636" i="12"/>
  <c r="F2847" i="12"/>
  <c r="G2934" i="12"/>
  <c r="G2914" i="12"/>
  <c r="F2841" i="12"/>
  <c r="G2652" i="12"/>
  <c r="H2939" i="12"/>
  <c r="H2919" i="12"/>
  <c r="G2846" i="12"/>
  <c r="H2750" i="12"/>
  <c r="F2814" i="12"/>
  <c r="G2839" i="12"/>
  <c r="H3018" i="12"/>
  <c r="F2919" i="12"/>
  <c r="G2773" i="12"/>
  <c r="G2943" i="12"/>
  <c r="G2808" i="12"/>
  <c r="G2730" i="12"/>
  <c r="F2652" i="12"/>
  <c r="F3004" i="12"/>
  <c r="F2821" i="12"/>
  <c r="H2218" i="12"/>
  <c r="F2712" i="12"/>
  <c r="F1661" i="12"/>
  <c r="F2617" i="12"/>
  <c r="G2073" i="12"/>
  <c r="G2152" i="12"/>
  <c r="F1783" i="12"/>
  <c r="F2198" i="12"/>
  <c r="G1996" i="12"/>
  <c r="G2063" i="12"/>
  <c r="G1711" i="12"/>
  <c r="G1983" i="12"/>
  <c r="F2014" i="12"/>
  <c r="F2465" i="12"/>
  <c r="G2949" i="12"/>
  <c r="F1861" i="12"/>
  <c r="G2470" i="12"/>
  <c r="G2678" i="12"/>
  <c r="F1871" i="12"/>
  <c r="H2217" i="12"/>
  <c r="F2970" i="12"/>
  <c r="F2870" i="12"/>
  <c r="G2322" i="12"/>
  <c r="H2148" i="12"/>
  <c r="G2970" i="12"/>
  <c r="F2362" i="12"/>
  <c r="F2498" i="12"/>
  <c r="F2415" i="12"/>
  <c r="G2399" i="12"/>
  <c r="F2986" i="12"/>
  <c r="F2329" i="12"/>
  <c r="F2298" i="12"/>
  <c r="G2991" i="12"/>
  <c r="F2575" i="12"/>
  <c r="H2264" i="12"/>
  <c r="F2220" i="12"/>
  <c r="H2593" i="12"/>
  <c r="H2467" i="12"/>
  <c r="G2264" i="12"/>
  <c r="G2227" i="12"/>
  <c r="H2824" i="12"/>
  <c r="H2813" i="12"/>
  <c r="H2446" i="12"/>
  <c r="H2404" i="12"/>
  <c r="H2344" i="12"/>
  <c r="F2917" i="12"/>
  <c r="G2907" i="12"/>
  <c r="F2591" i="12"/>
  <c r="H2284" i="12"/>
  <c r="G2243" i="12"/>
  <c r="H1961" i="12"/>
  <c r="G2404" i="12"/>
  <c r="H2438" i="12"/>
  <c r="H3014" i="12"/>
  <c r="H2262" i="12"/>
  <c r="H2416" i="12"/>
  <c r="G2364" i="12"/>
  <c r="H2420" i="12"/>
  <c r="F2518" i="12"/>
  <c r="H2460" i="12"/>
  <c r="F2392" i="12"/>
  <c r="G2454" i="12"/>
  <c r="G1883" i="12"/>
  <c r="F2303" i="12"/>
  <c r="H2363" i="12"/>
  <c r="H2949" i="12"/>
  <c r="G2795" i="12"/>
  <c r="G2821" i="12"/>
  <c r="G2737" i="12"/>
  <c r="H2756" i="12"/>
  <c r="F2624" i="12"/>
  <c r="G2556" i="12"/>
  <c r="G2926" i="12"/>
  <c r="G2744" i="12"/>
  <c r="F2633" i="12"/>
  <c r="F2583" i="12"/>
  <c r="H2931" i="12"/>
  <c r="G2932" i="12"/>
  <c r="F2945" i="12"/>
  <c r="F2925" i="12"/>
  <c r="F2620" i="12"/>
  <c r="H3006" i="12"/>
  <c r="F1991" i="12"/>
  <c r="F2391" i="12"/>
  <c r="H1809" i="12"/>
  <c r="G2425" i="12"/>
  <c r="H1665" i="12"/>
  <c r="H2274" i="12"/>
  <c r="F1939" i="12"/>
  <c r="F2313" i="12"/>
  <c r="G2247" i="12"/>
  <c r="G2166" i="12"/>
  <c r="G2050" i="12"/>
  <c r="H2068" i="12"/>
  <c r="H2160" i="12"/>
  <c r="H2116" i="12"/>
  <c r="G2912" i="12"/>
  <c r="H1707" i="12"/>
  <c r="G2132" i="12"/>
  <c r="G2869" i="12"/>
  <c r="F2300" i="12"/>
  <c r="H2343" i="12"/>
  <c r="H2997" i="12"/>
  <c r="H2734" i="12"/>
  <c r="F2474" i="12"/>
  <c r="F2279" i="12"/>
  <c r="H2487" i="12"/>
  <c r="G2480" i="12"/>
  <c r="F2567" i="12"/>
  <c r="F2361" i="12"/>
  <c r="H2491" i="12"/>
  <c r="H2708" i="12"/>
  <c r="F2469" i="12"/>
  <c r="G2406" i="12"/>
  <c r="G2987" i="12"/>
  <c r="F2193" i="12"/>
  <c r="F2381" i="12"/>
  <c r="G2332" i="12"/>
  <c r="F2715" i="12"/>
  <c r="G2441" i="12"/>
  <c r="H2398" i="12"/>
  <c r="G2338" i="12"/>
  <c r="H2911" i="12"/>
  <c r="F2902" i="12"/>
  <c r="F2302" i="12"/>
  <c r="F2507" i="12"/>
  <c r="F2439" i="12"/>
  <c r="G3002" i="12"/>
  <c r="H3026" i="12"/>
  <c r="H2247" i="12"/>
  <c r="F2399" i="12"/>
  <c r="G2351" i="12"/>
  <c r="G2429" i="12"/>
  <c r="F2512" i="12"/>
  <c r="F2524" i="12"/>
  <c r="G2646" i="12"/>
  <c r="G2415" i="12"/>
  <c r="H2512" i="12"/>
  <c r="G2455" i="12"/>
  <c r="F1858" i="12"/>
  <c r="F1410" i="12"/>
  <c r="H2251" i="12"/>
  <c r="H2295" i="12"/>
  <c r="G1940" i="12"/>
  <c r="H2377" i="12"/>
  <c r="H1681" i="12"/>
  <c r="G2413" i="12"/>
  <c r="G1654" i="12"/>
  <c r="G2286" i="12"/>
  <c r="F1663" i="12"/>
  <c r="F2174" i="12"/>
  <c r="G2238" i="12"/>
  <c r="H2369" i="12"/>
  <c r="F2990" i="12"/>
  <c r="F2612" i="12"/>
  <c r="G2265" i="12"/>
  <c r="H2974" i="12"/>
  <c r="G2359" i="12"/>
  <c r="H2448" i="12"/>
  <c r="F2985" i="12"/>
  <c r="F2832" i="12"/>
  <c r="G2623" i="12"/>
  <c r="H2566" i="12"/>
  <c r="G2536" i="12"/>
  <c r="H2581" i="12"/>
  <c r="G2708" i="12"/>
  <c r="G2495" i="12"/>
  <c r="G2164" i="12"/>
  <c r="F2806" i="12"/>
  <c r="G2602" i="12"/>
  <c r="G2497" i="12"/>
  <c r="F2593" i="12"/>
  <c r="H2373" i="12"/>
  <c r="H2480" i="12"/>
  <c r="H2428" i="12"/>
  <c r="G2812" i="12"/>
  <c r="F2216" i="12"/>
  <c r="H2501" i="12"/>
  <c r="H2433" i="12"/>
  <c r="F2997" i="12"/>
  <c r="F2989" i="12"/>
  <c r="F2447" i="12"/>
  <c r="F2141" i="12"/>
  <c r="G2524" i="12"/>
  <c r="H3003" i="12"/>
  <c r="G2679" i="12"/>
  <c r="H2403" i="12"/>
  <c r="F2502" i="12"/>
  <c r="H2444" i="12"/>
  <c r="G2563" i="12"/>
  <c r="F2140" i="12"/>
  <c r="H2120" i="12"/>
  <c r="G2745" i="12"/>
  <c r="F2554" i="12"/>
  <c r="F2211" i="12"/>
  <c r="H2190" i="12"/>
  <c r="F2605" i="12"/>
  <c r="G2313" i="12"/>
  <c r="F2165" i="12"/>
  <c r="G1858" i="12"/>
  <c r="G2467" i="12"/>
  <c r="G1837" i="12"/>
  <c r="H2498" i="12"/>
  <c r="F1850" i="12"/>
  <c r="F2477" i="12"/>
  <c r="G1856" i="12"/>
  <c r="F2653" i="12"/>
  <c r="H2606" i="12"/>
  <c r="H2164" i="12"/>
  <c r="G2691" i="12"/>
  <c r="H2366" i="12"/>
  <c r="H2375" i="12"/>
  <c r="G2697" i="12"/>
  <c r="F2275" i="12"/>
  <c r="G2116" i="12"/>
  <c r="F2690" i="12"/>
  <c r="G2918" i="12"/>
  <c r="H2283" i="12"/>
  <c r="F2189" i="12"/>
  <c r="F2372" i="12"/>
  <c r="G2233" i="12"/>
  <c r="H2805" i="12"/>
  <c r="F2078" i="12"/>
  <c r="H2291" i="12"/>
  <c r="H2895" i="12"/>
  <c r="F2217" i="12"/>
  <c r="H2582" i="12"/>
  <c r="H2714" i="12"/>
  <c r="F2506" i="12"/>
  <c r="F2172" i="12"/>
  <c r="F2514" i="12"/>
  <c r="G2901" i="12"/>
  <c r="H2441" i="12"/>
  <c r="H2115" i="12"/>
  <c r="F2519" i="12"/>
  <c r="H3024" i="12"/>
  <c r="G2673" i="12"/>
  <c r="H2585" i="12"/>
  <c r="G2278" i="12"/>
  <c r="H2235" i="12"/>
  <c r="H2619" i="12"/>
  <c r="G2777" i="12"/>
  <c r="G2543" i="12"/>
  <c r="G2195" i="12"/>
  <c r="F2530" i="12"/>
  <c r="F2553" i="12"/>
  <c r="F2297" i="12"/>
  <c r="F2250" i="12"/>
  <c r="G2842" i="12"/>
  <c r="H2216" i="12"/>
  <c r="H2337" i="12"/>
  <c r="G2458" i="12"/>
  <c r="G2435" i="12"/>
  <c r="G2315" i="12"/>
  <c r="F1906" i="12"/>
  <c r="G1967" i="12"/>
  <c r="G2126" i="12"/>
  <c r="G1966" i="12"/>
  <c r="H2228" i="12"/>
  <c r="H2002" i="12"/>
  <c r="F2733" i="12"/>
  <c r="F2008" i="12"/>
  <c r="G2738" i="12"/>
  <c r="H2360" i="12"/>
  <c r="H2285" i="12"/>
  <c r="G2880" i="12"/>
  <c r="F2511" i="12"/>
  <c r="F2394" i="12"/>
  <c r="H2794" i="12"/>
  <c r="F2254" i="12"/>
  <c r="H2141" i="12"/>
  <c r="F2788" i="12"/>
  <c r="G3015" i="12"/>
  <c r="G2442" i="12"/>
  <c r="H2305" i="12"/>
  <c r="F2348" i="12"/>
  <c r="G2141" i="12"/>
  <c r="G2895" i="12"/>
  <c r="G2296" i="12"/>
  <c r="G2577" i="12"/>
  <c r="F2981" i="12"/>
  <c r="F2480" i="12"/>
  <c r="H2211" i="12"/>
  <c r="F2812" i="12"/>
  <c r="H2130" i="12"/>
  <c r="F2305" i="12"/>
  <c r="F2619" i="12"/>
  <c r="H2986" i="12"/>
  <c r="G2580" i="12"/>
  <c r="F2271" i="12"/>
  <c r="H2227" i="12"/>
  <c r="G2608" i="12"/>
  <c r="G2771" i="12"/>
  <c r="H2208" i="12"/>
  <c r="F2393" i="12"/>
  <c r="F2345" i="12"/>
  <c r="F2727" i="12"/>
  <c r="G2870" i="12"/>
  <c r="H2169" i="12"/>
  <c r="F2324" i="12"/>
  <c r="F2646" i="12"/>
  <c r="G2521" i="12"/>
  <c r="G2416" i="12"/>
  <c r="F2358" i="12"/>
  <c r="H2927" i="12"/>
  <c r="F2380" i="12"/>
  <c r="H2443" i="12"/>
  <c r="F2757" i="12"/>
  <c r="H2527" i="12"/>
  <c r="H2539" i="12"/>
  <c r="H1884" i="12"/>
  <c r="H2426" i="12"/>
  <c r="H2454" i="12"/>
  <c r="H2126" i="12"/>
  <c r="G2323" i="12"/>
  <c r="G2279" i="12"/>
  <c r="G2751" i="12"/>
  <c r="H2886" i="12"/>
  <c r="H2797" i="12"/>
  <c r="H2719" i="12"/>
  <c r="F2703" i="12"/>
  <c r="F2662" i="12"/>
  <c r="H2978" i="12"/>
  <c r="H2910" i="12"/>
  <c r="F2709" i="12"/>
  <c r="H2686" i="12"/>
  <c r="F2984" i="12"/>
  <c r="F2916" i="12"/>
  <c r="G3031" i="12"/>
  <c r="F3015" i="12"/>
  <c r="G2767" i="12"/>
  <c r="H2837" i="12"/>
  <c r="G2983" i="12"/>
  <c r="F2862" i="12"/>
  <c r="F3024" i="12"/>
  <c r="G2924" i="12"/>
  <c r="F1725" i="12"/>
  <c r="H1975" i="12"/>
  <c r="G2316" i="12"/>
  <c r="H2023" i="12"/>
  <c r="H2052" i="12"/>
  <c r="H2451" i="12"/>
  <c r="H2067" i="12"/>
  <c r="H2339" i="12"/>
  <c r="G1575" i="12"/>
  <c r="G2818" i="12"/>
  <c r="G1817" i="12"/>
  <c r="H2823" i="12"/>
  <c r="F2586" i="12"/>
  <c r="F2388" i="12"/>
  <c r="G2764" i="12"/>
  <c r="G2127" i="12"/>
  <c r="H2481" i="12"/>
  <c r="H2885" i="12"/>
  <c r="F2527" i="12"/>
  <c r="H2272" i="12"/>
  <c r="H2879" i="12"/>
  <c r="G2945" i="12"/>
  <c r="G2570" i="12"/>
  <c r="H2406" i="12"/>
  <c r="H2184" i="12"/>
  <c r="H2278" i="12"/>
  <c r="F2535" i="12"/>
  <c r="F2453" i="12"/>
  <c r="F2204" i="12"/>
  <c r="H2960" i="12"/>
  <c r="G2581" i="12"/>
  <c r="H2324" i="12"/>
  <c r="F2901" i="12"/>
  <c r="G2335" i="12"/>
  <c r="H2411" i="12"/>
  <c r="G2726" i="12"/>
  <c r="H2976" i="12"/>
  <c r="H2200" i="12"/>
  <c r="F2387" i="12"/>
  <c r="H2338" i="12"/>
  <c r="F2721" i="12"/>
  <c r="F2865" i="12"/>
  <c r="H2385" i="12"/>
  <c r="H2496" i="12"/>
  <c r="G2439" i="12"/>
  <c r="F2825" i="12"/>
  <c r="H2955" i="12"/>
  <c r="G2355" i="12"/>
  <c r="H2427" i="12"/>
  <c r="F2745" i="12"/>
  <c r="H2315" i="12"/>
  <c r="H2517" i="12"/>
  <c r="H2449" i="12"/>
  <c r="F3013" i="12"/>
  <c r="G2522" i="12"/>
  <c r="G2534" i="12"/>
  <c r="H2852" i="12"/>
  <c r="G2650" i="12"/>
  <c r="F2234" i="12"/>
  <c r="G2685" i="12"/>
  <c r="F2528" i="12"/>
  <c r="F2540" i="12"/>
  <c r="G2601" i="12"/>
  <c r="F2443" i="12"/>
  <c r="F2382" i="12"/>
  <c r="G3030" i="12"/>
  <c r="G2993" i="12"/>
  <c r="F2888" i="12"/>
  <c r="F2817" i="12"/>
  <c r="G2853" i="12"/>
  <c r="F2796" i="12"/>
  <c r="G2657" i="12"/>
  <c r="F2638" i="12"/>
  <c r="H2858" i="12"/>
  <c r="F2802" i="12"/>
  <c r="G2663" i="12"/>
  <c r="H2645" i="12"/>
  <c r="H2733" i="12"/>
  <c r="H2692" i="12"/>
  <c r="H2861" i="12"/>
  <c r="F3009" i="12"/>
  <c r="F2650" i="12"/>
  <c r="G2947" i="12"/>
  <c r="H2654" i="12"/>
  <c r="G2555" i="12"/>
  <c r="G2872" i="12"/>
  <c r="H2461" i="12"/>
  <c r="H2173" i="12"/>
  <c r="G2986" i="12"/>
  <c r="G2518" i="12"/>
  <c r="H2224" i="12"/>
  <c r="H2665" i="12"/>
  <c r="H2242" i="12"/>
  <c r="G2533" i="12"/>
  <c r="F2672" i="12"/>
  <c r="F3028" i="12"/>
  <c r="G2757" i="12"/>
  <c r="H2803" i="12"/>
  <c r="G2763" i="12"/>
  <c r="H2809" i="12"/>
  <c r="G2863" i="12"/>
  <c r="G2718" i="12"/>
  <c r="F2809" i="12"/>
  <c r="F2853" i="12"/>
  <c r="F2754" i="12"/>
  <c r="H2762" i="12"/>
  <c r="H2826" i="12"/>
  <c r="F2958" i="12"/>
  <c r="G2819" i="12"/>
  <c r="F2861" i="12"/>
  <c r="H2942" i="12"/>
  <c r="G2982" i="12"/>
  <c r="H2930" i="12"/>
  <c r="H2862" i="12"/>
  <c r="F2974" i="12"/>
  <c r="F2839" i="12"/>
  <c r="G2700" i="12"/>
  <c r="H2712" i="12"/>
  <c r="G2746" i="12"/>
  <c r="F2930" i="12"/>
  <c r="G3001" i="12"/>
  <c r="F2550" i="12"/>
  <c r="G2693" i="12"/>
  <c r="H2561" i="12"/>
  <c r="G2806" i="12"/>
  <c r="G2747" i="12"/>
  <c r="G2614" i="12"/>
  <c r="G2566" i="12"/>
  <c r="H2597" i="12"/>
  <c r="G2705" i="12"/>
  <c r="H2603" i="12"/>
  <c r="F2837" i="12"/>
  <c r="G2759" i="12"/>
  <c r="H2635" i="12"/>
  <c r="G2604" i="12"/>
  <c r="H2648" i="12"/>
  <c r="F2718" i="12"/>
  <c r="G2627" i="12"/>
  <c r="H2839" i="12"/>
  <c r="F2551" i="12"/>
  <c r="G2683" i="12"/>
  <c r="H2880" i="12"/>
  <c r="G2974" i="12"/>
  <c r="F2889" i="12"/>
  <c r="G2886" i="12"/>
  <c r="H2804" i="12"/>
  <c r="H2977" i="12"/>
  <c r="G2805" i="12"/>
  <c r="F2893" i="12"/>
  <c r="H3025" i="12"/>
  <c r="G2817" i="12"/>
  <c r="H2903" i="12"/>
  <c r="G3011" i="12"/>
  <c r="F2683" i="12"/>
  <c r="G2894" i="12"/>
  <c r="G2662" i="12"/>
  <c r="F8" i="12"/>
  <c r="F2905" i="12"/>
  <c r="F2675" i="12"/>
  <c r="H2905" i="12"/>
  <c r="G3022" i="12"/>
  <c r="G2760" i="12"/>
  <c r="F2735" i="12"/>
  <c r="G3028" i="12"/>
  <c r="G2772" i="12"/>
  <c r="F2991" i="12"/>
  <c r="H2693" i="12"/>
  <c r="H2870" i="12"/>
  <c r="H2701" i="12"/>
  <c r="F2866" i="12"/>
  <c r="F2666" i="12"/>
  <c r="F2791" i="12"/>
  <c r="F2752" i="12"/>
  <c r="H2524" i="12"/>
  <c r="H2795" i="12"/>
  <c r="H2951" i="12"/>
  <c r="F2899" i="12"/>
  <c r="H2869" i="12"/>
  <c r="F2876" i="12"/>
  <c r="F2884" i="12"/>
  <c r="F2910" i="12"/>
  <c r="H1934" i="12"/>
  <c r="F2950" i="12"/>
  <c r="G2474" i="12"/>
  <c r="F2842" i="12"/>
  <c r="F2386" i="12"/>
  <c r="F1724" i="12"/>
  <c r="H2357" i="12"/>
  <c r="F2186" i="12"/>
  <c r="F2763" i="12"/>
  <c r="H2699" i="12"/>
  <c r="H2993" i="12"/>
  <c r="G2893" i="12"/>
  <c r="F3031" i="12"/>
  <c r="H2898" i="12"/>
  <c r="G2769" i="12"/>
  <c r="H2815" i="12"/>
  <c r="F2898" i="12"/>
  <c r="H2995" i="12"/>
  <c r="G2850" i="12"/>
  <c r="H2857" i="12"/>
  <c r="H2929" i="12"/>
  <c r="H2676" i="12"/>
  <c r="F2854" i="12"/>
  <c r="G2742" i="12"/>
  <c r="G2677" i="12"/>
  <c r="H2950" i="12"/>
  <c r="G2985" i="12"/>
  <c r="F2948" i="12"/>
  <c r="G2740" i="12"/>
  <c r="H2924" i="12"/>
  <c r="G2798" i="12"/>
  <c r="H2700" i="12"/>
  <c r="F2886" i="12"/>
  <c r="H2984" i="12"/>
  <c r="H2798" i="12"/>
  <c r="H2752" i="12"/>
  <c r="H2790" i="12"/>
  <c r="G2707" i="12"/>
  <c r="F2944" i="12"/>
  <c r="G2876" i="12"/>
  <c r="H2724" i="12"/>
  <c r="F2708" i="12"/>
  <c r="H2764" i="12"/>
  <c r="G2803" i="12"/>
  <c r="G2719" i="12"/>
  <c r="H2970" i="12"/>
  <c r="F2887" i="12"/>
  <c r="H2736" i="12"/>
  <c r="F2720" i="12"/>
  <c r="G2789" i="12"/>
  <c r="G2815" i="12"/>
  <c r="G2731" i="12"/>
  <c r="F3026" i="12"/>
  <c r="F2700" i="12"/>
  <c r="G2984" i="12"/>
  <c r="H2888" i="12"/>
  <c r="G2687" i="12"/>
  <c r="G2882" i="12"/>
  <c r="F2983" i="12"/>
  <c r="F2822" i="12"/>
  <c r="F2897" i="12"/>
  <c r="H2816" i="12"/>
  <c r="H3015" i="12"/>
  <c r="F2834" i="12"/>
  <c r="H2923" i="12"/>
  <c r="H2828" i="12"/>
  <c r="H2746" i="12"/>
  <c r="F2963" i="12"/>
  <c r="H2999" i="12"/>
  <c r="G2715" i="12"/>
  <c r="F2895" i="12"/>
  <c r="F3011" i="12"/>
  <c r="G2727" i="12"/>
  <c r="G2920" i="12"/>
  <c r="F2598" i="12"/>
  <c r="H2915" i="12"/>
  <c r="G2603" i="12"/>
  <c r="H2681" i="12"/>
  <c r="F2875" i="12"/>
  <c r="F2626" i="12"/>
  <c r="G2588" i="12"/>
  <c r="F2654" i="12"/>
  <c r="G2631" i="12"/>
  <c r="F2731" i="12"/>
  <c r="G2881" i="12"/>
  <c r="H2925" i="12"/>
  <c r="F2248" i="12"/>
  <c r="H2820" i="12"/>
  <c r="G2844" i="12"/>
  <c r="G3006" i="12"/>
  <c r="F2636" i="12"/>
  <c r="F2737" i="12"/>
  <c r="G2964" i="12"/>
  <c r="H2405" i="12"/>
  <c r="F2138" i="12"/>
  <c r="G2502" i="12"/>
  <c r="H2457" i="12"/>
  <c r="G2290" i="12"/>
  <c r="F2145" i="12"/>
  <c r="F2150" i="12"/>
  <c r="G2544" i="12"/>
  <c r="F2697" i="12"/>
  <c r="G2973" i="12"/>
  <c r="H3002" i="12"/>
  <c r="G2755" i="12"/>
  <c r="F3008" i="12"/>
  <c r="G2761" i="12"/>
  <c r="F2880" i="12"/>
  <c r="F2947" i="12"/>
  <c r="F2748" i="12"/>
  <c r="H2745" i="12"/>
  <c r="H2827" i="12"/>
  <c r="F2943" i="12"/>
  <c r="H2908" i="12"/>
  <c r="F2774" i="12"/>
  <c r="H2774" i="12"/>
  <c r="F2964" i="12"/>
  <c r="G2887" i="12"/>
  <c r="H2687" i="12"/>
  <c r="G2599" i="12"/>
  <c r="G1633" i="12"/>
  <c r="H2381" i="12"/>
  <c r="G2824" i="12"/>
  <c r="F2156" i="12"/>
  <c r="G2171" i="12"/>
  <c r="G2348" i="12"/>
  <c r="H2465" i="12"/>
  <c r="H2432" i="12"/>
  <c r="H3005" i="12"/>
  <c r="H2845" i="12"/>
  <c r="F2907" i="12"/>
  <c r="G2651" i="12"/>
  <c r="G2928" i="12"/>
  <c r="H2657" i="12"/>
  <c r="H2776" i="12"/>
  <c r="F3023" i="12"/>
  <c r="F2614" i="12"/>
  <c r="H2890" i="12"/>
  <c r="H2914" i="12"/>
  <c r="H3017" i="12"/>
  <c r="F2994" i="12"/>
  <c r="H2867" i="12"/>
  <c r="F2710" i="12"/>
  <c r="G2925" i="12"/>
  <c r="G2868" i="12"/>
  <c r="G2723" i="12"/>
  <c r="F2798" i="12"/>
  <c r="H2780" i="12"/>
  <c r="F3006" i="12"/>
  <c r="G2681" i="12"/>
  <c r="G2780" i="12"/>
  <c r="H2784" i="12"/>
  <c r="H2909" i="12"/>
  <c r="G2942" i="12"/>
  <c r="H2614" i="12"/>
  <c r="H2894" i="12"/>
  <c r="H2150" i="12"/>
  <c r="H3016" i="12"/>
  <c r="F2631" i="12"/>
  <c r="F2121" i="12"/>
  <c r="H2310" i="12"/>
  <c r="F2495" i="12"/>
  <c r="G2150" i="12"/>
  <c r="H2528" i="12"/>
  <c r="F2758" i="12"/>
  <c r="F2931" i="12"/>
  <c r="F2655" i="12"/>
  <c r="H2749" i="12"/>
  <c r="F2661" i="12"/>
  <c r="H2755" i="12"/>
  <c r="F3014" i="12"/>
  <c r="F2938" i="12"/>
  <c r="G2724" i="12"/>
  <c r="H2806" i="12"/>
  <c r="G3021" i="12"/>
  <c r="H2751" i="12"/>
  <c r="H2662" i="12"/>
  <c r="F2953" i="12"/>
  <c r="G2854" i="12"/>
  <c r="G2979" i="12"/>
  <c r="H2953" i="12"/>
  <c r="H2838" i="12"/>
  <c r="G2888" i="12"/>
  <c r="H2873" i="12"/>
  <c r="H2740" i="12"/>
  <c r="H2778" i="12"/>
  <c r="H2694" i="12"/>
  <c r="G2873" i="12"/>
  <c r="F2881" i="12"/>
  <c r="F2877" i="12"/>
  <c r="G2793" i="12"/>
  <c r="F2723" i="12"/>
  <c r="H2669" i="12"/>
  <c r="H2979" i="12"/>
  <c r="G2864" i="12"/>
  <c r="G2980" i="12"/>
  <c r="F2747" i="12"/>
  <c r="H2971" i="12"/>
  <c r="F2729" i="12"/>
  <c r="G3017" i="12"/>
  <c r="H2912" i="12"/>
  <c r="F2537" i="12"/>
  <c r="H2973" i="12"/>
  <c r="H2379" i="12"/>
  <c r="F3020" i="12"/>
  <c r="F2427" i="12"/>
  <c r="F2623" i="12"/>
  <c r="G2273" i="12"/>
  <c r="G2242" i="12"/>
  <c r="H2901" i="12"/>
  <c r="F2644" i="12"/>
  <c r="F2807" i="12"/>
  <c r="F2846" i="12"/>
  <c r="H2825" i="12"/>
  <c r="G2851" i="12"/>
  <c r="H2685" i="12"/>
  <c r="H2847" i="12"/>
  <c r="H2821" i="12"/>
  <c r="G2843" i="12"/>
  <c r="F2682" i="12"/>
  <c r="F2896" i="12"/>
  <c r="H2760" i="12"/>
  <c r="F2852" i="12"/>
  <c r="G2820" i="12"/>
  <c r="F2694" i="12"/>
  <c r="F2933" i="12"/>
  <c r="H2735" i="12"/>
  <c r="F3017" i="12"/>
  <c r="F2959" i="12"/>
  <c r="H2875" i="12"/>
  <c r="H2871" i="12"/>
  <c r="H2792" i="12"/>
  <c r="G2884" i="12"/>
  <c r="F2973" i="12"/>
  <c r="G2962" i="12"/>
  <c r="G2999" i="12"/>
  <c r="F2844" i="12"/>
  <c r="F2767" i="12"/>
  <c r="F2689" i="12"/>
  <c r="H2545" i="12"/>
  <c r="G2855" i="12"/>
  <c r="F2719" i="12"/>
  <c r="F2779" i="12"/>
  <c r="H2713" i="12"/>
  <c r="G2785" i="12"/>
  <c r="G1851" i="12"/>
  <c r="H2178" i="12"/>
  <c r="F2486" i="12"/>
  <c r="F2645" i="12"/>
  <c r="H2533" i="12"/>
  <c r="F2276" i="12"/>
  <c r="G2376" i="12"/>
  <c r="G2363" i="12"/>
  <c r="G2647" i="12"/>
  <c r="F2743" i="12"/>
  <c r="F2934" i="12"/>
  <c r="G2931" i="12"/>
  <c r="G2939" i="12"/>
  <c r="H2936" i="12"/>
  <c r="H2831" i="12"/>
  <c r="H2967" i="12"/>
  <c r="G2909" i="12"/>
  <c r="G3025" i="12"/>
  <c r="G2779" i="12"/>
  <c r="G3029" i="12"/>
  <c r="H2855" i="12"/>
  <c r="G2937" i="12"/>
  <c r="G2929" i="12"/>
  <c r="G2791" i="12"/>
  <c r="H2571" i="12"/>
  <c r="F2833" i="12"/>
  <c r="G2694" i="12"/>
  <c r="G2804" i="12"/>
  <c r="G2998" i="12"/>
  <c r="F2957" i="12"/>
  <c r="H2883" i="12"/>
  <c r="H2969" i="12"/>
  <c r="G2716" i="12"/>
  <c r="F2663" i="12"/>
  <c r="F2949" i="12"/>
  <c r="H2966" i="12"/>
  <c r="G2861" i="12"/>
  <c r="F2787" i="12"/>
  <c r="G2758" i="12"/>
  <c r="H2940" i="12"/>
  <c r="G2816" i="12"/>
  <c r="H3023" i="12"/>
  <c r="G2977" i="12"/>
  <c r="F2872" i="12"/>
  <c r="F2799" i="12"/>
  <c r="F2789" i="12"/>
  <c r="G2951" i="12"/>
  <c r="G2828" i="12"/>
  <c r="H2917" i="12"/>
  <c r="F2988" i="12"/>
  <c r="H2882" i="12"/>
  <c r="F2811" i="12"/>
  <c r="G2972" i="12"/>
  <c r="H3020" i="12"/>
  <c r="G2902" i="12"/>
  <c r="G2840" i="12"/>
  <c r="G2709" i="12"/>
  <c r="H8" i="12"/>
  <c r="G2900" i="12"/>
  <c r="F2911" i="12"/>
  <c r="G2068" i="12"/>
  <c r="H2452" i="12"/>
  <c r="F2882" i="12"/>
  <c r="H2757" i="12"/>
  <c r="G2689" i="12"/>
  <c r="H2675" i="12"/>
  <c r="G2778" i="12"/>
  <c r="H3027" i="12"/>
  <c r="F2435" i="12"/>
  <c r="F2407" i="12"/>
  <c r="F2434" i="12"/>
  <c r="F2227" i="12"/>
  <c r="F2218" i="12"/>
  <c r="F2533" i="12"/>
  <c r="H1988" i="12"/>
  <c r="F2460" i="12"/>
  <c r="F2929" i="12"/>
  <c r="G2835" i="12"/>
  <c r="H2777" i="12"/>
  <c r="G2615" i="12"/>
  <c r="H2783" i="12"/>
  <c r="G2629" i="12"/>
  <c r="F2641" i="12"/>
  <c r="H2782" i="12"/>
  <c r="F2867" i="12"/>
  <c r="F2698" i="12"/>
  <c r="H2957" i="12"/>
  <c r="H2703" i="12"/>
  <c r="F2941" i="12"/>
  <c r="G2671" i="12"/>
  <c r="H3022" i="12"/>
  <c r="F2883" i="12"/>
  <c r="H2763" i="12"/>
  <c r="G2919" i="12"/>
  <c r="G2792" i="12"/>
  <c r="G2695" i="12"/>
  <c r="G2698" i="12"/>
  <c r="F2657" i="12"/>
  <c r="F2969" i="12"/>
  <c r="H3009" i="12"/>
  <c r="G2838" i="12"/>
  <c r="F2761" i="12"/>
  <c r="H2646" i="12"/>
  <c r="F2610" i="12"/>
  <c r="H2946" i="12"/>
  <c r="H2878" i="12"/>
  <c r="H2896" i="12"/>
  <c r="F2996" i="12"/>
  <c r="H2904" i="12"/>
  <c r="G2660" i="12"/>
  <c r="F2634" i="12"/>
  <c r="G2957" i="12"/>
  <c r="G2889" i="12"/>
  <c r="F2918" i="12"/>
  <c r="G2582" i="12"/>
  <c r="G2915" i="12"/>
  <c r="F2691" i="12"/>
  <c r="G2649" i="12"/>
  <c r="F2968" i="12"/>
  <c r="F2900" i="12"/>
  <c r="H2643" i="12"/>
  <c r="F2704" i="12"/>
  <c r="H3004" i="12"/>
  <c r="H2630" i="12"/>
  <c r="G2794" i="12"/>
  <c r="F3025" i="12"/>
  <c r="H2891" i="12"/>
  <c r="G2988" i="12"/>
  <c r="G2898" i="12"/>
  <c r="G2823" i="12"/>
  <c r="G2904" i="12"/>
  <c r="H2889" i="12"/>
  <c r="G2721" i="12"/>
  <c r="G2969" i="12"/>
  <c r="G2910" i="12"/>
  <c r="G2318" i="12"/>
  <c r="F2803" i="12"/>
  <c r="G2875" i="12"/>
  <c r="F2967" i="12"/>
  <c r="F2975" i="12"/>
  <c r="F2566" i="12"/>
  <c r="G2871" i="12"/>
  <c r="G2654" i="12"/>
  <c r="H2962" i="12"/>
  <c r="H1870" i="12"/>
  <c r="G2409" i="12"/>
  <c r="F2819" i="12"/>
  <c r="H2540" i="12"/>
  <c r="G2350" i="12"/>
  <c r="F2079" i="12"/>
  <c r="H2770" i="12"/>
  <c r="G2545" i="12"/>
  <c r="H2609" i="12"/>
  <c r="F2921" i="12"/>
  <c r="G2897" i="12"/>
  <c r="H2725" i="12"/>
  <c r="H2902" i="12"/>
  <c r="H2731" i="12"/>
  <c r="H2789" i="12"/>
  <c r="F3030" i="12"/>
  <c r="G2952" i="12"/>
  <c r="H2843" i="12"/>
  <c r="G2867" i="12"/>
  <c r="H2848" i="12"/>
  <c r="G2635" i="12"/>
  <c r="H2768" i="12"/>
  <c r="H2716" i="12"/>
  <c r="G3027" i="12"/>
  <c r="H2922" i="12"/>
  <c r="G3005" i="12"/>
  <c r="G2883" i="12"/>
  <c r="F2923" i="12"/>
  <c r="G2832" i="12"/>
  <c r="F2755" i="12"/>
  <c r="F2677" i="12"/>
  <c r="H2943" i="12"/>
  <c r="G2961" i="12"/>
  <c r="F2856" i="12"/>
  <c r="G2800" i="12"/>
  <c r="G2741" i="12"/>
  <c r="F2603" i="12"/>
  <c r="F2980" i="12"/>
  <c r="F2577" i="12"/>
  <c r="G2699" i="12"/>
  <c r="H2587" i="12"/>
  <c r="F2831" i="12"/>
  <c r="G2753" i="12"/>
  <c r="H2625" i="12"/>
  <c r="H2588" i="12"/>
  <c r="H2640" i="12"/>
  <c r="G2711" i="12"/>
  <c r="F2615" i="12"/>
  <c r="H2842" i="12"/>
  <c r="F2784" i="12"/>
  <c r="H2618" i="12"/>
  <c r="H3021" i="12"/>
  <c r="F2935" i="12"/>
  <c r="H2772" i="12"/>
  <c r="F2578" i="12"/>
  <c r="F2868" i="12"/>
  <c r="G2583" i="12"/>
  <c r="G2799" i="12"/>
  <c r="H2810" i="12"/>
  <c r="F2828" i="12"/>
  <c r="H2822" i="12"/>
  <c r="F2810" i="12"/>
  <c r="F3027" i="12"/>
  <c r="G2668" i="12"/>
  <c r="F2681" i="12"/>
  <c r="G2179" i="12"/>
  <c r="F2687" i="12"/>
  <c r="G2916" i="12"/>
  <c r="F2904" i="12"/>
  <c r="H2729" i="12"/>
  <c r="F2928" i="12"/>
  <c r="F2859" i="12"/>
  <c r="G2766" i="12"/>
  <c r="G2996" i="12"/>
  <c r="H2707" i="12"/>
  <c r="G2899" i="12"/>
  <c r="G2923" i="12"/>
  <c r="H2205" i="12"/>
  <c r="G2393" i="12"/>
  <c r="G2950" i="12"/>
  <c r="H2659" i="12"/>
  <c r="F2449" i="12"/>
  <c r="H2296" i="12"/>
  <c r="H2152" i="12"/>
  <c r="H2157" i="12"/>
  <c r="H2771" i="12"/>
  <c r="F2604" i="12"/>
  <c r="H2998" i="12"/>
  <c r="F2823" i="12"/>
  <c r="G3009" i="12"/>
  <c r="H2829" i="12"/>
  <c r="F2908" i="12"/>
  <c r="H2691" i="12"/>
  <c r="G2670" i="12"/>
  <c r="H2918" i="12"/>
  <c r="H2952" i="12"/>
  <c r="G3020" i="12"/>
  <c r="F2920" i="12"/>
  <c r="G3023" i="12"/>
  <c r="H2832" i="12"/>
  <c r="F2878" i="12"/>
  <c r="G2825" i="12"/>
  <c r="G2675" i="12"/>
  <c r="H2968" i="12"/>
  <c r="G2938" i="12"/>
  <c r="F2956" i="12"/>
  <c r="H2850" i="12"/>
  <c r="G2774" i="12"/>
  <c r="G2639" i="12"/>
  <c r="G2598" i="12"/>
  <c r="G2941" i="12"/>
  <c r="H2938" i="12"/>
  <c r="F2855" i="12"/>
  <c r="H2718" i="12"/>
  <c r="F2702" i="12"/>
  <c r="H2758" i="12"/>
  <c r="H2796" i="12"/>
  <c r="G2713" i="12"/>
  <c r="G2965" i="12"/>
  <c r="H2881" i="12"/>
  <c r="H2730" i="12"/>
  <c r="F2714" i="12"/>
  <c r="G2783" i="12"/>
  <c r="G2809" i="12"/>
  <c r="G2725" i="12"/>
  <c r="F2976" i="12"/>
  <c r="G2892" i="12"/>
  <c r="H2742" i="12"/>
  <c r="F2726" i="12"/>
  <c r="H2670" i="12"/>
  <c r="H2688" i="12"/>
  <c r="F2936" i="12"/>
  <c r="G2735" i="12"/>
  <c r="F2816" i="12"/>
  <c r="H2887" i="12"/>
  <c r="G2811" i="12"/>
  <c r="G3010" i="12"/>
  <c r="G2656" i="12"/>
  <c r="H2899" i="12"/>
  <c r="F2915" i="12"/>
  <c r="G2995" i="12"/>
  <c r="H2265" i="12"/>
  <c r="G2471" i="12"/>
  <c r="G2989" i="12"/>
  <c r="G2750" i="12"/>
  <c r="F2780" i="12"/>
  <c r="F2706" i="12"/>
  <c r="G2587" i="12"/>
  <c r="H2985" i="12"/>
  <c r="F2785" i="12"/>
  <c r="G2624" i="12"/>
  <c r="G2666" i="12"/>
  <c r="H1689" i="12"/>
  <c r="H2702" i="12"/>
  <c r="F2538" i="12"/>
  <c r="H2093" i="12"/>
  <c r="H2350" i="12"/>
  <c r="F2179" i="12"/>
  <c r="H2354" i="12"/>
  <c r="F2471" i="12"/>
  <c r="F2656" i="12"/>
  <c r="G2905" i="12"/>
  <c r="F2903" i="12"/>
  <c r="F2738" i="12"/>
  <c r="G2908" i="12"/>
  <c r="H2744" i="12"/>
  <c r="H2808" i="12"/>
  <c r="F2692" i="12"/>
  <c r="H2767" i="12"/>
  <c r="H3000" i="12"/>
  <c r="H2863" i="12"/>
  <c r="G2963" i="12"/>
  <c r="F3000" i="12"/>
  <c r="G2955" i="12"/>
  <c r="F2741" i="12"/>
  <c r="F2894" i="12"/>
  <c r="H2212" i="12"/>
  <c r="F2597" i="12"/>
  <c r="H2187" i="12"/>
  <c r="F2574" i="12"/>
  <c r="F2142" i="12"/>
  <c r="F2539" i="12"/>
  <c r="G2283" i="12"/>
  <c r="G2382" i="12"/>
  <c r="H3010" i="12"/>
  <c r="F2830" i="12"/>
  <c r="G2790" i="12"/>
  <c r="F3007" i="12"/>
  <c r="G2796" i="12"/>
  <c r="G3012" i="12"/>
  <c r="F2705" i="12"/>
  <c r="F2649" i="12"/>
  <c r="H2664" i="12"/>
  <c r="H2704" i="12"/>
  <c r="F2768" i="12"/>
  <c r="F2849" i="12"/>
  <c r="F2688" i="12"/>
  <c r="G2540" i="12"/>
  <c r="H2624" i="12"/>
  <c r="H2682" i="12"/>
  <c r="G2734" i="12"/>
  <c r="G2866" i="12"/>
  <c r="F2786" i="12"/>
  <c r="G2788" i="12"/>
  <c r="G2729" i="12"/>
  <c r="H2560" i="12"/>
  <c r="G2953" i="12"/>
  <c r="G2933" i="12"/>
  <c r="H2849" i="12"/>
  <c r="G2878" i="12"/>
  <c r="H2753" i="12"/>
  <c r="G2896" i="12"/>
  <c r="G2891" i="12"/>
  <c r="G2476" i="12"/>
  <c r="H2055" i="12"/>
  <c r="F2912" i="12"/>
  <c r="F2532" i="12"/>
  <c r="F2370" i="12"/>
  <c r="G2317" i="12"/>
  <c r="H2580" i="12"/>
  <c r="H2556" i="12"/>
  <c r="G2784" i="12"/>
  <c r="H3001" i="12"/>
  <c r="G2967" i="12"/>
  <c r="H2761" i="12"/>
  <c r="H2972" i="12"/>
  <c r="H2856" i="12"/>
  <c r="H2892" i="12"/>
  <c r="G2913" i="12"/>
  <c r="G2645" i="12"/>
  <c r="H2717" i="12"/>
  <c r="H2846" i="12"/>
  <c r="G2680" i="12"/>
  <c r="G2682" i="12"/>
  <c r="G2917" i="12"/>
  <c r="F3005" i="12"/>
  <c r="F2665" i="12"/>
  <c r="G3000" i="12"/>
  <c r="H2650" i="12"/>
  <c r="H2963" i="12"/>
  <c r="G3024" i="12"/>
  <c r="H2961" i="12"/>
  <c r="F2804" i="12"/>
  <c r="G2787" i="12"/>
  <c r="H2684" i="12"/>
  <c r="H2649" i="12"/>
  <c r="F2561" i="12"/>
  <c r="F3012" i="12"/>
  <c r="F2850" i="12"/>
  <c r="F2713" i="12"/>
  <c r="G2994" i="12"/>
  <c r="G2865" i="12"/>
  <c r="F2773" i="12"/>
  <c r="F2695" i="12"/>
  <c r="G2620" i="12"/>
  <c r="H2860" i="12"/>
  <c r="F2725" i="12"/>
  <c r="F2660" i="12"/>
  <c r="G2640" i="12"/>
  <c r="F2952" i="12"/>
  <c r="H2920" i="12"/>
  <c r="G2859" i="12"/>
  <c r="H2248" i="12"/>
  <c r="H2577" i="12"/>
  <c r="G2328" i="12"/>
  <c r="G2460" i="12"/>
  <c r="G2427" i="12"/>
  <c r="G2239" i="12"/>
  <c r="H2677" i="12"/>
  <c r="H2876" i="12"/>
  <c r="F2670" i="12"/>
  <c r="F2625" i="12"/>
  <c r="F2756" i="12"/>
  <c r="F2635" i="12"/>
  <c r="H2851" i="12"/>
  <c r="F2978" i="12"/>
  <c r="F3010" i="12"/>
  <c r="G2841" i="12"/>
  <c r="H2988" i="12"/>
  <c r="F2932" i="12"/>
  <c r="H3011" i="12"/>
  <c r="H2779" i="12"/>
  <c r="F2987" i="12"/>
  <c r="H2668" i="12"/>
  <c r="G2762" i="12"/>
  <c r="F2716" i="12"/>
  <c r="G2748" i="12"/>
  <c r="F2671" i="12"/>
  <c r="H2678" i="12"/>
  <c r="H2641" i="12"/>
  <c r="H2893" i="12"/>
  <c r="F2879" i="12"/>
  <c r="H2853" i="12"/>
  <c r="H2747" i="12"/>
  <c r="F2707" i="12"/>
  <c r="G2752" i="12"/>
  <c r="G2935" i="12"/>
  <c r="G2810" i="12"/>
  <c r="G3018" i="12"/>
  <c r="F2972" i="12"/>
  <c r="H2866" i="12"/>
  <c r="F2793" i="12"/>
  <c r="F2783" i="12"/>
  <c r="F2946" i="12"/>
  <c r="G2822" i="12"/>
  <c r="F3029" i="12"/>
  <c r="H2982" i="12"/>
  <c r="G2877" i="12"/>
  <c r="F2805" i="12"/>
  <c r="F2795" i="12"/>
  <c r="H2956" i="12"/>
  <c r="F2835" i="12"/>
  <c r="G2463" i="12"/>
  <c r="F2909" i="12"/>
  <c r="F2858" i="12"/>
  <c r="H2926" i="12"/>
  <c r="F2711" i="12"/>
  <c r="H2656" i="12"/>
  <c r="H2710" i="12"/>
  <c r="H2666" i="12"/>
  <c r="G2857" i="12"/>
  <c r="G2845" i="12"/>
  <c r="G2848" i="12"/>
  <c r="H2844" i="12"/>
  <c r="H2555" i="12"/>
  <c r="F2423" i="12"/>
  <c r="H2511" i="12"/>
  <c r="G2559" i="12"/>
  <c r="F2546" i="12"/>
  <c r="F2545" i="12"/>
  <c r="F2432" i="12"/>
  <c r="F3021" i="12"/>
  <c r="F2769" i="12"/>
  <c r="H2705" i="12"/>
  <c r="G2712" i="12"/>
  <c r="H2602" i="12"/>
  <c r="G2659" i="12"/>
  <c r="G2665" i="12"/>
  <c r="H2872" i="12"/>
  <c r="H2766" i="12"/>
  <c r="H2859" i="12"/>
  <c r="G2768" i="12"/>
  <c r="H2741" i="12"/>
  <c r="F3001" i="12"/>
  <c r="G2641" i="12"/>
  <c r="A7" i="12" a="1"/>
  <c r="A7" i="12" l="1"/>
  <c r="G3038" i="12"/>
  <c r="G3035" i="12"/>
  <c r="G30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<sst xmlns="http://schemas.openxmlformats.org/spreadsheetml/2006/main" count="20" uniqueCount="13">
  <si>
    <t>Data</t>
  </si>
  <si>
    <t>From JSON to Table</t>
  </si>
  <si>
    <t>Instituicao</t>
  </si>
  <si>
    <t>Valor</t>
  </si>
  <si>
    <t>Rótulos de Linha</t>
  </si>
  <si>
    <t>Rótulos de Coluna</t>
  </si>
  <si>
    <t>Soma de Valor</t>
  </si>
  <si>
    <t>META</t>
  </si>
  <si>
    <t>COVID</t>
  </si>
  <si>
    <t>FINAL IPCA</t>
  </si>
  <si>
    <t>Example: Annual CPI forecasts in 2020, the effect of the COVID shock</t>
  </si>
  <si>
    <t>JSON file path</t>
  </si>
  <si>
    <t>C:\Users\Eduardo\Google Drive\Meus Projetos\xlFOCUS\Example 1.json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</si>
</sst>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[$-409]mmm\-yy;@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color rgb="FF3F3F76"/>
      <name val="Arial"/>
      <family val="2"/>
    </font>
    <font>
      <b/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5" fillId="2" borderId="1" applyNumberFormat="0" applyAlignment="0" applyProtection="0"/>
  </cellStyleXfs>
  <cellXfs count="15">
    <xf numFmtId="0" fontId="0" fillId="0" borderId="0" xfId="0"/>
    <xf numFmtId="0" fontId="2" fillId="0" borderId="0" xfId="2"/>
    <xf numFmtId="0" fontId="4" fillId="3" borderId="0" xfId="2" applyFont="1" applyFill="1"/>
    <xf numFmtId="0" fontId="2" fillId="3" borderId="0" xfId="2" applyFill="1"/>
    <xf numFmtId="0" fontId="1" fillId="0" borderId="0" xfId="1"/>
    <xf numFmtId="2" fontId="2" fillId="4" borderId="0" xfId="2" applyNumberFormat="1" applyFill="1"/>
    <xf numFmtId="0" fontId="2" fillId="4" borderId="0" xfId="2" applyFill="1"/>
    <xf numFmtId="0" fontId="0" fillId="0" borderId="0" xfId="0" pivotButton="1"/>
    <xf numFmtId="0" fontId="2" fillId="5" borderId="0" xfId="2" applyFill="1"/>
    <xf numFmtId="14" fontId="2" fillId="5" borderId="0" xfId="2" applyNumberFormat="1" applyFill="1"/>
    <xf numFmtId="164" fontId="2" fillId="5" borderId="0" xfId="2" applyNumberFormat="1" applyFill="1"/>
    <xf numFmtId="165" fontId="0" fillId="0" borderId="0" xfId="0" applyNumberFormat="1" applyAlignment="1">
      <alignment horizontal="left"/>
    </xf>
    <xf numFmtId="14" fontId="2" fillId="4" borderId="0" xfId="2" applyNumberFormat="1" applyFill="1"/>
    <xf numFmtId="164" fontId="2" fillId="4" borderId="0" xfId="2" applyNumberFormat="1" applyFill="1"/>
    <xf numFmtId="0" fontId="6" fillId="3" borderId="0" xfId="2" applyFont="1" applyFill="1"/>
  </cellXfs>
  <cellStyles count="5">
    <cellStyle name="Entrada 2" xfId="4" xr:uid="{3571552F-01C5-46A9-B6A2-427FD46A3187}"/>
    <cellStyle name="Hiperlink" xfId="1" builtinId="8"/>
    <cellStyle name="Hiperlink 2" xfId="3" xr:uid="{4FE85F15-950E-4C1A-9045-74450B8FACC8}"/>
    <cellStyle name="Normal" xfId="0" builtinId="0"/>
    <cellStyle name="Normal 2" xfId="2" xr:uid="{44EBA60F-36FD-40B9-B1DB-FB01AEDB0EE1}"/>
  </cellStyles>
  <dxfs count="0"/>
  <tableStyles count="1" defaultTableStyle="TableStyleMedium2" defaultPivotStyle="PivotStyleLight16">
    <tableStyle name="Invisible" pivot="0" table="0" count="0" xr9:uid="{6304E80C-FF5A-4CFF-AE49-ED201168DF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[xlFOCUS - Ex Institution Dispersion.xlsm]CPI Dispersion!Tabela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Annual Brazil CPI projections for 2020 by Institution</a:t>
            </a:r>
            <a:br>
              <a:rPr lang="pt-BR"/>
            </a:br>
            <a:r>
              <a:rPr lang="pt-BR" sz="1400" b="0"/>
              <a:t>(each blue-shaded line is a different institution)</a:t>
            </a:r>
            <a:endParaRPr lang="pt-BR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ln w="34925" cap="rnd">
            <a:solidFill>
              <a:schemeClr val="bg1"/>
            </a:solidFill>
            <a:prstDash val="sysDash"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ln w="34925" cap="rnd">
            <a:solidFill>
              <a:schemeClr val="accent2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5860766215330902E-2"/>
          <c:y val="0.13577937649880095"/>
          <c:w val="0.88629883941677468"/>
          <c:h val="0.75343341075171355"/>
        </c:manualLayout>
      </c:layout>
      <c:lineChart>
        <c:grouping val="standard"/>
        <c:varyColors val="0"/>
        <c:ser>
          <c:idx val="0"/>
          <c:order val="0"/>
          <c:tx>
            <c:strRef>
              <c:f>'CPI Dispersion'!$V$7:$V$8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>
                  <a:tint val="3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Dispersion'!$V$9:$V$259</c:f>
              <c:numCache>
                <c:formatCode>General</c:formatCode>
                <c:ptCount val="251"/>
                <c:pt idx="1">
                  <c:v>3.7006999999999999</c:v>
                </c:pt>
                <c:pt idx="2">
                  <c:v>3.7008999999999999</c:v>
                </c:pt>
                <c:pt idx="3">
                  <c:v>3.7008999999999999</c:v>
                </c:pt>
                <c:pt idx="4">
                  <c:v>3.7008999999999999</c:v>
                </c:pt>
                <c:pt idx="5">
                  <c:v>3.7008999999999999</c:v>
                </c:pt>
                <c:pt idx="9">
                  <c:v>3.7008999999999999</c:v>
                </c:pt>
                <c:pt idx="10">
                  <c:v>3.7008999999999999</c:v>
                </c:pt>
                <c:pt idx="11">
                  <c:v>3.7008999999999999</c:v>
                </c:pt>
                <c:pt idx="14">
                  <c:v>3.7008999999999999</c:v>
                </c:pt>
                <c:pt idx="16">
                  <c:v>3.7010000000000001</c:v>
                </c:pt>
                <c:pt idx="18">
                  <c:v>3.6080000000000001</c:v>
                </c:pt>
                <c:pt idx="21">
                  <c:v>3.6080000000000001</c:v>
                </c:pt>
                <c:pt idx="29">
                  <c:v>3.5874000000000001</c:v>
                </c:pt>
                <c:pt idx="30">
                  <c:v>3.7010999999999998</c:v>
                </c:pt>
                <c:pt idx="31">
                  <c:v>3.6701000000000001</c:v>
                </c:pt>
                <c:pt idx="34">
                  <c:v>3.6598000000000002</c:v>
                </c:pt>
                <c:pt idx="37">
                  <c:v>3.6080999999999999</c:v>
                </c:pt>
                <c:pt idx="38">
                  <c:v>3.5043000000000002</c:v>
                </c:pt>
                <c:pt idx="39">
                  <c:v>3.5044</c:v>
                </c:pt>
                <c:pt idx="41">
                  <c:v>3.5044</c:v>
                </c:pt>
                <c:pt idx="42">
                  <c:v>3.5044</c:v>
                </c:pt>
                <c:pt idx="53">
                  <c:v>3.2056</c:v>
                </c:pt>
                <c:pt idx="71">
                  <c:v>3.2056</c:v>
                </c:pt>
                <c:pt idx="76">
                  <c:v>3</c:v>
                </c:pt>
                <c:pt idx="77">
                  <c:v>2.8048000000000002</c:v>
                </c:pt>
                <c:pt idx="80">
                  <c:v>2.7633999999999999</c:v>
                </c:pt>
                <c:pt idx="81">
                  <c:v>2.7019000000000002</c:v>
                </c:pt>
                <c:pt idx="85">
                  <c:v>2.5577999999999999</c:v>
                </c:pt>
                <c:pt idx="89">
                  <c:v>2.3531</c:v>
                </c:pt>
                <c:pt idx="92">
                  <c:v>2.2507999999999999</c:v>
                </c:pt>
                <c:pt idx="94">
                  <c:v>2.2917999999999998</c:v>
                </c:pt>
                <c:pt idx="96">
                  <c:v>2.1585000000000001</c:v>
                </c:pt>
                <c:pt idx="100">
                  <c:v>1.9033</c:v>
                </c:pt>
                <c:pt idx="101">
                  <c:v>1.6997</c:v>
                </c:pt>
                <c:pt idx="102">
                  <c:v>1.5670999999999999</c:v>
                </c:pt>
                <c:pt idx="107">
                  <c:v>1.5168999999999999</c:v>
                </c:pt>
                <c:pt idx="119">
                  <c:v>1.5471999999999999</c:v>
                </c:pt>
                <c:pt idx="120">
                  <c:v>1.5569999999999999</c:v>
                </c:pt>
                <c:pt idx="128">
                  <c:v>1.5470999999999999</c:v>
                </c:pt>
                <c:pt idx="130">
                  <c:v>1.5476000000000001</c:v>
                </c:pt>
                <c:pt idx="131">
                  <c:v>1.5477000000000001</c:v>
                </c:pt>
                <c:pt idx="147">
                  <c:v>1.6085</c:v>
                </c:pt>
                <c:pt idx="151">
                  <c:v>1.5469999999999999</c:v>
                </c:pt>
                <c:pt idx="156">
                  <c:v>1.5469999999999999</c:v>
                </c:pt>
                <c:pt idx="157">
                  <c:v>1.5774999999999999</c:v>
                </c:pt>
                <c:pt idx="159">
                  <c:v>1.5774999999999999</c:v>
                </c:pt>
                <c:pt idx="161">
                  <c:v>1.4766999999999999</c:v>
                </c:pt>
                <c:pt idx="166">
                  <c:v>1.4766999999999999</c:v>
                </c:pt>
                <c:pt idx="178">
                  <c:v>1.5578000000000001</c:v>
                </c:pt>
                <c:pt idx="186">
                  <c:v>1.5679000000000001</c:v>
                </c:pt>
                <c:pt idx="193">
                  <c:v>1.7910999999999999</c:v>
                </c:pt>
                <c:pt idx="194">
                  <c:v>1.7910999999999999</c:v>
                </c:pt>
                <c:pt idx="195">
                  <c:v>1.8317000000000001</c:v>
                </c:pt>
                <c:pt idx="198">
                  <c:v>1.8419000000000001</c:v>
                </c:pt>
                <c:pt idx="200">
                  <c:v>1.8419000000000001</c:v>
                </c:pt>
                <c:pt idx="209">
                  <c:v>2.2587999999999999</c:v>
                </c:pt>
                <c:pt idx="220">
                  <c:v>2.9426999999999999</c:v>
                </c:pt>
                <c:pt idx="221">
                  <c:v>2.9426999999999999</c:v>
                </c:pt>
                <c:pt idx="223">
                  <c:v>2.9632000000000001</c:v>
                </c:pt>
                <c:pt idx="233">
                  <c:v>3.2915000000000001</c:v>
                </c:pt>
                <c:pt idx="235">
                  <c:v>3.2915000000000001</c:v>
                </c:pt>
                <c:pt idx="237">
                  <c:v>3.3944000000000001</c:v>
                </c:pt>
                <c:pt idx="243">
                  <c:v>3.4355000000000002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2-4110-BD50-F4D5132B5AF7}"/>
            </c:ext>
          </c:extLst>
        </c:ser>
        <c:ser>
          <c:idx val="1"/>
          <c:order val="1"/>
          <c:tx>
            <c:strRef>
              <c:f>'CPI Dispersion'!$W$7:$W$8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1">
                  <a:tint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Dispersion'!$W$9:$W$259</c:f>
              <c:numCache>
                <c:formatCode>General</c:formatCode>
                <c:ptCount val="251"/>
                <c:pt idx="69">
                  <c:v>3.3189000000000002</c:v>
                </c:pt>
                <c:pt idx="92">
                  <c:v>1.7024999999999999</c:v>
                </c:pt>
                <c:pt idx="96">
                  <c:v>0.95279999999999998</c:v>
                </c:pt>
                <c:pt idx="111">
                  <c:v>2.0973000000000002</c:v>
                </c:pt>
                <c:pt idx="114">
                  <c:v>2.0973000000000002</c:v>
                </c:pt>
                <c:pt idx="121">
                  <c:v>2.0042</c:v>
                </c:pt>
                <c:pt idx="134">
                  <c:v>2.0247000000000002</c:v>
                </c:pt>
                <c:pt idx="136">
                  <c:v>2.1674000000000002</c:v>
                </c:pt>
                <c:pt idx="151">
                  <c:v>2.4119000000000002</c:v>
                </c:pt>
                <c:pt idx="172">
                  <c:v>2.2692000000000001</c:v>
                </c:pt>
                <c:pt idx="173">
                  <c:v>2.1059999999999999</c:v>
                </c:pt>
                <c:pt idx="177">
                  <c:v>2.1467999999999998</c:v>
                </c:pt>
                <c:pt idx="182">
                  <c:v>2.157</c:v>
                </c:pt>
                <c:pt idx="185">
                  <c:v>2.0857000000000001</c:v>
                </c:pt>
                <c:pt idx="187">
                  <c:v>1.9335</c:v>
                </c:pt>
                <c:pt idx="193">
                  <c:v>1.9231</c:v>
                </c:pt>
                <c:pt idx="197">
                  <c:v>1.8827</c:v>
                </c:pt>
                <c:pt idx="203">
                  <c:v>2.0655000000000001</c:v>
                </c:pt>
                <c:pt idx="215">
                  <c:v>2.6461999999999999</c:v>
                </c:pt>
                <c:pt idx="224">
                  <c:v>2.8096000000000001</c:v>
                </c:pt>
                <c:pt idx="234">
                  <c:v>3.1579000000000002</c:v>
                </c:pt>
                <c:pt idx="241">
                  <c:v>3.3018000000000001</c:v>
                </c:pt>
                <c:pt idx="244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C2-4110-BD50-F4D5132B5AF7}"/>
            </c:ext>
          </c:extLst>
        </c:ser>
        <c:ser>
          <c:idx val="2"/>
          <c:order val="2"/>
          <c:tx>
            <c:strRef>
              <c:f>'CPI Dispersion'!$X$7:$X$8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1">
                  <a:tint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Dispersion'!$X$9:$X$259</c:f>
              <c:numCache>
                <c:formatCode>General</c:formatCode>
                <c:ptCount val="251"/>
                <c:pt idx="4">
                  <c:v>3.5045000000000002</c:v>
                </c:pt>
                <c:pt idx="10">
                  <c:v>3.4630000000000001</c:v>
                </c:pt>
                <c:pt idx="14">
                  <c:v>3.4426000000000001</c:v>
                </c:pt>
                <c:pt idx="18">
                  <c:v>3.4013</c:v>
                </c:pt>
                <c:pt idx="22">
                  <c:v>3.3702999999999999</c:v>
                </c:pt>
                <c:pt idx="27">
                  <c:v>3.3601999999999999</c:v>
                </c:pt>
                <c:pt idx="32">
                  <c:v>3.2366000000000001</c:v>
                </c:pt>
                <c:pt idx="42">
                  <c:v>3.2570000000000001</c:v>
                </c:pt>
                <c:pt idx="48">
                  <c:v>3.2158000000000002</c:v>
                </c:pt>
                <c:pt idx="53">
                  <c:v>3.1951999999999998</c:v>
                </c:pt>
                <c:pt idx="57">
                  <c:v>3.2776999999999998</c:v>
                </c:pt>
                <c:pt idx="61">
                  <c:v>3.3290999999999999</c:v>
                </c:pt>
                <c:pt idx="67">
                  <c:v>3.2158000000000002</c:v>
                </c:pt>
                <c:pt idx="71">
                  <c:v>3.1230000000000002</c:v>
                </c:pt>
                <c:pt idx="82">
                  <c:v>2.3224999999999998</c:v>
                </c:pt>
                <c:pt idx="90">
                  <c:v>1.8541000000000001</c:v>
                </c:pt>
                <c:pt idx="95">
                  <c:v>1.722</c:v>
                </c:pt>
                <c:pt idx="99">
                  <c:v>1.6405000000000001</c:v>
                </c:pt>
                <c:pt idx="103">
                  <c:v>1.5382</c:v>
                </c:pt>
                <c:pt idx="112">
                  <c:v>1.4573</c:v>
                </c:pt>
                <c:pt idx="117">
                  <c:v>1.3759999999999999</c:v>
                </c:pt>
                <c:pt idx="128">
                  <c:v>1.5069999999999999</c:v>
                </c:pt>
                <c:pt idx="131">
                  <c:v>1.5275000000000001</c:v>
                </c:pt>
                <c:pt idx="137">
                  <c:v>1.6693</c:v>
                </c:pt>
                <c:pt idx="141">
                  <c:v>1.649</c:v>
                </c:pt>
                <c:pt idx="146">
                  <c:v>1.7201</c:v>
                </c:pt>
                <c:pt idx="152">
                  <c:v>1.7501</c:v>
                </c:pt>
                <c:pt idx="156">
                  <c:v>1.73</c:v>
                </c:pt>
                <c:pt idx="161">
                  <c:v>1.5882000000000001</c:v>
                </c:pt>
                <c:pt idx="166">
                  <c:v>1.5274000000000001</c:v>
                </c:pt>
                <c:pt idx="171">
                  <c:v>1.4970000000000001</c:v>
                </c:pt>
                <c:pt idx="176">
                  <c:v>1.6289</c:v>
                </c:pt>
                <c:pt idx="181">
                  <c:v>1.8318000000000001</c:v>
                </c:pt>
                <c:pt idx="186">
                  <c:v>1.6998</c:v>
                </c:pt>
                <c:pt idx="191">
                  <c:v>1.7505999999999999</c:v>
                </c:pt>
                <c:pt idx="195">
                  <c:v>2.0962000000000001</c:v>
                </c:pt>
                <c:pt idx="200">
                  <c:v>2.4323000000000001</c:v>
                </c:pt>
                <c:pt idx="205">
                  <c:v>2.4016999999999999</c:v>
                </c:pt>
                <c:pt idx="210">
                  <c:v>2.5240999999999998</c:v>
                </c:pt>
                <c:pt idx="215">
                  <c:v>2.8405999999999998</c:v>
                </c:pt>
                <c:pt idx="224">
                  <c:v>3.2094</c:v>
                </c:pt>
                <c:pt idx="229">
                  <c:v>3.2299000000000002</c:v>
                </c:pt>
                <c:pt idx="234">
                  <c:v>3.4148999999999998</c:v>
                </c:pt>
                <c:pt idx="238">
                  <c:v>3.5589</c:v>
                </c:pt>
                <c:pt idx="243">
                  <c:v>3.5794999999999999</c:v>
                </c:pt>
                <c:pt idx="248">
                  <c:v>3.9502000000000002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C2-4110-BD50-F4D5132B5AF7}"/>
            </c:ext>
          </c:extLst>
        </c:ser>
        <c:ser>
          <c:idx val="3"/>
          <c:order val="3"/>
          <c:tx>
            <c:strRef>
              <c:f>'CPI Dispersion'!$Y$7:$Y$8</c:f>
              <c:strCache>
                <c:ptCount val="1"/>
                <c:pt idx="0">
                  <c:v>16</c:v>
                </c:pt>
              </c:strCache>
            </c:strRef>
          </c:tx>
          <c:spPr>
            <a:ln w="19050" cap="rnd">
              <a:solidFill>
                <a:schemeClr val="accent1">
                  <a:tint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Dispersion'!$Y$9:$Y$259</c:f>
              <c:numCache>
                <c:formatCode>General</c:formatCode>
                <c:ptCount val="251"/>
                <c:pt idx="3">
                  <c:v>3.39</c:v>
                </c:pt>
                <c:pt idx="9">
                  <c:v>3.39</c:v>
                </c:pt>
                <c:pt idx="14">
                  <c:v>3.39</c:v>
                </c:pt>
                <c:pt idx="18">
                  <c:v>3.39</c:v>
                </c:pt>
                <c:pt idx="22">
                  <c:v>3.39</c:v>
                </c:pt>
                <c:pt idx="27">
                  <c:v>3.39</c:v>
                </c:pt>
                <c:pt idx="32">
                  <c:v>3.39</c:v>
                </c:pt>
                <c:pt idx="37">
                  <c:v>3.39</c:v>
                </c:pt>
                <c:pt idx="42">
                  <c:v>3.39</c:v>
                </c:pt>
                <c:pt idx="47">
                  <c:v>3.2149000000000001</c:v>
                </c:pt>
                <c:pt idx="52">
                  <c:v>3.2149000000000001</c:v>
                </c:pt>
                <c:pt idx="57">
                  <c:v>3.2149000000000001</c:v>
                </c:pt>
                <c:pt idx="61">
                  <c:v>3.2149000000000001</c:v>
                </c:pt>
                <c:pt idx="71">
                  <c:v>3.3393999999999999</c:v>
                </c:pt>
                <c:pt idx="81">
                  <c:v>3.3393999999999999</c:v>
                </c:pt>
                <c:pt idx="87">
                  <c:v>2.8149000000000002</c:v>
                </c:pt>
                <c:pt idx="94">
                  <c:v>2.5893000000000002</c:v>
                </c:pt>
                <c:pt idx="98">
                  <c:v>2.5893000000000002</c:v>
                </c:pt>
                <c:pt idx="108">
                  <c:v>1.3873</c:v>
                </c:pt>
                <c:pt idx="112">
                  <c:v>1.3873</c:v>
                </c:pt>
                <c:pt idx="117">
                  <c:v>1.3873</c:v>
                </c:pt>
                <c:pt idx="122">
                  <c:v>1.3873</c:v>
                </c:pt>
                <c:pt idx="127">
                  <c:v>2.1082999999999998</c:v>
                </c:pt>
                <c:pt idx="131">
                  <c:v>1.5578000000000001</c:v>
                </c:pt>
                <c:pt idx="136">
                  <c:v>1.3858999999999999</c:v>
                </c:pt>
                <c:pt idx="141">
                  <c:v>1.3858999999999999</c:v>
                </c:pt>
                <c:pt idx="146">
                  <c:v>1.3858999999999999</c:v>
                </c:pt>
                <c:pt idx="171">
                  <c:v>1.3853</c:v>
                </c:pt>
                <c:pt idx="176">
                  <c:v>1.4259999999999999</c:v>
                </c:pt>
                <c:pt idx="181">
                  <c:v>1.4259999999999999</c:v>
                </c:pt>
                <c:pt idx="186">
                  <c:v>1.4259999999999999</c:v>
                </c:pt>
                <c:pt idx="191">
                  <c:v>1.4259999999999999</c:v>
                </c:pt>
                <c:pt idx="195">
                  <c:v>1.6288</c:v>
                </c:pt>
                <c:pt idx="200">
                  <c:v>1.6288</c:v>
                </c:pt>
                <c:pt idx="210">
                  <c:v>1.6288</c:v>
                </c:pt>
                <c:pt idx="215">
                  <c:v>1.6288</c:v>
                </c:pt>
                <c:pt idx="219">
                  <c:v>2.8201000000000001</c:v>
                </c:pt>
                <c:pt idx="224">
                  <c:v>2.8201000000000001</c:v>
                </c:pt>
                <c:pt idx="229">
                  <c:v>2.8201000000000001</c:v>
                </c:pt>
                <c:pt idx="233">
                  <c:v>3.4146999999999998</c:v>
                </c:pt>
                <c:pt idx="237">
                  <c:v>3.4146999999999998</c:v>
                </c:pt>
                <c:pt idx="243">
                  <c:v>3.4146999999999998</c:v>
                </c:pt>
                <c:pt idx="248">
                  <c:v>3.4146999999999998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C2-4110-BD50-F4D5132B5AF7}"/>
            </c:ext>
          </c:extLst>
        </c:ser>
        <c:ser>
          <c:idx val="4"/>
          <c:order val="4"/>
          <c:tx>
            <c:strRef>
              <c:f>'CPI Dispersion'!$Z$7:$Z$8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1">
                  <a:tint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Dispersion'!$Z$9:$Z$259</c:f>
              <c:numCache>
                <c:formatCode>General</c:formatCode>
                <c:ptCount val="251"/>
                <c:pt idx="4">
                  <c:v>4.032</c:v>
                </c:pt>
                <c:pt idx="37">
                  <c:v>3.5666000000000002</c:v>
                </c:pt>
                <c:pt idx="42">
                  <c:v>2.9998</c:v>
                </c:pt>
                <c:pt idx="62">
                  <c:v>3.2980999999999998</c:v>
                </c:pt>
                <c:pt idx="71">
                  <c:v>3.2984</c:v>
                </c:pt>
                <c:pt idx="80">
                  <c:v>3</c:v>
                </c:pt>
                <c:pt idx="94">
                  <c:v>2.4409999999999998</c:v>
                </c:pt>
                <c:pt idx="102">
                  <c:v>2.2151000000000001</c:v>
                </c:pt>
                <c:pt idx="131">
                  <c:v>1.9028</c:v>
                </c:pt>
                <c:pt idx="154">
                  <c:v>1.9739</c:v>
                </c:pt>
                <c:pt idx="161">
                  <c:v>1.9028</c:v>
                </c:pt>
                <c:pt idx="166">
                  <c:v>1.76</c:v>
                </c:pt>
                <c:pt idx="171">
                  <c:v>1.7904</c:v>
                </c:pt>
                <c:pt idx="183">
                  <c:v>1.8010999999999999</c:v>
                </c:pt>
                <c:pt idx="195">
                  <c:v>1.9944</c:v>
                </c:pt>
                <c:pt idx="217">
                  <c:v>2.5440999999999998</c:v>
                </c:pt>
                <c:pt idx="224">
                  <c:v>3.1577000000000002</c:v>
                </c:pt>
                <c:pt idx="243">
                  <c:v>3.4457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C2-4110-BD50-F4D5132B5AF7}"/>
            </c:ext>
          </c:extLst>
        </c:ser>
        <c:ser>
          <c:idx val="5"/>
          <c:order val="5"/>
          <c:tx>
            <c:strRef>
              <c:f>'CPI Dispersion'!$AA$7:$AA$8</c:f>
              <c:strCache>
                <c:ptCount val="1"/>
                <c:pt idx="0">
                  <c:v>24</c:v>
                </c:pt>
              </c:strCache>
            </c:strRef>
          </c:tx>
          <c:spPr>
            <a:ln w="19050" cap="rnd">
              <a:solidFill>
                <a:schemeClr val="accent1">
                  <a:tint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Dispersion'!$AA$9:$AA$259</c:f>
              <c:numCache>
                <c:formatCode>General</c:formatCode>
                <c:ptCount val="251"/>
                <c:pt idx="3">
                  <c:v>3.8456000000000001</c:v>
                </c:pt>
                <c:pt idx="4">
                  <c:v>3.7627000000000002</c:v>
                </c:pt>
                <c:pt idx="21">
                  <c:v>3.7627000000000002</c:v>
                </c:pt>
                <c:pt idx="37">
                  <c:v>3.5667</c:v>
                </c:pt>
                <c:pt idx="42">
                  <c:v>3.4220999999999999</c:v>
                </c:pt>
                <c:pt idx="53">
                  <c:v>3.2366000000000001</c:v>
                </c:pt>
                <c:pt idx="71">
                  <c:v>3.2471000000000001</c:v>
                </c:pt>
                <c:pt idx="81">
                  <c:v>2.9085999999999999</c:v>
                </c:pt>
                <c:pt idx="86">
                  <c:v>2.9691999999999998</c:v>
                </c:pt>
                <c:pt idx="92">
                  <c:v>2.6301999999999999</c:v>
                </c:pt>
                <c:pt idx="94">
                  <c:v>2.4466000000000001</c:v>
                </c:pt>
                <c:pt idx="102">
                  <c:v>2.1981000000000002</c:v>
                </c:pt>
                <c:pt idx="112">
                  <c:v>2.1572</c:v>
                </c:pt>
                <c:pt idx="118">
                  <c:v>2.1572</c:v>
                </c:pt>
                <c:pt idx="131">
                  <c:v>1.7506999999999999</c:v>
                </c:pt>
                <c:pt idx="141">
                  <c:v>1.8218000000000001</c:v>
                </c:pt>
                <c:pt idx="146">
                  <c:v>1.9029</c:v>
                </c:pt>
                <c:pt idx="160">
                  <c:v>1.7808999999999999</c:v>
                </c:pt>
                <c:pt idx="161">
                  <c:v>1.8217000000000001</c:v>
                </c:pt>
                <c:pt idx="166">
                  <c:v>1.7910999999999999</c:v>
                </c:pt>
                <c:pt idx="176">
                  <c:v>1.7909999999999999</c:v>
                </c:pt>
                <c:pt idx="181">
                  <c:v>1.7808999999999999</c:v>
                </c:pt>
                <c:pt idx="195">
                  <c:v>2.0962000000000001</c:v>
                </c:pt>
                <c:pt idx="216">
                  <c:v>2.4015</c:v>
                </c:pt>
                <c:pt idx="221">
                  <c:v>2.7282000000000002</c:v>
                </c:pt>
                <c:pt idx="223">
                  <c:v>2.8609</c:v>
                </c:pt>
                <c:pt idx="224">
                  <c:v>3.0144000000000002</c:v>
                </c:pt>
                <c:pt idx="233">
                  <c:v>3.0964</c:v>
                </c:pt>
                <c:pt idx="243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6C2-4110-BD50-F4D5132B5AF7}"/>
            </c:ext>
          </c:extLst>
        </c:ser>
        <c:ser>
          <c:idx val="6"/>
          <c:order val="6"/>
          <c:tx>
            <c:strRef>
              <c:f>'CPI Dispersion'!$AB$7:$AB$8</c:f>
              <c:strCache>
                <c:ptCount val="1"/>
                <c:pt idx="0">
                  <c:v>28</c:v>
                </c:pt>
              </c:strCache>
            </c:strRef>
          </c:tx>
          <c:spPr>
            <a:ln w="19050" cap="rnd">
              <a:solidFill>
                <a:schemeClr val="accent1">
                  <a:tint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Dispersion'!$AB$9:$AB$259</c:f>
              <c:numCache>
                <c:formatCode>General</c:formatCode>
                <c:ptCount val="251"/>
                <c:pt idx="4">
                  <c:v>3.5042</c:v>
                </c:pt>
                <c:pt idx="19">
                  <c:v>3.5042</c:v>
                </c:pt>
                <c:pt idx="37">
                  <c:v>3.3805000000000001</c:v>
                </c:pt>
                <c:pt idx="59">
                  <c:v>3.0204</c:v>
                </c:pt>
                <c:pt idx="60">
                  <c:v>3</c:v>
                </c:pt>
                <c:pt idx="82">
                  <c:v>2.8144999999999998</c:v>
                </c:pt>
                <c:pt idx="94">
                  <c:v>2.1179999999999999</c:v>
                </c:pt>
                <c:pt idx="99">
                  <c:v>1.9959</c:v>
                </c:pt>
                <c:pt idx="108">
                  <c:v>1.5177</c:v>
                </c:pt>
                <c:pt idx="128">
                  <c:v>1.4962</c:v>
                </c:pt>
                <c:pt idx="147">
                  <c:v>1.5165999999999999</c:v>
                </c:pt>
                <c:pt idx="156">
                  <c:v>1.4861</c:v>
                </c:pt>
                <c:pt idx="171">
                  <c:v>1.4861</c:v>
                </c:pt>
                <c:pt idx="178">
                  <c:v>1.5273000000000001</c:v>
                </c:pt>
                <c:pt idx="194">
                  <c:v>1.7810999999999999</c:v>
                </c:pt>
                <c:pt idx="195">
                  <c:v>1.6897</c:v>
                </c:pt>
                <c:pt idx="205">
                  <c:v>2.524</c:v>
                </c:pt>
                <c:pt idx="215">
                  <c:v>2.5642</c:v>
                </c:pt>
                <c:pt idx="217">
                  <c:v>2.9632000000000001</c:v>
                </c:pt>
                <c:pt idx="220">
                  <c:v>2.9632000000000001</c:v>
                </c:pt>
                <c:pt idx="224">
                  <c:v>3.0552999999999999</c:v>
                </c:pt>
                <c:pt idx="243">
                  <c:v>3.3429000000000002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6C2-4110-BD50-F4D5132B5AF7}"/>
            </c:ext>
          </c:extLst>
        </c:ser>
        <c:ser>
          <c:idx val="7"/>
          <c:order val="7"/>
          <c:tx>
            <c:strRef>
              <c:f>'CPI Dispersion'!$AC$7:$AC$8</c:f>
              <c:strCache>
                <c:ptCount val="1"/>
                <c:pt idx="0">
                  <c:v>31</c:v>
                </c:pt>
              </c:strCache>
            </c:strRef>
          </c:tx>
          <c:spPr>
            <a:ln w="19050" cap="rnd">
              <a:solidFill>
                <a:schemeClr val="accent1">
                  <a:tint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Dispersion'!$AC$9:$AC$259</c:f>
              <c:numCache>
                <c:formatCode>General</c:formatCode>
                <c:ptCount val="251"/>
                <c:pt idx="4">
                  <c:v>3.6</c:v>
                </c:pt>
                <c:pt idx="14">
                  <c:v>3.6</c:v>
                </c:pt>
                <c:pt idx="23">
                  <c:v>3.6</c:v>
                </c:pt>
                <c:pt idx="37">
                  <c:v>3.4</c:v>
                </c:pt>
                <c:pt idx="42">
                  <c:v>3.4</c:v>
                </c:pt>
                <c:pt idx="57">
                  <c:v>3.4</c:v>
                </c:pt>
                <c:pt idx="71">
                  <c:v>2.9</c:v>
                </c:pt>
                <c:pt idx="81">
                  <c:v>2.9</c:v>
                </c:pt>
                <c:pt idx="94">
                  <c:v>2.25</c:v>
                </c:pt>
                <c:pt idx="102">
                  <c:v>2</c:v>
                </c:pt>
                <c:pt idx="126">
                  <c:v>1.5</c:v>
                </c:pt>
                <c:pt idx="131">
                  <c:v>1.7</c:v>
                </c:pt>
                <c:pt idx="152">
                  <c:v>1.7</c:v>
                </c:pt>
                <c:pt idx="161">
                  <c:v>1.5989</c:v>
                </c:pt>
                <c:pt idx="166">
                  <c:v>1.6797</c:v>
                </c:pt>
                <c:pt idx="187">
                  <c:v>1.8926000000000001</c:v>
                </c:pt>
                <c:pt idx="195">
                  <c:v>1.9233</c:v>
                </c:pt>
                <c:pt idx="196">
                  <c:v>1.9233</c:v>
                </c:pt>
                <c:pt idx="206">
                  <c:v>2.1265999999999998</c:v>
                </c:pt>
                <c:pt idx="212">
                  <c:v>2.1265999999999998</c:v>
                </c:pt>
                <c:pt idx="224">
                  <c:v>3.1273</c:v>
                </c:pt>
                <c:pt idx="233">
                  <c:v>3.4251</c:v>
                </c:pt>
                <c:pt idx="243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6C2-4110-BD50-F4D5132B5AF7}"/>
            </c:ext>
          </c:extLst>
        </c:ser>
        <c:ser>
          <c:idx val="8"/>
          <c:order val="8"/>
          <c:tx>
            <c:strRef>
              <c:f>'CPI Dispersion'!$AD$7:$AD$8</c:f>
              <c:strCache>
                <c:ptCount val="1"/>
                <c:pt idx="0">
                  <c:v>32</c:v>
                </c:pt>
              </c:strCache>
            </c:strRef>
          </c:tx>
          <c:spPr>
            <a:ln w="19050" cap="rnd">
              <a:solidFill>
                <a:schemeClr val="accent1">
                  <a:tint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Dispersion'!$AD$9:$AD$259</c:f>
              <c:numCache>
                <c:formatCode>General</c:formatCode>
                <c:ptCount val="251"/>
                <c:pt idx="0">
                  <c:v>3.5562999999999998</c:v>
                </c:pt>
                <c:pt idx="3">
                  <c:v>3.5562999999999998</c:v>
                </c:pt>
                <c:pt idx="4">
                  <c:v>3.6596000000000002</c:v>
                </c:pt>
                <c:pt idx="5">
                  <c:v>3.7008999999999999</c:v>
                </c:pt>
                <c:pt idx="12">
                  <c:v>3.7008999999999999</c:v>
                </c:pt>
                <c:pt idx="14">
                  <c:v>3.6181999999999999</c:v>
                </c:pt>
                <c:pt idx="32">
                  <c:v>3.7010000000000001</c:v>
                </c:pt>
                <c:pt idx="37">
                  <c:v>3.4634</c:v>
                </c:pt>
                <c:pt idx="42">
                  <c:v>3.4994999999999998</c:v>
                </c:pt>
                <c:pt idx="45">
                  <c:v>3.4683999999999999</c:v>
                </c:pt>
                <c:pt idx="47">
                  <c:v>3.3241000000000001</c:v>
                </c:pt>
                <c:pt idx="52">
                  <c:v>3.4735999999999998</c:v>
                </c:pt>
                <c:pt idx="53">
                  <c:v>3.4424999999999999</c:v>
                </c:pt>
                <c:pt idx="55">
                  <c:v>3.5249999999999999</c:v>
                </c:pt>
                <c:pt idx="57">
                  <c:v>3.5249999999999999</c:v>
                </c:pt>
                <c:pt idx="65">
                  <c:v>3.4014000000000002</c:v>
                </c:pt>
                <c:pt idx="69">
                  <c:v>3.4788999999999999</c:v>
                </c:pt>
                <c:pt idx="71">
                  <c:v>3.4788999999999999</c:v>
                </c:pt>
                <c:pt idx="82">
                  <c:v>2.4605999999999999</c:v>
                </c:pt>
                <c:pt idx="92">
                  <c:v>1.8331</c:v>
                </c:pt>
                <c:pt idx="94">
                  <c:v>1.8224</c:v>
                </c:pt>
                <c:pt idx="101">
                  <c:v>1.7693000000000001</c:v>
                </c:pt>
                <c:pt idx="102">
                  <c:v>1.6876</c:v>
                </c:pt>
                <c:pt idx="116">
                  <c:v>1.9014</c:v>
                </c:pt>
                <c:pt idx="122">
                  <c:v>1.9014</c:v>
                </c:pt>
                <c:pt idx="125">
                  <c:v>1.9014</c:v>
                </c:pt>
                <c:pt idx="130">
                  <c:v>1.7303999999999999</c:v>
                </c:pt>
                <c:pt idx="131">
                  <c:v>1.6746000000000001</c:v>
                </c:pt>
                <c:pt idx="135">
                  <c:v>1.7050000000000001</c:v>
                </c:pt>
                <c:pt idx="139">
                  <c:v>1.7250000000000001</c:v>
                </c:pt>
                <c:pt idx="146">
                  <c:v>1.7806999999999999</c:v>
                </c:pt>
                <c:pt idx="147">
                  <c:v>1.7806999999999999</c:v>
                </c:pt>
                <c:pt idx="159">
                  <c:v>1.6691</c:v>
                </c:pt>
                <c:pt idx="161">
                  <c:v>1.6337999999999999</c:v>
                </c:pt>
                <c:pt idx="166">
                  <c:v>1.6944999999999999</c:v>
                </c:pt>
                <c:pt idx="176">
                  <c:v>1.6894</c:v>
                </c:pt>
                <c:pt idx="181">
                  <c:v>1.6894</c:v>
                </c:pt>
                <c:pt idx="192">
                  <c:v>1.6894</c:v>
                </c:pt>
                <c:pt idx="195">
                  <c:v>2.0554999999999999</c:v>
                </c:pt>
                <c:pt idx="215">
                  <c:v>2.4321000000000002</c:v>
                </c:pt>
                <c:pt idx="224">
                  <c:v>3.0760000000000001</c:v>
                </c:pt>
                <c:pt idx="243">
                  <c:v>3.5589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6C2-4110-BD50-F4D5132B5AF7}"/>
            </c:ext>
          </c:extLst>
        </c:ser>
        <c:ser>
          <c:idx val="9"/>
          <c:order val="9"/>
          <c:tx>
            <c:strRef>
              <c:f>'CPI Dispersion'!$AE$7:$AE$8</c:f>
              <c:strCache>
                <c:ptCount val="1"/>
                <c:pt idx="0">
                  <c:v>34</c:v>
                </c:pt>
              </c:strCache>
            </c:strRef>
          </c:tx>
          <c:spPr>
            <a:ln w="19050" cap="rnd">
              <a:solidFill>
                <a:schemeClr val="accent1">
                  <a:tint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Dispersion'!$AE$9:$AE$259</c:f>
              <c:numCache>
                <c:formatCode>General</c:formatCode>
                <c:ptCount val="251"/>
                <c:pt idx="3">
                  <c:v>3.6076000000000001</c:v>
                </c:pt>
                <c:pt idx="24">
                  <c:v>3.3910999999999998</c:v>
                </c:pt>
                <c:pt idx="28">
                  <c:v>3.0926</c:v>
                </c:pt>
                <c:pt idx="35">
                  <c:v>3.0926</c:v>
                </c:pt>
                <c:pt idx="60">
                  <c:v>3.2265000000000001</c:v>
                </c:pt>
                <c:pt idx="71">
                  <c:v>2.8767999999999998</c:v>
                </c:pt>
                <c:pt idx="76">
                  <c:v>2.5688</c:v>
                </c:pt>
                <c:pt idx="77">
                  <c:v>2.5688</c:v>
                </c:pt>
                <c:pt idx="82">
                  <c:v>2.2513000000000001</c:v>
                </c:pt>
                <c:pt idx="94">
                  <c:v>2.2399</c:v>
                </c:pt>
                <c:pt idx="103">
                  <c:v>1.8512</c:v>
                </c:pt>
                <c:pt idx="109">
                  <c:v>1.7591000000000001</c:v>
                </c:pt>
                <c:pt idx="114">
                  <c:v>1.8507</c:v>
                </c:pt>
                <c:pt idx="118">
                  <c:v>1.9628000000000001</c:v>
                </c:pt>
                <c:pt idx="124">
                  <c:v>2.0034000000000001</c:v>
                </c:pt>
                <c:pt idx="128">
                  <c:v>2.0034000000000001</c:v>
                </c:pt>
                <c:pt idx="131">
                  <c:v>2.1568999999999998</c:v>
                </c:pt>
                <c:pt idx="132">
                  <c:v>2.2079</c:v>
                </c:pt>
                <c:pt idx="137">
                  <c:v>2.2079</c:v>
                </c:pt>
                <c:pt idx="143">
                  <c:v>2.2793000000000001</c:v>
                </c:pt>
                <c:pt idx="147">
                  <c:v>2.3302999999999998</c:v>
                </c:pt>
                <c:pt idx="152">
                  <c:v>2.1362000000000001</c:v>
                </c:pt>
                <c:pt idx="157">
                  <c:v>2.1869999999999998</c:v>
                </c:pt>
                <c:pt idx="161">
                  <c:v>1.9428000000000001</c:v>
                </c:pt>
                <c:pt idx="162">
                  <c:v>1.9428000000000001</c:v>
                </c:pt>
                <c:pt idx="165">
                  <c:v>1.6894</c:v>
                </c:pt>
                <c:pt idx="177">
                  <c:v>1.6894</c:v>
                </c:pt>
                <c:pt idx="178">
                  <c:v>1.6894</c:v>
                </c:pt>
                <c:pt idx="187">
                  <c:v>1.8620000000000001</c:v>
                </c:pt>
                <c:pt idx="192">
                  <c:v>1.9231</c:v>
                </c:pt>
                <c:pt idx="193">
                  <c:v>2.0962000000000001</c:v>
                </c:pt>
                <c:pt idx="195">
                  <c:v>1.9436</c:v>
                </c:pt>
                <c:pt idx="196">
                  <c:v>1.9436</c:v>
                </c:pt>
                <c:pt idx="198">
                  <c:v>1.9436</c:v>
                </c:pt>
                <c:pt idx="201">
                  <c:v>2.198</c:v>
                </c:pt>
                <c:pt idx="206">
                  <c:v>2.2795000000000001</c:v>
                </c:pt>
                <c:pt idx="211">
                  <c:v>2.3915999999999999</c:v>
                </c:pt>
                <c:pt idx="215">
                  <c:v>2.5954999999999999</c:v>
                </c:pt>
                <c:pt idx="220">
                  <c:v>2.8612000000000002</c:v>
                </c:pt>
                <c:pt idx="224">
                  <c:v>2.9634</c:v>
                </c:pt>
                <c:pt idx="230">
                  <c:v>2.9634</c:v>
                </c:pt>
                <c:pt idx="234">
                  <c:v>3.3429000000000002</c:v>
                </c:pt>
                <c:pt idx="239">
                  <c:v>3.4457</c:v>
                </c:pt>
                <c:pt idx="242">
                  <c:v>3.4457</c:v>
                </c:pt>
                <c:pt idx="244">
                  <c:v>3.4971999999999999</c:v>
                </c:pt>
                <c:pt idx="249">
                  <c:v>3.7339000000000002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6C2-4110-BD50-F4D5132B5AF7}"/>
            </c:ext>
          </c:extLst>
        </c:ser>
        <c:ser>
          <c:idx val="10"/>
          <c:order val="10"/>
          <c:tx>
            <c:strRef>
              <c:f>'CPI Dispersion'!$AF$7:$AF$8</c:f>
              <c:strCache>
                <c:ptCount val="1"/>
                <c:pt idx="0">
                  <c:v>37</c:v>
                </c:pt>
              </c:strCache>
            </c:strRef>
          </c:tx>
          <c:spPr>
            <a:ln w="19050" cap="rnd">
              <a:solidFill>
                <a:schemeClr val="accent1">
                  <a:tint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Dispersion'!$AF$9:$AF$259</c:f>
              <c:numCache>
                <c:formatCode>General</c:formatCode>
                <c:ptCount val="251"/>
                <c:pt idx="4">
                  <c:v>3.7734999999999999</c:v>
                </c:pt>
                <c:pt idx="10">
                  <c:v>3.7839</c:v>
                </c:pt>
                <c:pt idx="37">
                  <c:v>3.7526999999999999</c:v>
                </c:pt>
                <c:pt idx="42">
                  <c:v>3.7526999999999999</c:v>
                </c:pt>
                <c:pt idx="57">
                  <c:v>3.4525000000000001</c:v>
                </c:pt>
                <c:pt idx="71">
                  <c:v>3.5972</c:v>
                </c:pt>
                <c:pt idx="81">
                  <c:v>3.1749999999999998</c:v>
                </c:pt>
                <c:pt idx="92">
                  <c:v>2.3742999999999999</c:v>
                </c:pt>
                <c:pt idx="94">
                  <c:v>2.3742999999999999</c:v>
                </c:pt>
                <c:pt idx="102">
                  <c:v>2.3618000000000001</c:v>
                </c:pt>
                <c:pt idx="111">
                  <c:v>1.5263</c:v>
                </c:pt>
                <c:pt idx="114">
                  <c:v>1.5263</c:v>
                </c:pt>
                <c:pt idx="117">
                  <c:v>1.5263</c:v>
                </c:pt>
                <c:pt idx="131">
                  <c:v>2.6364999999999998</c:v>
                </c:pt>
                <c:pt idx="152">
                  <c:v>2.0851999999999999</c:v>
                </c:pt>
                <c:pt idx="161">
                  <c:v>1.9632000000000001</c:v>
                </c:pt>
                <c:pt idx="166">
                  <c:v>1.9634</c:v>
                </c:pt>
                <c:pt idx="180">
                  <c:v>1.9530000000000001</c:v>
                </c:pt>
                <c:pt idx="181">
                  <c:v>1.9530000000000001</c:v>
                </c:pt>
                <c:pt idx="195">
                  <c:v>2.0146999999999999</c:v>
                </c:pt>
                <c:pt idx="207">
                  <c:v>2.2385999999999999</c:v>
                </c:pt>
                <c:pt idx="216">
                  <c:v>2.8405999999999998</c:v>
                </c:pt>
                <c:pt idx="233">
                  <c:v>3.4971000000000001</c:v>
                </c:pt>
                <c:pt idx="243">
                  <c:v>3.4971000000000001</c:v>
                </c:pt>
                <c:pt idx="245">
                  <c:v>3.806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6C2-4110-BD50-F4D5132B5AF7}"/>
            </c:ext>
          </c:extLst>
        </c:ser>
        <c:ser>
          <c:idx val="11"/>
          <c:order val="11"/>
          <c:tx>
            <c:strRef>
              <c:f>'CPI Dispersion'!$AG$7:$AG$8</c:f>
              <c:strCache>
                <c:ptCount val="1"/>
                <c:pt idx="0">
                  <c:v>49</c:v>
                </c:pt>
              </c:strCache>
            </c:strRef>
          </c:tx>
          <c:spPr>
            <a:ln w="19050" cap="rnd">
              <a:solidFill>
                <a:schemeClr val="accent1">
                  <a:tint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Dispersion'!$AG$9:$AG$259</c:f>
              <c:numCache>
                <c:formatCode>General</c:formatCode>
                <c:ptCount val="251"/>
                <c:pt idx="0">
                  <c:v>3.4624000000000001</c:v>
                </c:pt>
                <c:pt idx="4">
                  <c:v>3.5962000000000001</c:v>
                </c:pt>
                <c:pt idx="19">
                  <c:v>3.6168</c:v>
                </c:pt>
                <c:pt idx="37">
                  <c:v>2.8454000000000002</c:v>
                </c:pt>
                <c:pt idx="38">
                  <c:v>2.8043</c:v>
                </c:pt>
                <c:pt idx="42">
                  <c:v>2.9173</c:v>
                </c:pt>
                <c:pt idx="47">
                  <c:v>2.8862999999999999</c:v>
                </c:pt>
                <c:pt idx="52">
                  <c:v>2.9994999999999998</c:v>
                </c:pt>
                <c:pt idx="55">
                  <c:v>3.1230000000000002</c:v>
                </c:pt>
                <c:pt idx="57">
                  <c:v>2.9895999999999998</c:v>
                </c:pt>
                <c:pt idx="61">
                  <c:v>2.8868999999999998</c:v>
                </c:pt>
                <c:pt idx="62">
                  <c:v>2.8252000000000002</c:v>
                </c:pt>
                <c:pt idx="64">
                  <c:v>2.7330000000000001</c:v>
                </c:pt>
                <c:pt idx="66">
                  <c:v>2.8151000000000002</c:v>
                </c:pt>
                <c:pt idx="68">
                  <c:v>2.8151000000000002</c:v>
                </c:pt>
                <c:pt idx="69">
                  <c:v>2.9590000000000001</c:v>
                </c:pt>
                <c:pt idx="71">
                  <c:v>2.9076</c:v>
                </c:pt>
                <c:pt idx="73">
                  <c:v>2.6406000000000001</c:v>
                </c:pt>
                <c:pt idx="79">
                  <c:v>2.6715</c:v>
                </c:pt>
                <c:pt idx="82">
                  <c:v>2.7227000000000001</c:v>
                </c:pt>
                <c:pt idx="85">
                  <c:v>2.3340000000000001</c:v>
                </c:pt>
                <c:pt idx="89">
                  <c:v>1.8846000000000001</c:v>
                </c:pt>
                <c:pt idx="94">
                  <c:v>1.6395</c:v>
                </c:pt>
                <c:pt idx="101">
                  <c:v>1.5264</c:v>
                </c:pt>
                <c:pt idx="102">
                  <c:v>1.5971</c:v>
                </c:pt>
                <c:pt idx="107">
                  <c:v>1.1830000000000001</c:v>
                </c:pt>
                <c:pt idx="112">
                  <c:v>1.1830000000000001</c:v>
                </c:pt>
                <c:pt idx="113">
                  <c:v>1.1830000000000001</c:v>
                </c:pt>
                <c:pt idx="121">
                  <c:v>0.9909</c:v>
                </c:pt>
                <c:pt idx="122">
                  <c:v>0.75929999999999997</c:v>
                </c:pt>
                <c:pt idx="127">
                  <c:v>0.81979999999999997</c:v>
                </c:pt>
                <c:pt idx="131">
                  <c:v>1.002</c:v>
                </c:pt>
                <c:pt idx="136">
                  <c:v>1.002</c:v>
                </c:pt>
                <c:pt idx="151">
                  <c:v>1.1027</c:v>
                </c:pt>
                <c:pt idx="162">
                  <c:v>1.1328</c:v>
                </c:pt>
                <c:pt idx="164">
                  <c:v>1.1229</c:v>
                </c:pt>
                <c:pt idx="166">
                  <c:v>1.0924</c:v>
                </c:pt>
                <c:pt idx="181">
                  <c:v>1.3958999999999999</c:v>
                </c:pt>
                <c:pt idx="187">
                  <c:v>1.5376000000000001</c:v>
                </c:pt>
                <c:pt idx="190">
                  <c:v>1.4870000000000001</c:v>
                </c:pt>
                <c:pt idx="191">
                  <c:v>1.5883</c:v>
                </c:pt>
                <c:pt idx="193">
                  <c:v>1.8927</c:v>
                </c:pt>
                <c:pt idx="195">
                  <c:v>1.8927</c:v>
                </c:pt>
                <c:pt idx="210">
                  <c:v>2.5851000000000002</c:v>
                </c:pt>
                <c:pt idx="215">
                  <c:v>2.8816999999999999</c:v>
                </c:pt>
                <c:pt idx="217">
                  <c:v>2.8508</c:v>
                </c:pt>
                <c:pt idx="219">
                  <c:v>2.9224999999999999</c:v>
                </c:pt>
                <c:pt idx="223">
                  <c:v>3.0968</c:v>
                </c:pt>
                <c:pt idx="224">
                  <c:v>3.2401</c:v>
                </c:pt>
                <c:pt idx="225">
                  <c:v>3.2606000000000002</c:v>
                </c:pt>
                <c:pt idx="233">
                  <c:v>3.2812000000000001</c:v>
                </c:pt>
                <c:pt idx="242">
                  <c:v>3.5486</c:v>
                </c:pt>
                <c:pt idx="243">
                  <c:v>3.5486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6C2-4110-BD50-F4D5132B5AF7}"/>
            </c:ext>
          </c:extLst>
        </c:ser>
        <c:ser>
          <c:idx val="12"/>
          <c:order val="12"/>
          <c:tx>
            <c:strRef>
              <c:f>'CPI Dispersion'!$AH$7:$AH$8</c:f>
              <c:strCache>
                <c:ptCount val="1"/>
                <c:pt idx="0">
                  <c:v>53</c:v>
                </c:pt>
              </c:strCache>
            </c:strRef>
          </c:tx>
          <c:spPr>
            <a:ln w="19050" cap="rnd">
              <a:solidFill>
                <a:schemeClr val="accent1">
                  <a:tint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Dispersion'!$AH$9:$AH$259</c:f>
              <c:numCache>
                <c:formatCode>General</c:formatCode>
                <c:ptCount val="251"/>
                <c:pt idx="3">
                  <c:v>3.4319000000000002</c:v>
                </c:pt>
                <c:pt idx="4">
                  <c:v>3.3700999999999999</c:v>
                </c:pt>
                <c:pt idx="9">
                  <c:v>3.3908999999999998</c:v>
                </c:pt>
                <c:pt idx="15">
                  <c:v>3.3805000000000001</c:v>
                </c:pt>
                <c:pt idx="20">
                  <c:v>3.3803999999999998</c:v>
                </c:pt>
                <c:pt idx="23">
                  <c:v>3.4628999999999999</c:v>
                </c:pt>
                <c:pt idx="35">
                  <c:v>3.3289</c:v>
                </c:pt>
                <c:pt idx="42">
                  <c:v>3.2464</c:v>
                </c:pt>
                <c:pt idx="48">
                  <c:v>3.0815000000000001</c:v>
                </c:pt>
                <c:pt idx="57">
                  <c:v>3.1432000000000002</c:v>
                </c:pt>
                <c:pt idx="67">
                  <c:v>3.1844999999999999</c:v>
                </c:pt>
                <c:pt idx="72">
                  <c:v>2.7738</c:v>
                </c:pt>
                <c:pt idx="86">
                  <c:v>2.4146999999999998</c:v>
                </c:pt>
                <c:pt idx="87">
                  <c:v>1.528</c:v>
                </c:pt>
                <c:pt idx="91">
                  <c:v>1.5075000000000001</c:v>
                </c:pt>
                <c:pt idx="95">
                  <c:v>1.4871000000000001</c:v>
                </c:pt>
                <c:pt idx="97">
                  <c:v>1.3027</c:v>
                </c:pt>
                <c:pt idx="101">
                  <c:v>1.181</c:v>
                </c:pt>
                <c:pt idx="110">
                  <c:v>1.2523</c:v>
                </c:pt>
                <c:pt idx="117">
                  <c:v>1.2939000000000001</c:v>
                </c:pt>
                <c:pt idx="123">
                  <c:v>1.1624000000000001</c:v>
                </c:pt>
                <c:pt idx="128">
                  <c:v>1.1728000000000001</c:v>
                </c:pt>
                <c:pt idx="133">
                  <c:v>1.2947</c:v>
                </c:pt>
                <c:pt idx="136">
                  <c:v>1.4769000000000001</c:v>
                </c:pt>
                <c:pt idx="157">
                  <c:v>1.6073999999999999</c:v>
                </c:pt>
                <c:pt idx="161">
                  <c:v>1.3749</c:v>
                </c:pt>
                <c:pt idx="166">
                  <c:v>1.3749</c:v>
                </c:pt>
                <c:pt idx="175">
                  <c:v>1.7603</c:v>
                </c:pt>
                <c:pt idx="186">
                  <c:v>2.0752999999999999</c:v>
                </c:pt>
                <c:pt idx="196">
                  <c:v>2.1873</c:v>
                </c:pt>
                <c:pt idx="210">
                  <c:v>2.7179000000000002</c:v>
                </c:pt>
                <c:pt idx="216">
                  <c:v>2.9220999999999999</c:v>
                </c:pt>
                <c:pt idx="223">
                  <c:v>2.9222000000000001</c:v>
                </c:pt>
                <c:pt idx="224">
                  <c:v>2.9119999999999999</c:v>
                </c:pt>
                <c:pt idx="240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6C2-4110-BD50-F4D5132B5AF7}"/>
            </c:ext>
          </c:extLst>
        </c:ser>
        <c:ser>
          <c:idx val="13"/>
          <c:order val="13"/>
          <c:tx>
            <c:strRef>
              <c:f>'CPI Dispersion'!$AI$7:$AI$8</c:f>
              <c:strCache>
                <c:ptCount val="1"/>
                <c:pt idx="0">
                  <c:v>55</c:v>
                </c:pt>
              </c:strCache>
            </c:strRef>
          </c:tx>
          <c:spPr>
            <a:ln w="19050" cap="rnd">
              <a:solidFill>
                <a:schemeClr val="accent1">
                  <a:tint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Dispersion'!$AI$9:$AI$259</c:f>
              <c:numCache>
                <c:formatCode>General</c:formatCode>
                <c:ptCount val="251"/>
                <c:pt idx="2">
                  <c:v>3.55</c:v>
                </c:pt>
                <c:pt idx="4">
                  <c:v>3.55</c:v>
                </c:pt>
                <c:pt idx="5">
                  <c:v>3.55</c:v>
                </c:pt>
                <c:pt idx="13">
                  <c:v>3.55</c:v>
                </c:pt>
                <c:pt idx="25">
                  <c:v>3.4841000000000002</c:v>
                </c:pt>
                <c:pt idx="27">
                  <c:v>3.3397999999999999</c:v>
                </c:pt>
                <c:pt idx="33">
                  <c:v>3.3603000000000001</c:v>
                </c:pt>
                <c:pt idx="41">
                  <c:v>3.3294000000000001</c:v>
                </c:pt>
                <c:pt idx="47">
                  <c:v>3.1747999999999998</c:v>
                </c:pt>
                <c:pt idx="52">
                  <c:v>3.2160000000000002</c:v>
                </c:pt>
                <c:pt idx="57">
                  <c:v>3.2160000000000002</c:v>
                </c:pt>
                <c:pt idx="71">
                  <c:v>2.7845</c:v>
                </c:pt>
                <c:pt idx="76">
                  <c:v>2.6092</c:v>
                </c:pt>
                <c:pt idx="83">
                  <c:v>2.1084999999999998</c:v>
                </c:pt>
                <c:pt idx="89">
                  <c:v>2.0876999999999999</c:v>
                </c:pt>
                <c:pt idx="94">
                  <c:v>1.9139999999999999</c:v>
                </c:pt>
                <c:pt idx="101">
                  <c:v>1.3243</c:v>
                </c:pt>
                <c:pt idx="107">
                  <c:v>1.2939000000000001</c:v>
                </c:pt>
                <c:pt idx="117">
                  <c:v>1.3349</c:v>
                </c:pt>
                <c:pt idx="131">
                  <c:v>1.3149</c:v>
                </c:pt>
                <c:pt idx="140">
                  <c:v>1.3754999999999999</c:v>
                </c:pt>
                <c:pt idx="151">
                  <c:v>1.355</c:v>
                </c:pt>
                <c:pt idx="161">
                  <c:v>1.3249</c:v>
                </c:pt>
                <c:pt idx="166">
                  <c:v>1.335</c:v>
                </c:pt>
                <c:pt idx="181">
                  <c:v>1.4564999999999999</c:v>
                </c:pt>
                <c:pt idx="182">
                  <c:v>1.4564999999999999</c:v>
                </c:pt>
                <c:pt idx="184">
                  <c:v>1.4564999999999999</c:v>
                </c:pt>
                <c:pt idx="192">
                  <c:v>1.9435</c:v>
                </c:pt>
                <c:pt idx="193">
                  <c:v>1.903</c:v>
                </c:pt>
                <c:pt idx="199">
                  <c:v>2.0045000000000002</c:v>
                </c:pt>
                <c:pt idx="215">
                  <c:v>2.7587999999999999</c:v>
                </c:pt>
                <c:pt idx="224">
                  <c:v>3.0966999999999998</c:v>
                </c:pt>
                <c:pt idx="233">
                  <c:v>3.3532000000000002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6C2-4110-BD50-F4D5132B5AF7}"/>
            </c:ext>
          </c:extLst>
        </c:ser>
        <c:ser>
          <c:idx val="14"/>
          <c:order val="14"/>
          <c:tx>
            <c:strRef>
              <c:f>'CPI Dispersion'!$AJ$7:$AJ$8</c:f>
              <c:strCache>
                <c:ptCount val="1"/>
                <c:pt idx="0">
                  <c:v>59</c:v>
                </c:pt>
              </c:strCache>
            </c:strRef>
          </c:tx>
          <c:spPr>
            <a:ln w="19050" cap="rnd">
              <a:solidFill>
                <a:schemeClr val="accent1">
                  <a:tint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Dispersion'!$AJ$9:$AJ$259</c:f>
              <c:numCache>
                <c:formatCode>General</c:formatCode>
                <c:ptCount val="251"/>
                <c:pt idx="1">
                  <c:v>3.6072000000000002</c:v>
                </c:pt>
                <c:pt idx="4">
                  <c:v>3.6073</c:v>
                </c:pt>
                <c:pt idx="15">
                  <c:v>3.6073</c:v>
                </c:pt>
                <c:pt idx="22">
                  <c:v>3.5969000000000002</c:v>
                </c:pt>
                <c:pt idx="37">
                  <c:v>3.3595999999999999</c:v>
                </c:pt>
                <c:pt idx="42">
                  <c:v>3.1949999999999998</c:v>
                </c:pt>
                <c:pt idx="52">
                  <c:v>3.1745000000000001</c:v>
                </c:pt>
                <c:pt idx="71">
                  <c:v>2.8355000000000001</c:v>
                </c:pt>
                <c:pt idx="76">
                  <c:v>2.8355000000000001</c:v>
                </c:pt>
                <c:pt idx="94">
                  <c:v>1.5893999999999999</c:v>
                </c:pt>
                <c:pt idx="102">
                  <c:v>1.1938</c:v>
                </c:pt>
                <c:pt idx="108">
                  <c:v>1.204</c:v>
                </c:pt>
                <c:pt idx="130">
                  <c:v>1.7201</c:v>
                </c:pt>
                <c:pt idx="131">
                  <c:v>1.7606999999999999</c:v>
                </c:pt>
                <c:pt idx="152">
                  <c:v>1.7910999999999999</c:v>
                </c:pt>
                <c:pt idx="161">
                  <c:v>1.6591</c:v>
                </c:pt>
                <c:pt idx="166">
                  <c:v>1.5780000000000001</c:v>
                </c:pt>
                <c:pt idx="176">
                  <c:v>1.5375000000000001</c:v>
                </c:pt>
                <c:pt idx="186">
                  <c:v>1.7605</c:v>
                </c:pt>
                <c:pt idx="195">
                  <c:v>1.9335</c:v>
                </c:pt>
                <c:pt idx="205">
                  <c:v>1.9335</c:v>
                </c:pt>
                <c:pt idx="224">
                  <c:v>3.2301000000000002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6C2-4110-BD50-F4D5132B5AF7}"/>
            </c:ext>
          </c:extLst>
        </c:ser>
        <c:ser>
          <c:idx val="15"/>
          <c:order val="15"/>
          <c:tx>
            <c:strRef>
              <c:f>'CPI Dispersion'!$AK$7:$AK$8</c:f>
              <c:strCache>
                <c:ptCount val="1"/>
                <c:pt idx="0">
                  <c:v>67</c:v>
                </c:pt>
              </c:strCache>
            </c:strRef>
          </c:tx>
          <c:spPr>
            <a:ln w="19050" cap="rnd">
              <a:solidFill>
                <a:schemeClr val="accent1">
                  <a:tint val="4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Dispersion'!$AK$9:$AK$259</c:f>
              <c:numCache>
                <c:formatCode>General</c:formatCode>
                <c:ptCount val="251"/>
                <c:pt idx="4">
                  <c:v>3.4630000000000001</c:v>
                </c:pt>
                <c:pt idx="9">
                  <c:v>3.4628999999999999</c:v>
                </c:pt>
                <c:pt idx="26">
                  <c:v>3.4628999999999999</c:v>
                </c:pt>
                <c:pt idx="32">
                  <c:v>3.3289</c:v>
                </c:pt>
                <c:pt idx="37">
                  <c:v>3.3289</c:v>
                </c:pt>
                <c:pt idx="41">
                  <c:v>3.3289</c:v>
                </c:pt>
                <c:pt idx="42">
                  <c:v>3.2875000000000001</c:v>
                </c:pt>
                <c:pt idx="57">
                  <c:v>3.1949000000000001</c:v>
                </c:pt>
                <c:pt idx="65">
                  <c:v>3.3290999999999999</c:v>
                </c:pt>
                <c:pt idx="66">
                  <c:v>3.2568999999999999</c:v>
                </c:pt>
                <c:pt idx="70">
                  <c:v>3.2980999999999998</c:v>
                </c:pt>
                <c:pt idx="71">
                  <c:v>3.0507</c:v>
                </c:pt>
                <c:pt idx="76">
                  <c:v>2.9377</c:v>
                </c:pt>
                <c:pt idx="88">
                  <c:v>2.6598999999999999</c:v>
                </c:pt>
                <c:pt idx="94">
                  <c:v>2.2804000000000002</c:v>
                </c:pt>
                <c:pt idx="102">
                  <c:v>1.9634</c:v>
                </c:pt>
                <c:pt idx="107">
                  <c:v>1.9424999999999999</c:v>
                </c:pt>
                <c:pt idx="127">
                  <c:v>1.8007</c:v>
                </c:pt>
                <c:pt idx="131">
                  <c:v>1.9029</c:v>
                </c:pt>
                <c:pt idx="142">
                  <c:v>1.8927</c:v>
                </c:pt>
                <c:pt idx="146">
                  <c:v>1.7604</c:v>
                </c:pt>
                <c:pt idx="153">
                  <c:v>1.8109999999999999</c:v>
                </c:pt>
                <c:pt idx="161">
                  <c:v>1.6691</c:v>
                </c:pt>
                <c:pt idx="166">
                  <c:v>1.7197</c:v>
                </c:pt>
                <c:pt idx="171">
                  <c:v>1.6994</c:v>
                </c:pt>
                <c:pt idx="183">
                  <c:v>1.7098</c:v>
                </c:pt>
                <c:pt idx="191">
                  <c:v>1.9638</c:v>
                </c:pt>
                <c:pt idx="195">
                  <c:v>2.1063000000000001</c:v>
                </c:pt>
                <c:pt idx="205">
                  <c:v>2.5238999999999998</c:v>
                </c:pt>
                <c:pt idx="210">
                  <c:v>2.5647000000000002</c:v>
                </c:pt>
                <c:pt idx="215">
                  <c:v>2.9733999999999998</c:v>
                </c:pt>
                <c:pt idx="219">
                  <c:v>3.0144000000000002</c:v>
                </c:pt>
                <c:pt idx="224">
                  <c:v>3.1680999999999999</c:v>
                </c:pt>
                <c:pt idx="233">
                  <c:v>3.4148000000000001</c:v>
                </c:pt>
                <c:pt idx="240">
                  <c:v>3.5177</c:v>
                </c:pt>
                <c:pt idx="242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6C2-4110-BD50-F4D5132B5AF7}"/>
            </c:ext>
          </c:extLst>
        </c:ser>
        <c:ser>
          <c:idx val="16"/>
          <c:order val="16"/>
          <c:tx>
            <c:strRef>
              <c:f>'CPI Dispersion'!$AL$7:$AL$8</c:f>
              <c:strCache>
                <c:ptCount val="1"/>
                <c:pt idx="0">
                  <c:v>68</c:v>
                </c:pt>
              </c:strCache>
            </c:strRef>
          </c:tx>
          <c:spPr>
            <a:ln w="19050" cap="rnd">
              <a:solidFill>
                <a:schemeClr val="accent1">
                  <a:tint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Dispersion'!$AL$9:$AL$259</c:f>
              <c:numCache>
                <c:formatCode>General</c:formatCode>
                <c:ptCount val="251"/>
                <c:pt idx="18">
                  <c:v>3.5041000000000002</c:v>
                </c:pt>
                <c:pt idx="42">
                  <c:v>3.1124999999999998</c:v>
                </c:pt>
                <c:pt idx="220">
                  <c:v>3.0044</c:v>
                </c:pt>
                <c:pt idx="225">
                  <c:v>3.343</c:v>
                </c:pt>
                <c:pt idx="229">
                  <c:v>3.343</c:v>
                </c:pt>
                <c:pt idx="233">
                  <c:v>3.3738000000000001</c:v>
                </c:pt>
                <c:pt idx="238">
                  <c:v>3.5794999999999999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6C2-4110-BD50-F4D5132B5AF7}"/>
            </c:ext>
          </c:extLst>
        </c:ser>
        <c:ser>
          <c:idx val="17"/>
          <c:order val="17"/>
          <c:tx>
            <c:strRef>
              <c:f>'CPI Dispersion'!$AM$7:$AM$8</c:f>
              <c:strCache>
                <c:ptCount val="1"/>
                <c:pt idx="0">
                  <c:v>72</c:v>
                </c:pt>
              </c:strCache>
            </c:strRef>
          </c:tx>
          <c:spPr>
            <a:ln w="19050" cap="rnd">
              <a:solidFill>
                <a:schemeClr val="accent1">
                  <a:tint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Dispersion'!$AM$9:$AM$259</c:f>
              <c:numCache>
                <c:formatCode>General</c:formatCode>
                <c:ptCount val="251"/>
                <c:pt idx="2">
                  <c:v>3.597</c:v>
                </c:pt>
                <c:pt idx="3">
                  <c:v>3.5663</c:v>
                </c:pt>
                <c:pt idx="4">
                  <c:v>3.6076000000000001</c:v>
                </c:pt>
                <c:pt idx="24">
                  <c:v>3.6076000000000001</c:v>
                </c:pt>
                <c:pt idx="25">
                  <c:v>3.6381000000000001</c:v>
                </c:pt>
                <c:pt idx="27">
                  <c:v>3.5762</c:v>
                </c:pt>
                <c:pt idx="31">
                  <c:v>3.4011</c:v>
                </c:pt>
                <c:pt idx="35">
                  <c:v>3.4117999999999999</c:v>
                </c:pt>
                <c:pt idx="36">
                  <c:v>3.4016000000000002</c:v>
                </c:pt>
                <c:pt idx="37">
                  <c:v>3.2366999999999999</c:v>
                </c:pt>
                <c:pt idx="40">
                  <c:v>3.1337000000000002</c:v>
                </c:pt>
                <c:pt idx="41">
                  <c:v>3.1027999999999998</c:v>
                </c:pt>
                <c:pt idx="42">
                  <c:v>3.2056</c:v>
                </c:pt>
                <c:pt idx="66">
                  <c:v>2.9897999999999998</c:v>
                </c:pt>
                <c:pt idx="69">
                  <c:v>3.0306999999999999</c:v>
                </c:pt>
                <c:pt idx="71">
                  <c:v>3.1027</c:v>
                </c:pt>
                <c:pt idx="94">
                  <c:v>1.7547999999999999</c:v>
                </c:pt>
                <c:pt idx="102">
                  <c:v>1.4257</c:v>
                </c:pt>
                <c:pt idx="122">
                  <c:v>1.1620999999999999</c:v>
                </c:pt>
                <c:pt idx="130">
                  <c:v>1.6492</c:v>
                </c:pt>
                <c:pt idx="131">
                  <c:v>1.5476000000000001</c:v>
                </c:pt>
                <c:pt idx="154">
                  <c:v>1.5777000000000001</c:v>
                </c:pt>
                <c:pt idx="159">
                  <c:v>1.7299</c:v>
                </c:pt>
                <c:pt idx="161">
                  <c:v>1.3673</c:v>
                </c:pt>
                <c:pt idx="166">
                  <c:v>1.2338</c:v>
                </c:pt>
                <c:pt idx="186">
                  <c:v>1.5578000000000001</c:v>
                </c:pt>
                <c:pt idx="195">
                  <c:v>2.0045999999999999</c:v>
                </c:pt>
                <c:pt idx="224">
                  <c:v>3.1886999999999999</c:v>
                </c:pt>
                <c:pt idx="242">
                  <c:v>3.5486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6C2-4110-BD50-F4D5132B5AF7}"/>
            </c:ext>
          </c:extLst>
        </c:ser>
        <c:ser>
          <c:idx val="18"/>
          <c:order val="18"/>
          <c:tx>
            <c:strRef>
              <c:f>'CPI Dispersion'!$AN$7:$AN$8</c:f>
              <c:strCache>
                <c:ptCount val="1"/>
                <c:pt idx="0">
                  <c:v>77</c:v>
                </c:pt>
              </c:strCache>
            </c:strRef>
          </c:tx>
          <c:spPr>
            <a:ln w="19050" cap="rnd">
              <a:solidFill>
                <a:schemeClr val="accent1">
                  <a:tint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Dispersion'!$AN$9:$AN$259</c:f>
              <c:numCache>
                <c:formatCode>General</c:formatCode>
                <c:ptCount val="251"/>
                <c:pt idx="1">
                  <c:v>3.7101999999999999</c:v>
                </c:pt>
                <c:pt idx="5">
                  <c:v>3.7101999999999999</c:v>
                </c:pt>
                <c:pt idx="33">
                  <c:v>3.5657999999999999</c:v>
                </c:pt>
                <c:pt idx="45">
                  <c:v>3.5451999999999999</c:v>
                </c:pt>
                <c:pt idx="53">
                  <c:v>3.2158000000000002</c:v>
                </c:pt>
                <c:pt idx="60">
                  <c:v>3.2158000000000002</c:v>
                </c:pt>
                <c:pt idx="74">
                  <c:v>3.0615999999999999</c:v>
                </c:pt>
                <c:pt idx="86">
                  <c:v>2.3136999999999999</c:v>
                </c:pt>
                <c:pt idx="98">
                  <c:v>2.2932999999999999</c:v>
                </c:pt>
                <c:pt idx="108">
                  <c:v>1.6607000000000001</c:v>
                </c:pt>
                <c:pt idx="119">
                  <c:v>1.1327</c:v>
                </c:pt>
                <c:pt idx="137">
                  <c:v>1.6287</c:v>
                </c:pt>
                <c:pt idx="144">
                  <c:v>1.6287</c:v>
                </c:pt>
                <c:pt idx="161">
                  <c:v>2.0859000000000001</c:v>
                </c:pt>
                <c:pt idx="174">
                  <c:v>1.9944</c:v>
                </c:pt>
                <c:pt idx="184">
                  <c:v>1.9944</c:v>
                </c:pt>
                <c:pt idx="195">
                  <c:v>2.198</c:v>
                </c:pt>
                <c:pt idx="211">
                  <c:v>2.3302999999999998</c:v>
                </c:pt>
                <c:pt idx="217">
                  <c:v>2.4525000000000001</c:v>
                </c:pt>
                <c:pt idx="231">
                  <c:v>3.2193000000000001</c:v>
                </c:pt>
                <c:pt idx="236">
                  <c:v>3.4045999999999998</c:v>
                </c:pt>
                <c:pt idx="244">
                  <c:v>3.4045999999999998</c:v>
                </c:pt>
                <c:pt idx="246">
                  <c:v>3.5072999999999999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6C2-4110-BD50-F4D5132B5AF7}"/>
            </c:ext>
          </c:extLst>
        </c:ser>
        <c:ser>
          <c:idx val="19"/>
          <c:order val="19"/>
          <c:tx>
            <c:strRef>
              <c:f>'CPI Dispersion'!$AO$7:$AO$8</c:f>
              <c:strCache>
                <c:ptCount val="1"/>
                <c:pt idx="0">
                  <c:v>78</c:v>
                </c:pt>
              </c:strCache>
            </c:strRef>
          </c:tx>
          <c:spPr>
            <a:ln w="19050" cap="rnd">
              <a:solidFill>
                <a:schemeClr val="accent1">
                  <a:tint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Dispersion'!$AO$9:$AO$259</c:f>
              <c:numCache>
                <c:formatCode>General</c:formatCode>
                <c:ptCount val="251"/>
                <c:pt idx="4">
                  <c:v>3.5253999999999999</c:v>
                </c:pt>
                <c:pt idx="5">
                  <c:v>3.5668000000000002</c:v>
                </c:pt>
                <c:pt idx="28">
                  <c:v>3.5874000000000001</c:v>
                </c:pt>
                <c:pt idx="37">
                  <c:v>3.5047000000000001</c:v>
                </c:pt>
                <c:pt idx="42">
                  <c:v>3.4428000000000001</c:v>
                </c:pt>
                <c:pt idx="66">
                  <c:v>3.2982999999999998</c:v>
                </c:pt>
                <c:pt idx="71">
                  <c:v>3.113</c:v>
                </c:pt>
                <c:pt idx="94">
                  <c:v>2.3018000000000001</c:v>
                </c:pt>
                <c:pt idx="102">
                  <c:v>2.1574</c:v>
                </c:pt>
                <c:pt idx="117">
                  <c:v>1.9431</c:v>
                </c:pt>
                <c:pt idx="131">
                  <c:v>1.6991000000000001</c:v>
                </c:pt>
                <c:pt idx="161">
                  <c:v>1.7907</c:v>
                </c:pt>
                <c:pt idx="166">
                  <c:v>1.8211999999999999</c:v>
                </c:pt>
                <c:pt idx="181">
                  <c:v>2.0044</c:v>
                </c:pt>
                <c:pt idx="186">
                  <c:v>1.9231</c:v>
                </c:pt>
                <c:pt idx="195">
                  <c:v>2.0758000000000001</c:v>
                </c:pt>
                <c:pt idx="215">
                  <c:v>2.8917999999999999</c:v>
                </c:pt>
                <c:pt idx="224">
                  <c:v>3.1991000000000001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6C2-4110-BD50-F4D5132B5AF7}"/>
            </c:ext>
          </c:extLst>
        </c:ser>
        <c:ser>
          <c:idx val="20"/>
          <c:order val="20"/>
          <c:tx>
            <c:strRef>
              <c:f>'CPI Dispersion'!$AP$7:$AP$8</c:f>
              <c:strCache>
                <c:ptCount val="1"/>
                <c:pt idx="0">
                  <c:v>81</c:v>
                </c:pt>
              </c:strCache>
            </c:strRef>
          </c:tx>
          <c:spPr>
            <a:ln w="19050" cap="rnd">
              <a:solidFill>
                <a:schemeClr val="accent1">
                  <a:tint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Dispersion'!$AP$9:$AP$259</c:f>
              <c:numCache>
                <c:formatCode>General</c:formatCode>
                <c:ptCount val="251"/>
                <c:pt idx="4">
                  <c:v>3.5562999999999998</c:v>
                </c:pt>
                <c:pt idx="9">
                  <c:v>3.5562999999999998</c:v>
                </c:pt>
                <c:pt idx="14">
                  <c:v>3.5562999999999998</c:v>
                </c:pt>
                <c:pt idx="22">
                  <c:v>3.5562999999999998</c:v>
                </c:pt>
                <c:pt idx="27">
                  <c:v>3.5562999999999998</c:v>
                </c:pt>
                <c:pt idx="32">
                  <c:v>3.5562999999999998</c:v>
                </c:pt>
                <c:pt idx="37">
                  <c:v>3.6183999999999998</c:v>
                </c:pt>
                <c:pt idx="43">
                  <c:v>3.6389999999999998</c:v>
                </c:pt>
                <c:pt idx="47">
                  <c:v>3.2469000000000001</c:v>
                </c:pt>
                <c:pt idx="52">
                  <c:v>3.2469000000000001</c:v>
                </c:pt>
                <c:pt idx="61">
                  <c:v>3.2469000000000001</c:v>
                </c:pt>
                <c:pt idx="66">
                  <c:v>3.1953999999999998</c:v>
                </c:pt>
                <c:pt idx="72">
                  <c:v>3.2467999999999999</c:v>
                </c:pt>
                <c:pt idx="76">
                  <c:v>3.2467999999999999</c:v>
                </c:pt>
                <c:pt idx="81">
                  <c:v>3.1642999999999999</c:v>
                </c:pt>
                <c:pt idx="85">
                  <c:v>2.4655</c:v>
                </c:pt>
                <c:pt idx="90">
                  <c:v>2.4552</c:v>
                </c:pt>
                <c:pt idx="94">
                  <c:v>2.4552</c:v>
                </c:pt>
                <c:pt idx="98">
                  <c:v>2.4552</c:v>
                </c:pt>
                <c:pt idx="107">
                  <c:v>1.9843999999999999</c:v>
                </c:pt>
                <c:pt idx="112">
                  <c:v>1.9843999999999999</c:v>
                </c:pt>
                <c:pt idx="117">
                  <c:v>1.9843999999999999</c:v>
                </c:pt>
                <c:pt idx="123">
                  <c:v>1.9843999999999999</c:v>
                </c:pt>
                <c:pt idx="127">
                  <c:v>1.9835</c:v>
                </c:pt>
                <c:pt idx="131">
                  <c:v>2.004</c:v>
                </c:pt>
                <c:pt idx="136">
                  <c:v>2.004</c:v>
                </c:pt>
                <c:pt idx="141">
                  <c:v>2.0043000000000002</c:v>
                </c:pt>
                <c:pt idx="146">
                  <c:v>2.0449999999999999</c:v>
                </c:pt>
                <c:pt idx="151">
                  <c:v>2.0041000000000002</c:v>
                </c:pt>
                <c:pt idx="156">
                  <c:v>2.0041000000000002</c:v>
                </c:pt>
                <c:pt idx="161">
                  <c:v>2.0041000000000002</c:v>
                </c:pt>
                <c:pt idx="166">
                  <c:v>2.0041000000000002</c:v>
                </c:pt>
                <c:pt idx="171">
                  <c:v>1.9635</c:v>
                </c:pt>
                <c:pt idx="176">
                  <c:v>1.9635</c:v>
                </c:pt>
                <c:pt idx="181">
                  <c:v>1.9635</c:v>
                </c:pt>
                <c:pt idx="183">
                  <c:v>1.9635</c:v>
                </c:pt>
                <c:pt idx="186">
                  <c:v>1.9635</c:v>
                </c:pt>
                <c:pt idx="191">
                  <c:v>2.0044</c:v>
                </c:pt>
                <c:pt idx="195">
                  <c:v>1.9943</c:v>
                </c:pt>
                <c:pt idx="205">
                  <c:v>1.9943</c:v>
                </c:pt>
                <c:pt idx="210">
                  <c:v>2.3506999999999998</c:v>
                </c:pt>
                <c:pt idx="215">
                  <c:v>2.6669999999999998</c:v>
                </c:pt>
                <c:pt idx="219">
                  <c:v>2.6669999999999998</c:v>
                </c:pt>
                <c:pt idx="225">
                  <c:v>2.6669999999999998</c:v>
                </c:pt>
                <c:pt idx="229">
                  <c:v>2.6669999999999998</c:v>
                </c:pt>
                <c:pt idx="233">
                  <c:v>3.0348000000000002</c:v>
                </c:pt>
                <c:pt idx="238">
                  <c:v>3.0348000000000002</c:v>
                </c:pt>
                <c:pt idx="243">
                  <c:v>3.2709999999999999</c:v>
                </c:pt>
                <c:pt idx="248">
                  <c:v>3.2709999999999999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6C2-4110-BD50-F4D5132B5AF7}"/>
            </c:ext>
          </c:extLst>
        </c:ser>
        <c:ser>
          <c:idx val="21"/>
          <c:order val="21"/>
          <c:tx>
            <c:strRef>
              <c:f>'CPI Dispersion'!$AQ$7:$AQ$8</c:f>
              <c:strCache>
                <c:ptCount val="1"/>
                <c:pt idx="0">
                  <c:v>83</c:v>
                </c:pt>
              </c:strCache>
            </c:strRef>
          </c:tx>
          <c:spPr>
            <a:ln w="19050" cap="rnd">
              <a:solidFill>
                <a:schemeClr val="accent1">
                  <a:tint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Dispersion'!$AQ$9:$AQ$259</c:f>
              <c:numCache>
                <c:formatCode>General</c:formatCode>
                <c:ptCount val="251"/>
                <c:pt idx="1">
                  <c:v>4</c:v>
                </c:pt>
                <c:pt idx="4">
                  <c:v>4</c:v>
                </c:pt>
                <c:pt idx="13">
                  <c:v>4</c:v>
                </c:pt>
                <c:pt idx="21">
                  <c:v>4</c:v>
                </c:pt>
                <c:pt idx="36">
                  <c:v>4.0004</c:v>
                </c:pt>
                <c:pt idx="54">
                  <c:v>3.1027999999999998</c:v>
                </c:pt>
                <c:pt idx="70">
                  <c:v>3.1027</c:v>
                </c:pt>
                <c:pt idx="74">
                  <c:v>2.7021999999999999</c:v>
                </c:pt>
                <c:pt idx="90">
                  <c:v>2.5064000000000002</c:v>
                </c:pt>
                <c:pt idx="103">
                  <c:v>2.25</c:v>
                </c:pt>
                <c:pt idx="106">
                  <c:v>1.7101</c:v>
                </c:pt>
                <c:pt idx="117">
                  <c:v>1.5980000000000001</c:v>
                </c:pt>
                <c:pt idx="121">
                  <c:v>1.5469999999999999</c:v>
                </c:pt>
                <c:pt idx="131">
                  <c:v>1.7202</c:v>
                </c:pt>
                <c:pt idx="143">
                  <c:v>1.7199</c:v>
                </c:pt>
                <c:pt idx="154">
                  <c:v>1.8312999999999999</c:v>
                </c:pt>
                <c:pt idx="164">
                  <c:v>1.7094</c:v>
                </c:pt>
                <c:pt idx="182">
                  <c:v>1.7098</c:v>
                </c:pt>
                <c:pt idx="185">
                  <c:v>1.8011999999999999</c:v>
                </c:pt>
                <c:pt idx="194">
                  <c:v>1.8827</c:v>
                </c:pt>
                <c:pt idx="203">
                  <c:v>2.2181999999999999</c:v>
                </c:pt>
                <c:pt idx="214">
                  <c:v>2.3504999999999998</c:v>
                </c:pt>
                <c:pt idx="215">
                  <c:v>2.6154999999999999</c:v>
                </c:pt>
                <c:pt idx="229">
                  <c:v>3.2298</c:v>
                </c:pt>
                <c:pt idx="242">
                  <c:v>3.2915000000000001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6C2-4110-BD50-F4D5132B5AF7}"/>
            </c:ext>
          </c:extLst>
        </c:ser>
        <c:ser>
          <c:idx val="22"/>
          <c:order val="22"/>
          <c:tx>
            <c:strRef>
              <c:f>'CPI Dispersion'!$AR$7:$AR$8</c:f>
              <c:strCache>
                <c:ptCount val="1"/>
                <c:pt idx="0">
                  <c:v>89</c:v>
                </c:pt>
              </c:strCache>
            </c:strRef>
          </c:tx>
          <c:spPr>
            <a:ln w="19050" cap="rnd">
              <a:solidFill>
                <a:schemeClr val="accent1">
                  <a:tint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Dispersion'!$AR$9:$AR$259</c:f>
              <c:numCache>
                <c:formatCode>General</c:formatCode>
                <c:ptCount val="251"/>
                <c:pt idx="13">
                  <c:v>3.3605</c:v>
                </c:pt>
                <c:pt idx="33">
                  <c:v>3.4533</c:v>
                </c:pt>
                <c:pt idx="55">
                  <c:v>2.9794999999999998</c:v>
                </c:pt>
                <c:pt idx="99">
                  <c:v>1.2746</c:v>
                </c:pt>
                <c:pt idx="118">
                  <c:v>1.8816999999999999</c:v>
                </c:pt>
                <c:pt idx="138">
                  <c:v>2.0449999999999999</c:v>
                </c:pt>
                <c:pt idx="139">
                  <c:v>2.0449999999999999</c:v>
                </c:pt>
                <c:pt idx="160">
                  <c:v>2.1158000000000001</c:v>
                </c:pt>
                <c:pt idx="182">
                  <c:v>1.6286</c:v>
                </c:pt>
                <c:pt idx="192">
                  <c:v>2.0146000000000002</c:v>
                </c:pt>
                <c:pt idx="201">
                  <c:v>2.6057999999999999</c:v>
                </c:pt>
                <c:pt idx="223">
                  <c:v>3.0249999999999999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6C2-4110-BD50-F4D5132B5AF7}"/>
            </c:ext>
          </c:extLst>
        </c:ser>
        <c:ser>
          <c:idx val="23"/>
          <c:order val="23"/>
          <c:tx>
            <c:strRef>
              <c:f>'CPI Dispersion'!$AS$7:$AS$8</c:f>
              <c:strCache>
                <c:ptCount val="1"/>
                <c:pt idx="0">
                  <c:v>90</c:v>
                </c:pt>
              </c:strCache>
            </c:strRef>
          </c:tx>
          <c:spPr>
            <a:ln w="19050" cap="rnd">
              <a:solidFill>
                <a:schemeClr val="accent1">
                  <a:tint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Dispersion'!$AS$9:$AS$259</c:f>
              <c:numCache>
                <c:formatCode>General</c:formatCode>
                <c:ptCount val="251"/>
                <c:pt idx="1">
                  <c:v>3.5870000000000002</c:v>
                </c:pt>
                <c:pt idx="4">
                  <c:v>3.3807</c:v>
                </c:pt>
                <c:pt idx="12">
                  <c:v>3.4428000000000001</c:v>
                </c:pt>
                <c:pt idx="14">
                  <c:v>3.4944000000000002</c:v>
                </c:pt>
                <c:pt idx="19">
                  <c:v>3.5047000000000001</c:v>
                </c:pt>
                <c:pt idx="30">
                  <c:v>3.4634</c:v>
                </c:pt>
                <c:pt idx="36">
                  <c:v>3.5562999999999998</c:v>
                </c:pt>
                <c:pt idx="42">
                  <c:v>3.5666000000000002</c:v>
                </c:pt>
                <c:pt idx="49">
                  <c:v>3.2056</c:v>
                </c:pt>
                <c:pt idx="57">
                  <c:v>3.298</c:v>
                </c:pt>
                <c:pt idx="60">
                  <c:v>3.3908999999999998</c:v>
                </c:pt>
                <c:pt idx="67">
                  <c:v>3.298</c:v>
                </c:pt>
                <c:pt idx="70">
                  <c:v>3.4117999999999999</c:v>
                </c:pt>
                <c:pt idx="71">
                  <c:v>3.4426999999999999</c:v>
                </c:pt>
                <c:pt idx="93">
                  <c:v>2.3313999999999999</c:v>
                </c:pt>
                <c:pt idx="102">
                  <c:v>1.7995000000000001</c:v>
                </c:pt>
                <c:pt idx="127">
                  <c:v>1.8311999999999999</c:v>
                </c:pt>
                <c:pt idx="151">
                  <c:v>1.8620000000000001</c:v>
                </c:pt>
                <c:pt idx="166">
                  <c:v>1.7201</c:v>
                </c:pt>
                <c:pt idx="186">
                  <c:v>2.0045000000000002</c:v>
                </c:pt>
                <c:pt idx="195">
                  <c:v>2.1265999999999998</c:v>
                </c:pt>
                <c:pt idx="215">
                  <c:v>2.8815</c:v>
                </c:pt>
                <c:pt idx="224">
                  <c:v>3.3222999999999998</c:v>
                </c:pt>
                <c:pt idx="242">
                  <c:v>3.4765000000000001</c:v>
                </c:pt>
                <c:pt idx="243">
                  <c:v>3.4765000000000001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6C2-4110-BD50-F4D5132B5AF7}"/>
            </c:ext>
          </c:extLst>
        </c:ser>
        <c:ser>
          <c:idx val="24"/>
          <c:order val="24"/>
          <c:tx>
            <c:strRef>
              <c:f>'CPI Dispersion'!$AT$7:$AT$8</c:f>
              <c:strCache>
                <c:ptCount val="1"/>
                <c:pt idx="0">
                  <c:v>94</c:v>
                </c:pt>
              </c:strCache>
            </c:strRef>
          </c:tx>
          <c:spPr>
            <a:ln w="19050" cap="rnd">
              <a:solidFill>
                <a:schemeClr val="accent1">
                  <a:tint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Dispersion'!$AT$9:$AT$259</c:f>
              <c:numCache>
                <c:formatCode>General</c:formatCode>
                <c:ptCount val="251"/>
                <c:pt idx="4">
                  <c:v>3.8</c:v>
                </c:pt>
                <c:pt idx="22">
                  <c:v>3.8</c:v>
                </c:pt>
                <c:pt idx="26">
                  <c:v>3.8</c:v>
                </c:pt>
                <c:pt idx="37">
                  <c:v>3.8</c:v>
                </c:pt>
                <c:pt idx="42">
                  <c:v>3.8</c:v>
                </c:pt>
                <c:pt idx="53">
                  <c:v>3.35</c:v>
                </c:pt>
                <c:pt idx="67">
                  <c:v>3.35</c:v>
                </c:pt>
                <c:pt idx="77">
                  <c:v>3.1</c:v>
                </c:pt>
                <c:pt idx="95">
                  <c:v>2.48</c:v>
                </c:pt>
                <c:pt idx="100">
                  <c:v>2.48</c:v>
                </c:pt>
                <c:pt idx="116">
                  <c:v>1.45</c:v>
                </c:pt>
                <c:pt idx="117">
                  <c:v>1.45</c:v>
                </c:pt>
                <c:pt idx="123">
                  <c:v>1.45</c:v>
                </c:pt>
                <c:pt idx="131">
                  <c:v>1.4512</c:v>
                </c:pt>
                <c:pt idx="144">
                  <c:v>1.4512</c:v>
                </c:pt>
                <c:pt idx="151">
                  <c:v>1.7458</c:v>
                </c:pt>
                <c:pt idx="161">
                  <c:v>1.7458</c:v>
                </c:pt>
                <c:pt idx="181">
                  <c:v>1.7458</c:v>
                </c:pt>
                <c:pt idx="183">
                  <c:v>1.9494</c:v>
                </c:pt>
                <c:pt idx="194">
                  <c:v>1.7498</c:v>
                </c:pt>
                <c:pt idx="195">
                  <c:v>2</c:v>
                </c:pt>
                <c:pt idx="212">
                  <c:v>2</c:v>
                </c:pt>
                <c:pt idx="215">
                  <c:v>2.6461000000000001</c:v>
                </c:pt>
                <c:pt idx="224">
                  <c:v>3.0249000000000001</c:v>
                </c:pt>
                <c:pt idx="237">
                  <c:v>3</c:v>
                </c:pt>
                <c:pt idx="242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6C2-4110-BD50-F4D5132B5AF7}"/>
            </c:ext>
          </c:extLst>
        </c:ser>
        <c:ser>
          <c:idx val="25"/>
          <c:order val="25"/>
          <c:tx>
            <c:strRef>
              <c:f>'CPI Dispersion'!$AU$7:$AU$8</c:f>
              <c:strCache>
                <c:ptCount val="1"/>
                <c:pt idx="0">
                  <c:v>98</c:v>
                </c:pt>
              </c:strCache>
            </c:strRef>
          </c:tx>
          <c:spPr>
            <a:ln w="19050" cap="rnd">
              <a:solidFill>
                <a:schemeClr val="accent1">
                  <a:tint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Dispersion'!$AU$9:$AU$259</c:f>
              <c:numCache>
                <c:formatCode>General</c:formatCode>
                <c:ptCount val="251"/>
                <c:pt idx="1">
                  <c:v>3.4841000000000002</c:v>
                </c:pt>
                <c:pt idx="3">
                  <c:v>3.4841000000000002</c:v>
                </c:pt>
                <c:pt idx="4">
                  <c:v>3.5345</c:v>
                </c:pt>
                <c:pt idx="29">
                  <c:v>3.5036</c:v>
                </c:pt>
                <c:pt idx="37">
                  <c:v>3.3180999999999998</c:v>
                </c:pt>
                <c:pt idx="42">
                  <c:v>3.2153999999999998</c:v>
                </c:pt>
                <c:pt idx="71">
                  <c:v>3.2258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6C2-4110-BD50-F4D5132B5AF7}"/>
            </c:ext>
          </c:extLst>
        </c:ser>
        <c:ser>
          <c:idx val="26"/>
          <c:order val="26"/>
          <c:tx>
            <c:strRef>
              <c:f>'CPI Dispersion'!$AV$7:$AV$8</c:f>
              <c:strCache>
                <c:ptCount val="1"/>
                <c:pt idx="0">
                  <c:v>99</c:v>
                </c:pt>
              </c:strCache>
            </c:strRef>
          </c:tx>
          <c:spPr>
            <a:ln w="19050" cap="rnd">
              <a:solidFill>
                <a:schemeClr val="accent1">
                  <a:tint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Dispersion'!$AV$9:$AV$259</c:f>
              <c:numCache>
                <c:formatCode>General</c:formatCode>
                <c:ptCount val="251"/>
                <c:pt idx="0">
                  <c:v>3.9802</c:v>
                </c:pt>
                <c:pt idx="1">
                  <c:v>3.9802</c:v>
                </c:pt>
                <c:pt idx="4">
                  <c:v>3.9802</c:v>
                </c:pt>
                <c:pt idx="9">
                  <c:v>3.8561000000000001</c:v>
                </c:pt>
                <c:pt idx="14">
                  <c:v>3.7526999999999999</c:v>
                </c:pt>
                <c:pt idx="27">
                  <c:v>3.504</c:v>
                </c:pt>
                <c:pt idx="32">
                  <c:v>3.4424999999999999</c:v>
                </c:pt>
                <c:pt idx="42">
                  <c:v>3.4424999999999999</c:v>
                </c:pt>
                <c:pt idx="47">
                  <c:v>3.3502000000000001</c:v>
                </c:pt>
                <c:pt idx="52">
                  <c:v>3.3502000000000001</c:v>
                </c:pt>
                <c:pt idx="57">
                  <c:v>3.4026000000000001</c:v>
                </c:pt>
                <c:pt idx="61">
                  <c:v>3.4013</c:v>
                </c:pt>
                <c:pt idx="66">
                  <c:v>3.5045999999999999</c:v>
                </c:pt>
                <c:pt idx="71">
                  <c:v>3.6080000000000001</c:v>
                </c:pt>
                <c:pt idx="76">
                  <c:v>3.3088000000000002</c:v>
                </c:pt>
                <c:pt idx="79">
                  <c:v>3.3089</c:v>
                </c:pt>
                <c:pt idx="82">
                  <c:v>3.3089</c:v>
                </c:pt>
                <c:pt idx="85">
                  <c:v>2.9485000000000001</c:v>
                </c:pt>
                <c:pt idx="89">
                  <c:v>2.9380999999999999</c:v>
                </c:pt>
                <c:pt idx="94">
                  <c:v>2.9380999999999999</c:v>
                </c:pt>
                <c:pt idx="98">
                  <c:v>2.9380999999999999</c:v>
                </c:pt>
                <c:pt idx="110">
                  <c:v>2.7494999999999998</c:v>
                </c:pt>
                <c:pt idx="117">
                  <c:v>2.7494999999999998</c:v>
                </c:pt>
                <c:pt idx="148">
                  <c:v>2.6671</c:v>
                </c:pt>
                <c:pt idx="155">
                  <c:v>2.9020000000000001</c:v>
                </c:pt>
                <c:pt idx="161">
                  <c:v>2.7589000000000001</c:v>
                </c:pt>
                <c:pt idx="167">
                  <c:v>2.7589000000000001</c:v>
                </c:pt>
                <c:pt idx="187">
                  <c:v>2.6974</c:v>
                </c:pt>
                <c:pt idx="201">
                  <c:v>2.4016999999999999</c:v>
                </c:pt>
                <c:pt idx="211">
                  <c:v>2.5032999999999999</c:v>
                </c:pt>
                <c:pt idx="215">
                  <c:v>2.4422000000000001</c:v>
                </c:pt>
                <c:pt idx="225">
                  <c:v>2.7481</c:v>
                </c:pt>
                <c:pt idx="233">
                  <c:v>2.8092000000000001</c:v>
                </c:pt>
                <c:pt idx="240">
                  <c:v>3.0859000000000001</c:v>
                </c:pt>
                <c:pt idx="244">
                  <c:v>3.2915000000000001</c:v>
                </c:pt>
                <c:pt idx="247">
                  <c:v>3.3942000000000001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6C2-4110-BD50-F4D5132B5AF7}"/>
            </c:ext>
          </c:extLst>
        </c:ser>
        <c:ser>
          <c:idx val="27"/>
          <c:order val="27"/>
          <c:tx>
            <c:strRef>
              <c:f>'CPI Dispersion'!$AW$7:$AW$8</c:f>
              <c:strCache>
                <c:ptCount val="1"/>
                <c:pt idx="0">
                  <c:v>101</c:v>
                </c:pt>
              </c:strCache>
            </c:strRef>
          </c:tx>
          <c:spPr>
            <a:ln w="19050" cap="rnd">
              <a:solidFill>
                <a:schemeClr val="accent1">
                  <a:tint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Dispersion'!$AW$9:$AW$259</c:f>
              <c:numCache>
                <c:formatCode>General</c:formatCode>
                <c:ptCount val="251"/>
                <c:pt idx="4">
                  <c:v>3.6613000000000002</c:v>
                </c:pt>
                <c:pt idx="26">
                  <c:v>3.4155000000000002</c:v>
                </c:pt>
                <c:pt idx="28">
                  <c:v>3.6696</c:v>
                </c:pt>
                <c:pt idx="37">
                  <c:v>3.6591999999999998</c:v>
                </c:pt>
                <c:pt idx="42">
                  <c:v>3.6777000000000002</c:v>
                </c:pt>
                <c:pt idx="47">
                  <c:v>3.6898</c:v>
                </c:pt>
                <c:pt idx="52">
                  <c:v>3.597</c:v>
                </c:pt>
                <c:pt idx="64">
                  <c:v>3.3187000000000002</c:v>
                </c:pt>
                <c:pt idx="71">
                  <c:v>3.0411000000000001</c:v>
                </c:pt>
                <c:pt idx="76">
                  <c:v>2.5078999999999998</c:v>
                </c:pt>
                <c:pt idx="77">
                  <c:v>2.5179999999999998</c:v>
                </c:pt>
                <c:pt idx="85">
                  <c:v>2.1800999999999999</c:v>
                </c:pt>
                <c:pt idx="91">
                  <c:v>1.9142999999999999</c:v>
                </c:pt>
                <c:pt idx="98">
                  <c:v>1.8628</c:v>
                </c:pt>
                <c:pt idx="102">
                  <c:v>1.7302999999999999</c:v>
                </c:pt>
                <c:pt idx="107">
                  <c:v>1.6082000000000001</c:v>
                </c:pt>
                <c:pt idx="112">
                  <c:v>1.6487000000000001</c:v>
                </c:pt>
                <c:pt idx="117">
                  <c:v>1.7297</c:v>
                </c:pt>
                <c:pt idx="127">
                  <c:v>1.5267999999999999</c:v>
                </c:pt>
                <c:pt idx="136">
                  <c:v>1.7402</c:v>
                </c:pt>
                <c:pt idx="141">
                  <c:v>1.7097</c:v>
                </c:pt>
                <c:pt idx="147">
                  <c:v>1.7097</c:v>
                </c:pt>
                <c:pt idx="151">
                  <c:v>1.7198</c:v>
                </c:pt>
                <c:pt idx="156">
                  <c:v>1.6994</c:v>
                </c:pt>
                <c:pt idx="162">
                  <c:v>1.5779000000000001</c:v>
                </c:pt>
                <c:pt idx="172">
                  <c:v>1.5576000000000001</c:v>
                </c:pt>
                <c:pt idx="178">
                  <c:v>1.7302</c:v>
                </c:pt>
                <c:pt idx="181">
                  <c:v>1.7301</c:v>
                </c:pt>
                <c:pt idx="186">
                  <c:v>1.7098</c:v>
                </c:pt>
                <c:pt idx="192">
                  <c:v>1.7707999999999999</c:v>
                </c:pt>
                <c:pt idx="195">
                  <c:v>1.8521000000000001</c:v>
                </c:pt>
                <c:pt idx="200">
                  <c:v>1.9842</c:v>
                </c:pt>
                <c:pt idx="218">
                  <c:v>2.7690000000000001</c:v>
                </c:pt>
                <c:pt idx="229">
                  <c:v>3.1375999999999999</c:v>
                </c:pt>
                <c:pt idx="233">
                  <c:v>3.3635000000000002</c:v>
                </c:pt>
                <c:pt idx="238">
                  <c:v>3.4148999999999998</c:v>
                </c:pt>
                <c:pt idx="248">
                  <c:v>3.9089999999999998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6C2-4110-BD50-F4D5132B5AF7}"/>
            </c:ext>
          </c:extLst>
        </c:ser>
        <c:ser>
          <c:idx val="28"/>
          <c:order val="28"/>
          <c:tx>
            <c:strRef>
              <c:f>'CPI Dispersion'!$AX$7:$AX$8</c:f>
              <c:strCache>
                <c:ptCount val="1"/>
                <c:pt idx="0">
                  <c:v>102</c:v>
                </c:pt>
              </c:strCache>
            </c:strRef>
          </c:tx>
          <c:spPr>
            <a:ln w="19050" cap="rnd">
              <a:solidFill>
                <a:schemeClr val="accent1">
                  <a:tint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Dispersion'!$AX$9:$AX$259</c:f>
              <c:numCache>
                <c:formatCode>General</c:formatCode>
                <c:ptCount val="251"/>
                <c:pt idx="4">
                  <c:v>3.3393000000000002</c:v>
                </c:pt>
                <c:pt idx="7">
                  <c:v>3.3393000000000002</c:v>
                </c:pt>
                <c:pt idx="15">
                  <c:v>3.3393000000000002</c:v>
                </c:pt>
                <c:pt idx="28">
                  <c:v>3.2671999999999999</c:v>
                </c:pt>
                <c:pt idx="32">
                  <c:v>3.2054999999999998</c:v>
                </c:pt>
                <c:pt idx="37">
                  <c:v>3.3496000000000001</c:v>
                </c:pt>
                <c:pt idx="42">
                  <c:v>3.1747000000000001</c:v>
                </c:pt>
                <c:pt idx="52">
                  <c:v>3.1949999999999998</c:v>
                </c:pt>
                <c:pt idx="57">
                  <c:v>3.1438999999999999</c:v>
                </c:pt>
                <c:pt idx="66">
                  <c:v>3.0821000000000001</c:v>
                </c:pt>
                <c:pt idx="71">
                  <c:v>3.0716999999999999</c:v>
                </c:pt>
                <c:pt idx="76">
                  <c:v>2.8458999999999999</c:v>
                </c:pt>
                <c:pt idx="81">
                  <c:v>2.3338000000000001</c:v>
                </c:pt>
                <c:pt idx="85">
                  <c:v>2.2416</c:v>
                </c:pt>
                <c:pt idx="89">
                  <c:v>2.0375999999999999</c:v>
                </c:pt>
                <c:pt idx="94">
                  <c:v>1.9446000000000001</c:v>
                </c:pt>
                <c:pt idx="102">
                  <c:v>1.3413999999999999</c:v>
                </c:pt>
                <c:pt idx="107">
                  <c:v>1.5469999999999999</c:v>
                </c:pt>
                <c:pt idx="112">
                  <c:v>1.446</c:v>
                </c:pt>
                <c:pt idx="117">
                  <c:v>1.446</c:v>
                </c:pt>
                <c:pt idx="131">
                  <c:v>1.4968999999999999</c:v>
                </c:pt>
                <c:pt idx="141">
                  <c:v>1.4968999999999999</c:v>
                </c:pt>
                <c:pt idx="151">
                  <c:v>1.5982000000000001</c:v>
                </c:pt>
                <c:pt idx="161">
                  <c:v>1.5874999999999999</c:v>
                </c:pt>
                <c:pt idx="166">
                  <c:v>1.5874999999999999</c:v>
                </c:pt>
                <c:pt idx="176">
                  <c:v>1.6583000000000001</c:v>
                </c:pt>
                <c:pt idx="184">
                  <c:v>1.8212999999999999</c:v>
                </c:pt>
                <c:pt idx="195">
                  <c:v>2.0146999999999999</c:v>
                </c:pt>
                <c:pt idx="200">
                  <c:v>2.0146999999999999</c:v>
                </c:pt>
                <c:pt idx="205">
                  <c:v>2.4525000000000001</c:v>
                </c:pt>
                <c:pt idx="213">
                  <c:v>2.7383000000000002</c:v>
                </c:pt>
                <c:pt idx="224">
                  <c:v>3.2503000000000002</c:v>
                </c:pt>
                <c:pt idx="241">
                  <c:v>3.5589</c:v>
                </c:pt>
                <c:pt idx="243">
                  <c:v>3.5691999999999999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6C2-4110-BD50-F4D5132B5AF7}"/>
            </c:ext>
          </c:extLst>
        </c:ser>
        <c:ser>
          <c:idx val="29"/>
          <c:order val="29"/>
          <c:tx>
            <c:strRef>
              <c:f>'CPI Dispersion'!$AY$7:$AY$8</c:f>
              <c:strCache>
                <c:ptCount val="1"/>
                <c:pt idx="0">
                  <c:v>109</c:v>
                </c:pt>
              </c:strCache>
            </c:strRef>
          </c:tx>
          <c:spPr>
            <a:ln w="19050" cap="rnd">
              <a:solidFill>
                <a:schemeClr val="accent1">
                  <a:tint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Dispersion'!$AY$9:$AY$259</c:f>
              <c:numCache>
                <c:formatCode>General</c:formatCode>
                <c:ptCount val="251"/>
                <c:pt idx="4">
                  <c:v>3.8041999999999998</c:v>
                </c:pt>
                <c:pt idx="14">
                  <c:v>3.8351999999999999</c:v>
                </c:pt>
                <c:pt idx="28">
                  <c:v>3.7105999999999999</c:v>
                </c:pt>
                <c:pt idx="37">
                  <c:v>3.7105999999999999</c:v>
                </c:pt>
                <c:pt idx="42">
                  <c:v>3.3498000000000001</c:v>
                </c:pt>
                <c:pt idx="57">
                  <c:v>2.8974000000000002</c:v>
                </c:pt>
                <c:pt idx="61">
                  <c:v>3.0514000000000001</c:v>
                </c:pt>
                <c:pt idx="71">
                  <c:v>2.9693999999999998</c:v>
                </c:pt>
                <c:pt idx="81">
                  <c:v>2.7948</c:v>
                </c:pt>
                <c:pt idx="94">
                  <c:v>2.4565000000000001</c:v>
                </c:pt>
                <c:pt idx="102">
                  <c:v>2.3536000000000001</c:v>
                </c:pt>
                <c:pt idx="112">
                  <c:v>1.8329</c:v>
                </c:pt>
                <c:pt idx="131">
                  <c:v>1.8115000000000001</c:v>
                </c:pt>
                <c:pt idx="141">
                  <c:v>1.8113999999999999</c:v>
                </c:pt>
                <c:pt idx="166">
                  <c:v>1.7808999999999999</c:v>
                </c:pt>
                <c:pt idx="176">
                  <c:v>1.7706999999999999</c:v>
                </c:pt>
                <c:pt idx="187">
                  <c:v>1.72</c:v>
                </c:pt>
                <c:pt idx="195">
                  <c:v>2.0962000000000001</c:v>
                </c:pt>
                <c:pt idx="205">
                  <c:v>2.2795000000000001</c:v>
                </c:pt>
                <c:pt idx="224">
                  <c:v>2.7589999999999999</c:v>
                </c:pt>
                <c:pt idx="238">
                  <c:v>3.1682999999999999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6C2-4110-BD50-F4D5132B5AF7}"/>
            </c:ext>
          </c:extLst>
        </c:ser>
        <c:ser>
          <c:idx val="30"/>
          <c:order val="30"/>
          <c:tx>
            <c:strRef>
              <c:f>'CPI Dispersion'!$AZ$7:$AZ$8</c:f>
              <c:strCache>
                <c:ptCount val="1"/>
                <c:pt idx="0">
                  <c:v>110</c:v>
                </c:pt>
              </c:strCache>
            </c:strRef>
          </c:tx>
          <c:spPr>
            <a:ln w="19050" cap="rnd">
              <a:solidFill>
                <a:schemeClr val="accent1">
                  <a:tint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Dispersion'!$AZ$9:$AZ$259</c:f>
              <c:numCache>
                <c:formatCode>General</c:formatCode>
                <c:ptCount val="251"/>
                <c:pt idx="4">
                  <c:v>3.6</c:v>
                </c:pt>
                <c:pt idx="14">
                  <c:v>3.6</c:v>
                </c:pt>
                <c:pt idx="37">
                  <c:v>3.5</c:v>
                </c:pt>
                <c:pt idx="43">
                  <c:v>3.5</c:v>
                </c:pt>
                <c:pt idx="71">
                  <c:v>3.1</c:v>
                </c:pt>
                <c:pt idx="94">
                  <c:v>2.2000000000000002</c:v>
                </c:pt>
                <c:pt idx="102">
                  <c:v>2.16</c:v>
                </c:pt>
                <c:pt idx="131">
                  <c:v>1.5</c:v>
                </c:pt>
                <c:pt idx="161">
                  <c:v>1.6489</c:v>
                </c:pt>
                <c:pt idx="166">
                  <c:v>1.6996</c:v>
                </c:pt>
                <c:pt idx="184">
                  <c:v>1.71</c:v>
                </c:pt>
                <c:pt idx="195">
                  <c:v>2.0554999999999999</c:v>
                </c:pt>
                <c:pt idx="224">
                  <c:v>3.117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6C2-4110-BD50-F4D5132B5AF7}"/>
            </c:ext>
          </c:extLst>
        </c:ser>
        <c:ser>
          <c:idx val="31"/>
          <c:order val="31"/>
          <c:tx>
            <c:strRef>
              <c:f>'CPI Dispersion'!$BA$7:$BA$8</c:f>
              <c:strCache>
                <c:ptCount val="1"/>
                <c:pt idx="0">
                  <c:v>115</c:v>
                </c:pt>
              </c:strCache>
            </c:strRef>
          </c:tx>
          <c:spPr>
            <a:ln w="19050" cap="rnd">
              <a:solidFill>
                <a:schemeClr val="accent1">
                  <a:tint val="6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Dispersion'!$BA$9:$BA$259</c:f>
              <c:numCache>
                <c:formatCode>General</c:formatCode>
                <c:ptCount val="251"/>
                <c:pt idx="2">
                  <c:v>3.6074999999999999</c:v>
                </c:pt>
                <c:pt idx="4">
                  <c:v>3.6177999999999999</c:v>
                </c:pt>
                <c:pt idx="14">
                  <c:v>3.6177999999999999</c:v>
                </c:pt>
                <c:pt idx="31">
                  <c:v>3.6177999999999999</c:v>
                </c:pt>
                <c:pt idx="36">
                  <c:v>3.4942000000000002</c:v>
                </c:pt>
                <c:pt idx="41">
                  <c:v>3.3908999999999998</c:v>
                </c:pt>
                <c:pt idx="45">
                  <c:v>3.3908999999999998</c:v>
                </c:pt>
                <c:pt idx="47">
                  <c:v>3.3702999999999999</c:v>
                </c:pt>
                <c:pt idx="57">
                  <c:v>3.4424999999999999</c:v>
                </c:pt>
                <c:pt idx="60">
                  <c:v>3.4424999999999999</c:v>
                </c:pt>
                <c:pt idx="65">
                  <c:v>3.4424999999999999</c:v>
                </c:pt>
                <c:pt idx="73">
                  <c:v>3.4630999999999998</c:v>
                </c:pt>
                <c:pt idx="76">
                  <c:v>3.1642999999999999</c:v>
                </c:pt>
                <c:pt idx="84">
                  <c:v>2.5981000000000001</c:v>
                </c:pt>
                <c:pt idx="87">
                  <c:v>2.5167000000000002</c:v>
                </c:pt>
                <c:pt idx="95">
                  <c:v>2.4451000000000001</c:v>
                </c:pt>
                <c:pt idx="102">
                  <c:v>2.1678999999999999</c:v>
                </c:pt>
                <c:pt idx="117">
                  <c:v>2.0655999999999999</c:v>
                </c:pt>
                <c:pt idx="127">
                  <c:v>1.7804</c:v>
                </c:pt>
                <c:pt idx="131">
                  <c:v>1.7404999999999999</c:v>
                </c:pt>
                <c:pt idx="141">
                  <c:v>1.8115000000000001</c:v>
                </c:pt>
                <c:pt idx="144">
                  <c:v>1.8115000000000001</c:v>
                </c:pt>
                <c:pt idx="151">
                  <c:v>2.0449000000000002</c:v>
                </c:pt>
                <c:pt idx="156">
                  <c:v>1.7908999999999999</c:v>
                </c:pt>
                <c:pt idx="161">
                  <c:v>1.6998</c:v>
                </c:pt>
                <c:pt idx="166">
                  <c:v>1.8011999999999999</c:v>
                </c:pt>
                <c:pt idx="171">
                  <c:v>1.8825000000000001</c:v>
                </c:pt>
                <c:pt idx="173">
                  <c:v>1.8216000000000001</c:v>
                </c:pt>
                <c:pt idx="180">
                  <c:v>2.0045999999999999</c:v>
                </c:pt>
                <c:pt idx="183">
                  <c:v>2.0045999999999999</c:v>
                </c:pt>
                <c:pt idx="190">
                  <c:v>2.0045999999999999</c:v>
                </c:pt>
                <c:pt idx="191">
                  <c:v>2.0045000000000002</c:v>
                </c:pt>
                <c:pt idx="194">
                  <c:v>1.9944</c:v>
                </c:pt>
                <c:pt idx="195">
                  <c:v>1.9944</c:v>
                </c:pt>
                <c:pt idx="205">
                  <c:v>2.3610000000000002</c:v>
                </c:pt>
                <c:pt idx="215">
                  <c:v>2.7077</c:v>
                </c:pt>
                <c:pt idx="217">
                  <c:v>2.7077</c:v>
                </c:pt>
                <c:pt idx="223">
                  <c:v>2.7077</c:v>
                </c:pt>
                <c:pt idx="224">
                  <c:v>2.9634</c:v>
                </c:pt>
                <c:pt idx="230">
                  <c:v>2.9634</c:v>
                </c:pt>
                <c:pt idx="243">
                  <c:v>3.4045999999999998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6C2-4110-BD50-F4D5132B5AF7}"/>
            </c:ext>
          </c:extLst>
        </c:ser>
        <c:ser>
          <c:idx val="32"/>
          <c:order val="32"/>
          <c:tx>
            <c:strRef>
              <c:f>'CPI Dispersion'!$BB$7:$BB$8</c:f>
              <c:strCache>
                <c:ptCount val="1"/>
                <c:pt idx="0">
                  <c:v>117</c:v>
                </c:pt>
              </c:strCache>
            </c:strRef>
          </c:tx>
          <c:spPr>
            <a:ln w="19050" cap="rnd">
              <a:solidFill>
                <a:schemeClr val="accent1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Dispersion'!$BB$9:$BB$259</c:f>
              <c:numCache>
                <c:formatCode>General</c:formatCode>
                <c:ptCount val="251"/>
                <c:pt idx="4">
                  <c:v>3.6594000000000002</c:v>
                </c:pt>
                <c:pt idx="19">
                  <c:v>3.6076999999999999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6C2-4110-BD50-F4D5132B5AF7}"/>
            </c:ext>
          </c:extLst>
        </c:ser>
        <c:ser>
          <c:idx val="33"/>
          <c:order val="33"/>
          <c:tx>
            <c:strRef>
              <c:f>'CPI Dispersion'!$BC$7:$BC$8</c:f>
              <c:strCache>
                <c:ptCount val="1"/>
                <c:pt idx="0">
                  <c:v>132</c:v>
                </c:pt>
              </c:strCache>
            </c:strRef>
          </c:tx>
          <c:spPr>
            <a:ln w="19050" cap="rnd">
              <a:solidFill>
                <a:schemeClr val="accent1">
                  <a:tint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Dispersion'!$BC$9:$BC$259</c:f>
              <c:numCache>
                <c:formatCode>General</c:formatCode>
                <c:ptCount val="251"/>
                <c:pt idx="1">
                  <c:v>3.8</c:v>
                </c:pt>
                <c:pt idx="28">
                  <c:v>3.5975999999999999</c:v>
                </c:pt>
                <c:pt idx="38">
                  <c:v>3.1539999999999999</c:v>
                </c:pt>
                <c:pt idx="59">
                  <c:v>3.0409000000000002</c:v>
                </c:pt>
                <c:pt idx="67">
                  <c:v>2.6614</c:v>
                </c:pt>
                <c:pt idx="69">
                  <c:v>2.6922000000000001</c:v>
                </c:pt>
                <c:pt idx="85">
                  <c:v>1.7229000000000001</c:v>
                </c:pt>
                <c:pt idx="104">
                  <c:v>0.97250000000000003</c:v>
                </c:pt>
                <c:pt idx="129">
                  <c:v>0.96240000000000003</c:v>
                </c:pt>
                <c:pt idx="164">
                  <c:v>1.2845</c:v>
                </c:pt>
                <c:pt idx="165">
                  <c:v>1.2845</c:v>
                </c:pt>
                <c:pt idx="191">
                  <c:v>1.5780000000000001</c:v>
                </c:pt>
                <c:pt idx="223">
                  <c:v>2.9222999999999999</c:v>
                </c:pt>
                <c:pt idx="248">
                  <c:v>3.6412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6C2-4110-BD50-F4D5132B5AF7}"/>
            </c:ext>
          </c:extLst>
        </c:ser>
        <c:ser>
          <c:idx val="34"/>
          <c:order val="34"/>
          <c:tx>
            <c:strRef>
              <c:f>'CPI Dispersion'!$BD$7:$BD$8</c:f>
              <c:strCache>
                <c:ptCount val="1"/>
                <c:pt idx="0">
                  <c:v>133</c:v>
                </c:pt>
              </c:strCache>
            </c:strRef>
          </c:tx>
          <c:spPr>
            <a:ln w="19050" cap="rnd">
              <a:solidFill>
                <a:schemeClr val="accent1">
                  <a:tint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Dispersion'!$BD$9:$BD$259</c:f>
              <c:numCache>
                <c:formatCode>General</c:formatCode>
                <c:ptCount val="251"/>
                <c:pt idx="9">
                  <c:v>3.7</c:v>
                </c:pt>
                <c:pt idx="13">
                  <c:v>3.7</c:v>
                </c:pt>
                <c:pt idx="18">
                  <c:v>3.7</c:v>
                </c:pt>
                <c:pt idx="35">
                  <c:v>3.7115999999999998</c:v>
                </c:pt>
                <c:pt idx="55">
                  <c:v>3.3601000000000001</c:v>
                </c:pt>
                <c:pt idx="61">
                  <c:v>3.2568999999999999</c:v>
                </c:pt>
                <c:pt idx="78">
                  <c:v>2.6707000000000001</c:v>
                </c:pt>
                <c:pt idx="95">
                  <c:v>2.4651000000000001</c:v>
                </c:pt>
                <c:pt idx="103">
                  <c:v>2.1884999999999999</c:v>
                </c:pt>
                <c:pt idx="107">
                  <c:v>1.9735</c:v>
                </c:pt>
                <c:pt idx="121">
                  <c:v>1.8304</c:v>
                </c:pt>
                <c:pt idx="127">
                  <c:v>1.8304</c:v>
                </c:pt>
                <c:pt idx="130">
                  <c:v>2.1671999999999998</c:v>
                </c:pt>
                <c:pt idx="140">
                  <c:v>1.8011999999999999</c:v>
                </c:pt>
                <c:pt idx="151">
                  <c:v>1.74</c:v>
                </c:pt>
                <c:pt idx="161">
                  <c:v>1.4968999999999999</c:v>
                </c:pt>
                <c:pt idx="166">
                  <c:v>1.4968999999999999</c:v>
                </c:pt>
                <c:pt idx="171">
                  <c:v>1.6083000000000001</c:v>
                </c:pt>
                <c:pt idx="176">
                  <c:v>1.6083000000000001</c:v>
                </c:pt>
                <c:pt idx="182">
                  <c:v>1.5475000000000001</c:v>
                </c:pt>
                <c:pt idx="191">
                  <c:v>1.6995</c:v>
                </c:pt>
                <c:pt idx="195">
                  <c:v>1.9538</c:v>
                </c:pt>
                <c:pt idx="200">
                  <c:v>2.1568000000000001</c:v>
                </c:pt>
                <c:pt idx="205">
                  <c:v>2.2284000000000002</c:v>
                </c:pt>
                <c:pt idx="210">
                  <c:v>2.2284000000000002</c:v>
                </c:pt>
                <c:pt idx="215">
                  <c:v>2.7690000000000001</c:v>
                </c:pt>
                <c:pt idx="220">
                  <c:v>2.7997000000000001</c:v>
                </c:pt>
                <c:pt idx="223">
                  <c:v>2.7997000000000001</c:v>
                </c:pt>
                <c:pt idx="224">
                  <c:v>2.9838</c:v>
                </c:pt>
                <c:pt idx="230">
                  <c:v>2.9838</c:v>
                </c:pt>
                <c:pt idx="239">
                  <c:v>3.3532000000000002</c:v>
                </c:pt>
                <c:pt idx="244">
                  <c:v>3.5074000000000001</c:v>
                </c:pt>
                <c:pt idx="248">
                  <c:v>3.7751000000000001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6C2-4110-BD50-F4D5132B5AF7}"/>
            </c:ext>
          </c:extLst>
        </c:ser>
        <c:ser>
          <c:idx val="35"/>
          <c:order val="35"/>
          <c:tx>
            <c:strRef>
              <c:f>'CPI Dispersion'!$BE$7:$BE$8</c:f>
              <c:strCache>
                <c:ptCount val="1"/>
                <c:pt idx="0">
                  <c:v>136</c:v>
                </c:pt>
              </c:strCache>
            </c:strRef>
          </c:tx>
          <c:spPr>
            <a:ln w="19050" cap="rnd">
              <a:solidFill>
                <a:schemeClr val="accent1">
                  <a:tint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Dispersion'!$BE$9:$BE$259</c:f>
              <c:numCache>
                <c:formatCode>General</c:formatCode>
                <c:ptCount val="251"/>
                <c:pt idx="11">
                  <c:v>3.4009999999999998</c:v>
                </c:pt>
                <c:pt idx="27">
                  <c:v>3.4944999999999999</c:v>
                </c:pt>
                <c:pt idx="37">
                  <c:v>3.5667</c:v>
                </c:pt>
                <c:pt idx="42">
                  <c:v>3.3292999999999999</c:v>
                </c:pt>
                <c:pt idx="71">
                  <c:v>2.9277000000000002</c:v>
                </c:pt>
                <c:pt idx="94">
                  <c:v>1.7722</c:v>
                </c:pt>
                <c:pt idx="102">
                  <c:v>1.5777000000000001</c:v>
                </c:pt>
                <c:pt idx="127">
                  <c:v>1.6682999999999999</c:v>
                </c:pt>
                <c:pt idx="131">
                  <c:v>1.7906</c:v>
                </c:pt>
                <c:pt idx="161">
                  <c:v>1.6689000000000001</c:v>
                </c:pt>
                <c:pt idx="162">
                  <c:v>1.6587000000000001</c:v>
                </c:pt>
                <c:pt idx="166">
                  <c:v>1.6182000000000001</c:v>
                </c:pt>
                <c:pt idx="177">
                  <c:v>1.7401</c:v>
                </c:pt>
                <c:pt idx="194">
                  <c:v>1.8633</c:v>
                </c:pt>
                <c:pt idx="204">
                  <c:v>2.3607999999999998</c:v>
                </c:pt>
                <c:pt idx="219">
                  <c:v>2.9430000000000001</c:v>
                </c:pt>
                <c:pt idx="224">
                  <c:v>3.3532000000000002</c:v>
                </c:pt>
                <c:pt idx="233">
                  <c:v>3.4765999999999999</c:v>
                </c:pt>
                <c:pt idx="242">
                  <c:v>3.6103999999999998</c:v>
                </c:pt>
                <c:pt idx="243">
                  <c:v>3.6103999999999998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6C2-4110-BD50-F4D5132B5AF7}"/>
            </c:ext>
          </c:extLst>
        </c:ser>
        <c:ser>
          <c:idx val="36"/>
          <c:order val="36"/>
          <c:tx>
            <c:strRef>
              <c:f>'CPI Dispersion'!$BF$7:$BF$8</c:f>
              <c:strCache>
                <c:ptCount val="1"/>
                <c:pt idx="0">
                  <c:v>137</c:v>
                </c:pt>
              </c:strCache>
            </c:strRef>
          </c:tx>
          <c:spPr>
            <a:ln w="19050" cap="rnd">
              <a:solidFill>
                <a:schemeClr val="accent1">
                  <a:tint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Dispersion'!$BF$9:$BF$259</c:f>
              <c:numCache>
                <c:formatCode>General</c:formatCode>
                <c:ptCount val="251"/>
                <c:pt idx="15">
                  <c:v>3.3088000000000002</c:v>
                </c:pt>
                <c:pt idx="26">
                  <c:v>3.3088000000000002</c:v>
                </c:pt>
                <c:pt idx="44">
                  <c:v>3.1543999999999999</c:v>
                </c:pt>
                <c:pt idx="63">
                  <c:v>3.0411000000000001</c:v>
                </c:pt>
                <c:pt idx="117">
                  <c:v>1.9943</c:v>
                </c:pt>
                <c:pt idx="131">
                  <c:v>2.0350999999999999</c:v>
                </c:pt>
                <c:pt idx="147">
                  <c:v>2.1877</c:v>
                </c:pt>
                <c:pt idx="154">
                  <c:v>2.0653000000000001</c:v>
                </c:pt>
                <c:pt idx="161">
                  <c:v>2.0653000000000001</c:v>
                </c:pt>
                <c:pt idx="180">
                  <c:v>1.9738</c:v>
                </c:pt>
                <c:pt idx="195">
                  <c:v>2.2183000000000002</c:v>
                </c:pt>
                <c:pt idx="215">
                  <c:v>2.5137999999999998</c:v>
                </c:pt>
                <c:pt idx="224">
                  <c:v>3.0758999999999999</c:v>
                </c:pt>
                <c:pt idx="243">
                  <c:v>3.4971999999999999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6C2-4110-BD50-F4D5132B5AF7}"/>
            </c:ext>
          </c:extLst>
        </c:ser>
        <c:ser>
          <c:idx val="37"/>
          <c:order val="37"/>
          <c:tx>
            <c:strRef>
              <c:f>'CPI Dispersion'!$BG$7:$BG$8</c:f>
              <c:strCache>
                <c:ptCount val="1"/>
                <c:pt idx="0">
                  <c:v>139</c:v>
                </c:pt>
              </c:strCache>
            </c:strRef>
          </c:tx>
          <c:spPr>
            <a:ln w="19050" cap="rnd">
              <a:solidFill>
                <a:schemeClr val="accent1">
                  <a:tint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Dispersion'!$BG$9:$BG$259</c:f>
              <c:numCache>
                <c:formatCode>General</c:formatCode>
                <c:ptCount val="251"/>
                <c:pt idx="3">
                  <c:v>3.8041999999999998</c:v>
                </c:pt>
                <c:pt idx="4">
                  <c:v>3.8041999999999998</c:v>
                </c:pt>
                <c:pt idx="13">
                  <c:v>3.8041999999999998</c:v>
                </c:pt>
                <c:pt idx="14">
                  <c:v>3.8147000000000002</c:v>
                </c:pt>
                <c:pt idx="27">
                  <c:v>3.8353999999999999</c:v>
                </c:pt>
                <c:pt idx="37">
                  <c:v>3.8043</c:v>
                </c:pt>
                <c:pt idx="41">
                  <c:v>3.6181999999999999</c:v>
                </c:pt>
                <c:pt idx="46">
                  <c:v>3.6181999999999999</c:v>
                </c:pt>
                <c:pt idx="57">
                  <c:v>3.4529000000000001</c:v>
                </c:pt>
                <c:pt idx="65">
                  <c:v>3.4426000000000001</c:v>
                </c:pt>
                <c:pt idx="69">
                  <c:v>3.2052999999999998</c:v>
                </c:pt>
                <c:pt idx="71">
                  <c:v>3.2982</c:v>
                </c:pt>
                <c:pt idx="86">
                  <c:v>2.0379</c:v>
                </c:pt>
                <c:pt idx="94">
                  <c:v>1.8331</c:v>
                </c:pt>
                <c:pt idx="102">
                  <c:v>1.5474000000000001</c:v>
                </c:pt>
                <c:pt idx="117">
                  <c:v>1.345</c:v>
                </c:pt>
                <c:pt idx="130">
                  <c:v>1.4972000000000001</c:v>
                </c:pt>
                <c:pt idx="131">
                  <c:v>1.4972000000000001</c:v>
                </c:pt>
                <c:pt idx="136">
                  <c:v>1.4972000000000001</c:v>
                </c:pt>
                <c:pt idx="141">
                  <c:v>1.6084000000000001</c:v>
                </c:pt>
                <c:pt idx="143">
                  <c:v>1.6084000000000001</c:v>
                </c:pt>
                <c:pt idx="145">
                  <c:v>1.6084000000000001</c:v>
                </c:pt>
                <c:pt idx="151">
                  <c:v>1.6084000000000001</c:v>
                </c:pt>
                <c:pt idx="160">
                  <c:v>1.8313999999999999</c:v>
                </c:pt>
                <c:pt idx="161">
                  <c:v>1.7605999999999999</c:v>
                </c:pt>
                <c:pt idx="166">
                  <c:v>1.7199</c:v>
                </c:pt>
                <c:pt idx="171">
                  <c:v>1.6996</c:v>
                </c:pt>
                <c:pt idx="180">
                  <c:v>1.9739</c:v>
                </c:pt>
                <c:pt idx="181">
                  <c:v>1.8824000000000001</c:v>
                </c:pt>
                <c:pt idx="186">
                  <c:v>1.8112999999999999</c:v>
                </c:pt>
                <c:pt idx="191">
                  <c:v>1.8419000000000001</c:v>
                </c:pt>
                <c:pt idx="195">
                  <c:v>1.903</c:v>
                </c:pt>
                <c:pt idx="200">
                  <c:v>2.0249000000000001</c:v>
                </c:pt>
                <c:pt idx="204">
                  <c:v>2.2284000000000002</c:v>
                </c:pt>
                <c:pt idx="215">
                  <c:v>2.7073999999999998</c:v>
                </c:pt>
                <c:pt idx="218">
                  <c:v>2.7073999999999998</c:v>
                </c:pt>
                <c:pt idx="219">
                  <c:v>2.7073999999999998</c:v>
                </c:pt>
                <c:pt idx="224">
                  <c:v>3.0144000000000002</c:v>
                </c:pt>
                <c:pt idx="233">
                  <c:v>3.5383</c:v>
                </c:pt>
                <c:pt idx="237">
                  <c:v>3.4971999999999999</c:v>
                </c:pt>
                <c:pt idx="238">
                  <c:v>3.4971999999999999</c:v>
                </c:pt>
                <c:pt idx="243">
                  <c:v>3.5794999999999999</c:v>
                </c:pt>
                <c:pt idx="248">
                  <c:v>3.7545000000000002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6C2-4110-BD50-F4D5132B5AF7}"/>
            </c:ext>
          </c:extLst>
        </c:ser>
        <c:ser>
          <c:idx val="38"/>
          <c:order val="38"/>
          <c:tx>
            <c:strRef>
              <c:f>'CPI Dispersion'!$BH$7:$BH$8</c:f>
              <c:strCache>
                <c:ptCount val="1"/>
                <c:pt idx="0">
                  <c:v>143</c:v>
                </c:pt>
              </c:strCache>
            </c:strRef>
          </c:tx>
          <c:spPr>
            <a:ln w="19050" cap="rnd">
              <a:solidFill>
                <a:schemeClr val="accent1">
                  <a:tint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Dispersion'!$BH$9:$BH$259</c:f>
              <c:numCache>
                <c:formatCode>General</c:formatCode>
                <c:ptCount val="251"/>
                <c:pt idx="0">
                  <c:v>3.5</c:v>
                </c:pt>
                <c:pt idx="4">
                  <c:v>3.5</c:v>
                </c:pt>
                <c:pt idx="7">
                  <c:v>3.5</c:v>
                </c:pt>
                <c:pt idx="10">
                  <c:v>3.5</c:v>
                </c:pt>
                <c:pt idx="23">
                  <c:v>3.5</c:v>
                </c:pt>
                <c:pt idx="32">
                  <c:v>3.5</c:v>
                </c:pt>
                <c:pt idx="37">
                  <c:v>3.0407000000000002</c:v>
                </c:pt>
                <c:pt idx="38">
                  <c:v>2.9790000000000001</c:v>
                </c:pt>
                <c:pt idx="55">
                  <c:v>2.5994000000000002</c:v>
                </c:pt>
                <c:pt idx="57">
                  <c:v>2.8864999999999998</c:v>
                </c:pt>
                <c:pt idx="71">
                  <c:v>2.589</c:v>
                </c:pt>
                <c:pt idx="89">
                  <c:v>1.9746999999999999</c:v>
                </c:pt>
                <c:pt idx="107">
                  <c:v>1.9742999999999999</c:v>
                </c:pt>
                <c:pt idx="115">
                  <c:v>1.4157</c:v>
                </c:pt>
                <c:pt idx="122">
                  <c:v>1.3851</c:v>
                </c:pt>
                <c:pt idx="123">
                  <c:v>1.4055</c:v>
                </c:pt>
                <c:pt idx="131">
                  <c:v>1.5071000000000001</c:v>
                </c:pt>
                <c:pt idx="149">
                  <c:v>1.5876999999999999</c:v>
                </c:pt>
                <c:pt idx="151">
                  <c:v>1.6180000000000001</c:v>
                </c:pt>
                <c:pt idx="161">
                  <c:v>1.5370999999999999</c:v>
                </c:pt>
                <c:pt idx="186">
                  <c:v>1.8824000000000001</c:v>
                </c:pt>
                <c:pt idx="223">
                  <c:v>3.0146999999999999</c:v>
                </c:pt>
                <c:pt idx="225">
                  <c:v>3.117</c:v>
                </c:pt>
                <c:pt idx="240">
                  <c:v>3.6412</c:v>
                </c:pt>
                <c:pt idx="243">
                  <c:v>3.6412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6C2-4110-BD50-F4D5132B5AF7}"/>
            </c:ext>
          </c:extLst>
        </c:ser>
        <c:ser>
          <c:idx val="39"/>
          <c:order val="39"/>
          <c:tx>
            <c:strRef>
              <c:f>'CPI Dispersion'!$BI$7:$BI$8</c:f>
              <c:strCache>
                <c:ptCount val="1"/>
                <c:pt idx="0">
                  <c:v>146</c:v>
                </c:pt>
              </c:strCache>
            </c:strRef>
          </c:tx>
          <c:spPr>
            <a:ln w="19050" cap="rnd">
              <a:solidFill>
                <a:schemeClr val="accent1">
                  <a:tint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Dispersion'!$BI$9:$BI$259</c:f>
              <c:numCache>
                <c:formatCode>General</c:formatCode>
                <c:ptCount val="251"/>
                <c:pt idx="4">
                  <c:v>3.7006999999999999</c:v>
                </c:pt>
                <c:pt idx="15">
                  <c:v>3.7006999999999999</c:v>
                </c:pt>
                <c:pt idx="37">
                  <c:v>3.5457999999999998</c:v>
                </c:pt>
                <c:pt idx="42">
                  <c:v>3.4013</c:v>
                </c:pt>
                <c:pt idx="57">
                  <c:v>3.2467000000000001</c:v>
                </c:pt>
                <c:pt idx="71">
                  <c:v>2.9382999999999999</c:v>
                </c:pt>
                <c:pt idx="81">
                  <c:v>2.5282</c:v>
                </c:pt>
                <c:pt idx="94">
                  <c:v>1.8728</c:v>
                </c:pt>
                <c:pt idx="95">
                  <c:v>1.8728</c:v>
                </c:pt>
                <c:pt idx="102">
                  <c:v>1.8821000000000001</c:v>
                </c:pt>
                <c:pt idx="131">
                  <c:v>1.821</c:v>
                </c:pt>
                <c:pt idx="161">
                  <c:v>1.7402</c:v>
                </c:pt>
                <c:pt idx="166">
                  <c:v>1.74</c:v>
                </c:pt>
                <c:pt idx="170">
                  <c:v>1.74</c:v>
                </c:pt>
                <c:pt idx="176">
                  <c:v>1.7907</c:v>
                </c:pt>
                <c:pt idx="195">
                  <c:v>1.9537</c:v>
                </c:pt>
                <c:pt idx="205">
                  <c:v>1.9537</c:v>
                </c:pt>
                <c:pt idx="224">
                  <c:v>2.9940000000000002</c:v>
                </c:pt>
                <c:pt idx="232">
                  <c:v>2.9940000000000002</c:v>
                </c:pt>
                <c:pt idx="243">
                  <c:v>3.5486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6C2-4110-BD50-F4D5132B5AF7}"/>
            </c:ext>
          </c:extLst>
        </c:ser>
        <c:ser>
          <c:idx val="40"/>
          <c:order val="40"/>
          <c:tx>
            <c:strRef>
              <c:f>'CPI Dispersion'!$BJ$7:$BJ$8</c:f>
              <c:strCache>
                <c:ptCount val="1"/>
                <c:pt idx="0">
                  <c:v>147</c:v>
                </c:pt>
              </c:strCache>
            </c:strRef>
          </c:tx>
          <c:spPr>
            <a:ln w="19050" cap="rnd">
              <a:solidFill>
                <a:schemeClr val="accent1">
                  <a:tint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Dispersion'!$BJ$9:$BJ$259</c:f>
              <c:numCache>
                <c:formatCode>General</c:formatCode>
                <c:ptCount val="251"/>
                <c:pt idx="0">
                  <c:v>3.6585999999999999</c:v>
                </c:pt>
                <c:pt idx="2">
                  <c:v>3.6585999999999999</c:v>
                </c:pt>
                <c:pt idx="3">
                  <c:v>3.6585999999999999</c:v>
                </c:pt>
                <c:pt idx="4">
                  <c:v>3.6585999999999999</c:v>
                </c:pt>
                <c:pt idx="22">
                  <c:v>3.7204999999999999</c:v>
                </c:pt>
                <c:pt idx="25">
                  <c:v>3.6173999999999999</c:v>
                </c:pt>
                <c:pt idx="27">
                  <c:v>3.5760999999999998</c:v>
                </c:pt>
                <c:pt idx="28">
                  <c:v>3.5451999999999999</c:v>
                </c:pt>
                <c:pt idx="29">
                  <c:v>3.4626999999999999</c:v>
                </c:pt>
                <c:pt idx="30">
                  <c:v>3.4214000000000002</c:v>
                </c:pt>
                <c:pt idx="31">
                  <c:v>3.4525000000000001</c:v>
                </c:pt>
                <c:pt idx="33">
                  <c:v>3.4216000000000002</c:v>
                </c:pt>
                <c:pt idx="35">
                  <c:v>3.3388</c:v>
                </c:pt>
                <c:pt idx="36">
                  <c:v>3.3902999999999999</c:v>
                </c:pt>
                <c:pt idx="37">
                  <c:v>3.4007999999999998</c:v>
                </c:pt>
                <c:pt idx="38">
                  <c:v>3.4007999999999998</c:v>
                </c:pt>
                <c:pt idx="40">
                  <c:v>3.4007999999999998</c:v>
                </c:pt>
                <c:pt idx="41">
                  <c:v>3.37</c:v>
                </c:pt>
                <c:pt idx="42">
                  <c:v>3.2564000000000002</c:v>
                </c:pt>
                <c:pt idx="43">
                  <c:v>3.2254</c:v>
                </c:pt>
                <c:pt idx="61">
                  <c:v>2.9379</c:v>
                </c:pt>
                <c:pt idx="65">
                  <c:v>2.61</c:v>
                </c:pt>
                <c:pt idx="67">
                  <c:v>2.4567000000000001</c:v>
                </c:pt>
                <c:pt idx="69">
                  <c:v>2.5589</c:v>
                </c:pt>
                <c:pt idx="71">
                  <c:v>2.9586000000000001</c:v>
                </c:pt>
                <c:pt idx="88">
                  <c:v>1.8130999999999999</c:v>
                </c:pt>
                <c:pt idx="92">
                  <c:v>1.8019000000000001</c:v>
                </c:pt>
                <c:pt idx="99">
                  <c:v>1.8019000000000001</c:v>
                </c:pt>
                <c:pt idx="100">
                  <c:v>1.7597</c:v>
                </c:pt>
                <c:pt idx="105">
                  <c:v>1.1021000000000001</c:v>
                </c:pt>
                <c:pt idx="112">
                  <c:v>1.1322000000000001</c:v>
                </c:pt>
                <c:pt idx="115">
                  <c:v>1.3039000000000001</c:v>
                </c:pt>
                <c:pt idx="117">
                  <c:v>1.1418999999999999</c:v>
                </c:pt>
                <c:pt idx="125">
                  <c:v>1.1418999999999999</c:v>
                </c:pt>
                <c:pt idx="127">
                  <c:v>1.0015000000000001</c:v>
                </c:pt>
                <c:pt idx="141">
                  <c:v>1.1327</c:v>
                </c:pt>
                <c:pt idx="156">
                  <c:v>1.1426000000000001</c:v>
                </c:pt>
                <c:pt idx="162">
                  <c:v>0.99170000000000003</c:v>
                </c:pt>
                <c:pt idx="170">
                  <c:v>1.0321</c:v>
                </c:pt>
                <c:pt idx="171">
                  <c:v>1.0623</c:v>
                </c:pt>
                <c:pt idx="176">
                  <c:v>1.0623</c:v>
                </c:pt>
                <c:pt idx="184">
                  <c:v>1.0017</c:v>
                </c:pt>
                <c:pt idx="186">
                  <c:v>1.0219</c:v>
                </c:pt>
                <c:pt idx="191">
                  <c:v>1.0117</c:v>
                </c:pt>
                <c:pt idx="194">
                  <c:v>1.1489</c:v>
                </c:pt>
                <c:pt idx="201">
                  <c:v>1.5670999999999999</c:v>
                </c:pt>
                <c:pt idx="204">
                  <c:v>1.831</c:v>
                </c:pt>
                <c:pt idx="212">
                  <c:v>2.0335999999999999</c:v>
                </c:pt>
                <c:pt idx="215">
                  <c:v>2.3389000000000002</c:v>
                </c:pt>
                <c:pt idx="224">
                  <c:v>2.8090000000000002</c:v>
                </c:pt>
                <c:pt idx="230">
                  <c:v>2.7988</c:v>
                </c:pt>
                <c:pt idx="233">
                  <c:v>3.1374</c:v>
                </c:pt>
                <c:pt idx="245">
                  <c:v>4.0018000000000002</c:v>
                </c:pt>
                <c:pt idx="249">
                  <c:v>4.0224000000000002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6C2-4110-BD50-F4D5132B5AF7}"/>
            </c:ext>
          </c:extLst>
        </c:ser>
        <c:ser>
          <c:idx val="41"/>
          <c:order val="41"/>
          <c:tx>
            <c:strRef>
              <c:f>'CPI Dispersion'!$BK$7:$BK$8</c:f>
              <c:strCache>
                <c:ptCount val="1"/>
                <c:pt idx="0">
                  <c:v>150</c:v>
                </c:pt>
              </c:strCache>
            </c:strRef>
          </c:tx>
          <c:spPr>
            <a:ln w="19050" cap="rnd">
              <a:solidFill>
                <a:schemeClr val="accent1">
                  <a:tint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Dispersion'!$BK$9:$BK$259</c:f>
              <c:numCache>
                <c:formatCode>General</c:formatCode>
                <c:ptCount val="251"/>
                <c:pt idx="4">
                  <c:v>3.8315000000000001</c:v>
                </c:pt>
                <c:pt idx="9">
                  <c:v>3.8315000000000001</c:v>
                </c:pt>
                <c:pt idx="18">
                  <c:v>3.8315000000000001</c:v>
                </c:pt>
                <c:pt idx="21">
                  <c:v>3.8315000000000001</c:v>
                </c:pt>
                <c:pt idx="27">
                  <c:v>4.1417999999999999</c:v>
                </c:pt>
                <c:pt idx="32">
                  <c:v>4.1417999999999999</c:v>
                </c:pt>
                <c:pt idx="37">
                  <c:v>4.1417999999999999</c:v>
                </c:pt>
                <c:pt idx="41">
                  <c:v>4.0384000000000002</c:v>
                </c:pt>
                <c:pt idx="47">
                  <c:v>3.6432000000000002</c:v>
                </c:pt>
                <c:pt idx="52">
                  <c:v>3.6432000000000002</c:v>
                </c:pt>
                <c:pt idx="57">
                  <c:v>3.6429999999999998</c:v>
                </c:pt>
                <c:pt idx="61">
                  <c:v>3.6429999999999998</c:v>
                </c:pt>
                <c:pt idx="66">
                  <c:v>3.6429999999999998</c:v>
                </c:pt>
                <c:pt idx="71">
                  <c:v>3.5943000000000001</c:v>
                </c:pt>
                <c:pt idx="72">
                  <c:v>3.5943000000000001</c:v>
                </c:pt>
                <c:pt idx="88">
                  <c:v>3.5943000000000001</c:v>
                </c:pt>
                <c:pt idx="94">
                  <c:v>2.5305</c:v>
                </c:pt>
                <c:pt idx="98">
                  <c:v>2.5</c:v>
                </c:pt>
                <c:pt idx="107">
                  <c:v>1.6933</c:v>
                </c:pt>
                <c:pt idx="112">
                  <c:v>1.5913999999999999</c:v>
                </c:pt>
                <c:pt idx="117">
                  <c:v>1.5302</c:v>
                </c:pt>
                <c:pt idx="126">
                  <c:v>1.5302</c:v>
                </c:pt>
                <c:pt idx="141">
                  <c:v>1.4066000000000001</c:v>
                </c:pt>
                <c:pt idx="146">
                  <c:v>1.4066000000000001</c:v>
                </c:pt>
                <c:pt idx="151">
                  <c:v>1.899</c:v>
                </c:pt>
                <c:pt idx="156">
                  <c:v>1.899</c:v>
                </c:pt>
                <c:pt idx="161">
                  <c:v>1.899</c:v>
                </c:pt>
                <c:pt idx="166">
                  <c:v>1.899</c:v>
                </c:pt>
                <c:pt idx="171">
                  <c:v>1.8463000000000001</c:v>
                </c:pt>
                <c:pt idx="176">
                  <c:v>1.8463000000000001</c:v>
                </c:pt>
                <c:pt idx="181">
                  <c:v>1.9479</c:v>
                </c:pt>
                <c:pt idx="185">
                  <c:v>2.0466000000000002</c:v>
                </c:pt>
                <c:pt idx="194">
                  <c:v>2.0030999999999999</c:v>
                </c:pt>
                <c:pt idx="205">
                  <c:v>2.0398999999999998</c:v>
                </c:pt>
                <c:pt idx="210">
                  <c:v>2.0398999999999998</c:v>
                </c:pt>
                <c:pt idx="214">
                  <c:v>2.0398999999999998</c:v>
                </c:pt>
                <c:pt idx="219">
                  <c:v>2.6501999999999999</c:v>
                </c:pt>
                <c:pt idx="224">
                  <c:v>2.7521</c:v>
                </c:pt>
                <c:pt idx="228">
                  <c:v>2.7521</c:v>
                </c:pt>
                <c:pt idx="233">
                  <c:v>3.1072000000000002</c:v>
                </c:pt>
                <c:pt idx="237">
                  <c:v>3.1072000000000002</c:v>
                </c:pt>
                <c:pt idx="238">
                  <c:v>3.3128000000000002</c:v>
                </c:pt>
                <c:pt idx="242">
                  <c:v>3.4032</c:v>
                </c:pt>
                <c:pt idx="243">
                  <c:v>3.4032</c:v>
                </c:pt>
                <c:pt idx="247">
                  <c:v>3.4710000000000001</c:v>
                </c:pt>
                <c:pt idx="248">
                  <c:v>3.4710000000000001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6C2-4110-BD50-F4D5132B5AF7}"/>
            </c:ext>
          </c:extLst>
        </c:ser>
        <c:ser>
          <c:idx val="42"/>
          <c:order val="42"/>
          <c:tx>
            <c:strRef>
              <c:f>'CPI Dispersion'!$BL$7:$BL$8</c:f>
              <c:strCache>
                <c:ptCount val="1"/>
                <c:pt idx="0">
                  <c:v>153</c:v>
                </c:pt>
              </c:strCache>
            </c:strRef>
          </c:tx>
          <c:spPr>
            <a:ln w="19050" cap="rnd">
              <a:solidFill>
                <a:schemeClr val="accent1">
                  <a:tint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Dispersion'!$BL$9:$BL$259</c:f>
              <c:numCache>
                <c:formatCode>General</c:formatCode>
                <c:ptCount val="251"/>
                <c:pt idx="59">
                  <c:v>3.3603999999999998</c:v>
                </c:pt>
                <c:pt idx="80">
                  <c:v>2.5385</c:v>
                </c:pt>
                <c:pt idx="92">
                  <c:v>2.3536000000000001</c:v>
                </c:pt>
                <c:pt idx="130">
                  <c:v>1.5478000000000001</c:v>
                </c:pt>
                <c:pt idx="141">
                  <c:v>1.6796</c:v>
                </c:pt>
                <c:pt idx="177">
                  <c:v>1.7707999999999999</c:v>
                </c:pt>
                <c:pt idx="239">
                  <c:v>3.2915999999999999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6C2-4110-BD50-F4D5132B5AF7}"/>
            </c:ext>
          </c:extLst>
        </c:ser>
        <c:ser>
          <c:idx val="43"/>
          <c:order val="43"/>
          <c:tx>
            <c:strRef>
              <c:f>'CPI Dispersion'!$BM$7:$BM$8</c:f>
              <c:strCache>
                <c:ptCount val="1"/>
                <c:pt idx="0">
                  <c:v>156</c:v>
                </c:pt>
              </c:strCache>
            </c:strRef>
          </c:tx>
          <c:spPr>
            <a:ln w="19050" cap="rnd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Dispersion'!$BM$9:$BM$259</c:f>
              <c:numCache>
                <c:formatCode>General</c:formatCode>
                <c:ptCount val="251"/>
                <c:pt idx="4">
                  <c:v>3.4529000000000001</c:v>
                </c:pt>
                <c:pt idx="18">
                  <c:v>3.7315</c:v>
                </c:pt>
                <c:pt idx="38">
                  <c:v>3.7315</c:v>
                </c:pt>
                <c:pt idx="42">
                  <c:v>3.5768</c:v>
                </c:pt>
                <c:pt idx="47">
                  <c:v>3.4944000000000002</c:v>
                </c:pt>
                <c:pt idx="52">
                  <c:v>3.4944000000000002</c:v>
                </c:pt>
                <c:pt idx="61">
                  <c:v>3.5047999999999999</c:v>
                </c:pt>
                <c:pt idx="66">
                  <c:v>3.3088000000000002</c:v>
                </c:pt>
                <c:pt idx="71">
                  <c:v>3.2366999999999999</c:v>
                </c:pt>
                <c:pt idx="76">
                  <c:v>3.2366999999999999</c:v>
                </c:pt>
                <c:pt idx="81">
                  <c:v>3.1436999999999999</c:v>
                </c:pt>
                <c:pt idx="97">
                  <c:v>2.4857</c:v>
                </c:pt>
                <c:pt idx="100">
                  <c:v>2.5880999999999998</c:v>
                </c:pt>
                <c:pt idx="107">
                  <c:v>2.0350999999999999</c:v>
                </c:pt>
                <c:pt idx="112">
                  <c:v>1.9742999999999999</c:v>
                </c:pt>
                <c:pt idx="127">
                  <c:v>2.1573000000000002</c:v>
                </c:pt>
                <c:pt idx="141">
                  <c:v>2.1164999999999998</c:v>
                </c:pt>
                <c:pt idx="151">
                  <c:v>2.1164999999999998</c:v>
                </c:pt>
                <c:pt idx="161">
                  <c:v>2.1164999999999998</c:v>
                </c:pt>
                <c:pt idx="166">
                  <c:v>2.1164999999999998</c:v>
                </c:pt>
                <c:pt idx="176">
                  <c:v>2.1265999999999998</c:v>
                </c:pt>
                <c:pt idx="186">
                  <c:v>2.1164000000000001</c:v>
                </c:pt>
                <c:pt idx="191">
                  <c:v>2.0756999999999999</c:v>
                </c:pt>
                <c:pt idx="193">
                  <c:v>2.1164000000000001</c:v>
                </c:pt>
                <c:pt idx="200">
                  <c:v>2.1166</c:v>
                </c:pt>
                <c:pt idx="215">
                  <c:v>2.5648</c:v>
                </c:pt>
                <c:pt idx="219">
                  <c:v>2.8102</c:v>
                </c:pt>
                <c:pt idx="223">
                  <c:v>2.8102</c:v>
                </c:pt>
                <c:pt idx="235">
                  <c:v>3.1375000000000002</c:v>
                </c:pt>
                <c:pt idx="248">
                  <c:v>3.5485000000000002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6C2-4110-BD50-F4D5132B5AF7}"/>
            </c:ext>
          </c:extLst>
        </c:ser>
        <c:ser>
          <c:idx val="44"/>
          <c:order val="44"/>
          <c:tx>
            <c:strRef>
              <c:f>'CPI Dispersion'!$BN$7:$BN$8</c:f>
              <c:strCache>
                <c:ptCount val="1"/>
                <c:pt idx="0">
                  <c:v>157</c:v>
                </c:pt>
              </c:strCache>
            </c:strRef>
          </c:tx>
          <c:spPr>
            <a:ln w="19050" cap="rnd">
              <a:solidFill>
                <a:schemeClr val="accent1">
                  <a:tint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Dispersion'!$BN$9:$BN$259</c:f>
              <c:numCache>
                <c:formatCode>General</c:formatCode>
                <c:ptCount val="251"/>
                <c:pt idx="3">
                  <c:v>3.85</c:v>
                </c:pt>
                <c:pt idx="12">
                  <c:v>3.85</c:v>
                </c:pt>
                <c:pt idx="24">
                  <c:v>3.81</c:v>
                </c:pt>
                <c:pt idx="29">
                  <c:v>3.81</c:v>
                </c:pt>
                <c:pt idx="38">
                  <c:v>3.7</c:v>
                </c:pt>
                <c:pt idx="48">
                  <c:v>3.5</c:v>
                </c:pt>
                <c:pt idx="53">
                  <c:v>3.5</c:v>
                </c:pt>
                <c:pt idx="67">
                  <c:v>3.3</c:v>
                </c:pt>
                <c:pt idx="86">
                  <c:v>3.1</c:v>
                </c:pt>
                <c:pt idx="100">
                  <c:v>2.5</c:v>
                </c:pt>
                <c:pt idx="105">
                  <c:v>2.5</c:v>
                </c:pt>
                <c:pt idx="108">
                  <c:v>2</c:v>
                </c:pt>
                <c:pt idx="124">
                  <c:v>1.6</c:v>
                </c:pt>
                <c:pt idx="140">
                  <c:v>1.6</c:v>
                </c:pt>
                <c:pt idx="147">
                  <c:v>1.6</c:v>
                </c:pt>
                <c:pt idx="155">
                  <c:v>1.7</c:v>
                </c:pt>
                <c:pt idx="159">
                  <c:v>1.7</c:v>
                </c:pt>
                <c:pt idx="177">
                  <c:v>1.7</c:v>
                </c:pt>
                <c:pt idx="186">
                  <c:v>1.7404999999999999</c:v>
                </c:pt>
                <c:pt idx="189">
                  <c:v>1.7404999999999999</c:v>
                </c:pt>
                <c:pt idx="195">
                  <c:v>1.8624000000000001</c:v>
                </c:pt>
                <c:pt idx="203">
                  <c:v>2.1164000000000001</c:v>
                </c:pt>
                <c:pt idx="206">
                  <c:v>2.0655999999999999</c:v>
                </c:pt>
                <c:pt idx="215">
                  <c:v>2.4626999999999999</c:v>
                </c:pt>
                <c:pt idx="221">
                  <c:v>2.4729000000000001</c:v>
                </c:pt>
                <c:pt idx="225">
                  <c:v>3.0043000000000002</c:v>
                </c:pt>
                <c:pt idx="233">
                  <c:v>3.3942999999999999</c:v>
                </c:pt>
                <c:pt idx="234">
                  <c:v>3.3942999999999999</c:v>
                </c:pt>
                <c:pt idx="248">
                  <c:v>3.6514000000000002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6C2-4110-BD50-F4D5132B5AF7}"/>
            </c:ext>
          </c:extLst>
        </c:ser>
        <c:ser>
          <c:idx val="45"/>
          <c:order val="45"/>
          <c:tx>
            <c:strRef>
              <c:f>'CPI Dispersion'!$BO$7:$BO$8</c:f>
              <c:strCache>
                <c:ptCount val="1"/>
                <c:pt idx="0">
                  <c:v>161</c:v>
                </c:pt>
              </c:strCache>
            </c:strRef>
          </c:tx>
          <c:spPr>
            <a:ln w="19050" cap="rnd">
              <a:solidFill>
                <a:schemeClr val="accent1">
                  <a:tint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Dispersion'!$BO$9:$BO$259</c:f>
              <c:numCache>
                <c:formatCode>General</c:formatCode>
                <c:ptCount val="251"/>
                <c:pt idx="160">
                  <c:v>1.8109</c:v>
                </c:pt>
                <c:pt idx="161">
                  <c:v>1.6692</c:v>
                </c:pt>
                <c:pt idx="171">
                  <c:v>1.5576000000000001</c:v>
                </c:pt>
                <c:pt idx="176">
                  <c:v>1.6386000000000001</c:v>
                </c:pt>
                <c:pt idx="181">
                  <c:v>1.9435</c:v>
                </c:pt>
                <c:pt idx="187">
                  <c:v>1.8521000000000001</c:v>
                </c:pt>
                <c:pt idx="191">
                  <c:v>1.7403999999999999</c:v>
                </c:pt>
                <c:pt idx="195">
                  <c:v>2.0148000000000001</c:v>
                </c:pt>
                <c:pt idx="200">
                  <c:v>2.0554000000000001</c:v>
                </c:pt>
                <c:pt idx="205">
                  <c:v>2.5547</c:v>
                </c:pt>
                <c:pt idx="210">
                  <c:v>2.5956000000000001</c:v>
                </c:pt>
                <c:pt idx="215">
                  <c:v>2.9430000000000001</c:v>
                </c:pt>
                <c:pt idx="219">
                  <c:v>3.0249000000000001</c:v>
                </c:pt>
                <c:pt idx="224">
                  <c:v>3.24</c:v>
                </c:pt>
                <c:pt idx="229">
                  <c:v>3.2810999999999999</c:v>
                </c:pt>
                <c:pt idx="233">
                  <c:v>3.2812999999999999</c:v>
                </c:pt>
                <c:pt idx="238">
                  <c:v>3.4458000000000002</c:v>
                </c:pt>
                <c:pt idx="243">
                  <c:v>3.5486</c:v>
                </c:pt>
                <c:pt idx="248">
                  <c:v>3.8677999999999999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6C2-4110-BD50-F4D5132B5AF7}"/>
            </c:ext>
          </c:extLst>
        </c:ser>
        <c:ser>
          <c:idx val="46"/>
          <c:order val="46"/>
          <c:tx>
            <c:strRef>
              <c:f>'CPI Dispersion'!$BP$7:$BP$8</c:f>
              <c:strCache>
                <c:ptCount val="1"/>
                <c:pt idx="0">
                  <c:v>164</c:v>
                </c:pt>
              </c:strCache>
            </c:strRef>
          </c:tx>
          <c:spPr>
            <a:ln w="19050" cap="rnd">
              <a:solidFill>
                <a:schemeClr val="accent1">
                  <a:tint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Dispersion'!$BP$9:$BP$259</c:f>
              <c:numCache>
                <c:formatCode>General</c:formatCode>
                <c:ptCount val="251"/>
                <c:pt idx="4">
                  <c:v>3.6903000000000001</c:v>
                </c:pt>
                <c:pt idx="24">
                  <c:v>3.7313999999999998</c:v>
                </c:pt>
                <c:pt idx="52">
                  <c:v>3.5457000000000001</c:v>
                </c:pt>
                <c:pt idx="64">
                  <c:v>3.5457000000000001</c:v>
                </c:pt>
                <c:pt idx="171">
                  <c:v>1.8112999999999999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6C2-4110-BD50-F4D5132B5AF7}"/>
            </c:ext>
          </c:extLst>
        </c:ser>
        <c:ser>
          <c:idx val="47"/>
          <c:order val="47"/>
          <c:tx>
            <c:strRef>
              <c:f>'CPI Dispersion'!$BQ$7:$BQ$8</c:f>
              <c:strCache>
                <c:ptCount val="1"/>
                <c:pt idx="0">
                  <c:v>171</c:v>
                </c:pt>
              </c:strCache>
            </c:strRef>
          </c:tx>
          <c:spPr>
            <a:ln w="19050" cap="rnd">
              <a:solidFill>
                <a:schemeClr val="accent1">
                  <a:tint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Dispersion'!$BQ$9:$BQ$259</c:f>
              <c:numCache>
                <c:formatCode>General</c:formatCode>
                <c:ptCount val="251"/>
                <c:pt idx="3">
                  <c:v>3.5144000000000002</c:v>
                </c:pt>
                <c:pt idx="4">
                  <c:v>3.5144000000000002</c:v>
                </c:pt>
                <c:pt idx="10">
                  <c:v>3.4628000000000001</c:v>
                </c:pt>
                <c:pt idx="12">
                  <c:v>3.4628000000000001</c:v>
                </c:pt>
                <c:pt idx="14">
                  <c:v>3.6071</c:v>
                </c:pt>
                <c:pt idx="18">
                  <c:v>3.5661</c:v>
                </c:pt>
                <c:pt idx="28">
                  <c:v>3.4426999999999999</c:v>
                </c:pt>
                <c:pt idx="37">
                  <c:v>3.2159</c:v>
                </c:pt>
                <c:pt idx="42">
                  <c:v>3.1953</c:v>
                </c:pt>
                <c:pt idx="45">
                  <c:v>3.1848999999999998</c:v>
                </c:pt>
                <c:pt idx="46">
                  <c:v>3.1848999999999998</c:v>
                </c:pt>
                <c:pt idx="48">
                  <c:v>3.0306000000000002</c:v>
                </c:pt>
                <c:pt idx="52">
                  <c:v>3.0306000000000002</c:v>
                </c:pt>
                <c:pt idx="57">
                  <c:v>3.0716999999999999</c:v>
                </c:pt>
                <c:pt idx="61">
                  <c:v>3.0512999999999999</c:v>
                </c:pt>
                <c:pt idx="71">
                  <c:v>2.6305000000000001</c:v>
                </c:pt>
                <c:pt idx="89">
                  <c:v>1.6901999999999999</c:v>
                </c:pt>
                <c:pt idx="94">
                  <c:v>1.6088</c:v>
                </c:pt>
                <c:pt idx="102">
                  <c:v>1.4458</c:v>
                </c:pt>
                <c:pt idx="107">
                  <c:v>1.4155</c:v>
                </c:pt>
                <c:pt idx="130">
                  <c:v>1.4970000000000001</c:v>
                </c:pt>
                <c:pt idx="131">
                  <c:v>1.5071000000000001</c:v>
                </c:pt>
                <c:pt idx="151">
                  <c:v>1.5673999999999999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6C2-4110-BD50-F4D5132B5AF7}"/>
            </c:ext>
          </c:extLst>
        </c:ser>
        <c:ser>
          <c:idx val="48"/>
          <c:order val="48"/>
          <c:tx>
            <c:strRef>
              <c:f>'CPI Dispersion'!$BR$7:$BR$8</c:f>
              <c:strCache>
                <c:ptCount val="1"/>
                <c:pt idx="0">
                  <c:v>175</c:v>
                </c:pt>
              </c:strCache>
            </c:strRef>
          </c:tx>
          <c:spPr>
            <a:ln w="19050" cap="rnd">
              <a:solidFill>
                <a:schemeClr val="accent1">
                  <a:tint val="8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Dispersion'!$BR$9:$BR$259</c:f>
              <c:numCache>
                <c:formatCode>General</c:formatCode>
                <c:ptCount val="251"/>
                <c:pt idx="186">
                  <c:v>1.639</c:v>
                </c:pt>
                <c:pt idx="194">
                  <c:v>1.7506999999999999</c:v>
                </c:pt>
                <c:pt idx="219">
                  <c:v>2.2078000000000002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6C2-4110-BD50-F4D5132B5AF7}"/>
            </c:ext>
          </c:extLst>
        </c:ser>
        <c:ser>
          <c:idx val="49"/>
          <c:order val="49"/>
          <c:tx>
            <c:strRef>
              <c:f>'CPI Dispersion'!$BS$7:$BS$8</c:f>
              <c:strCache>
                <c:ptCount val="1"/>
                <c:pt idx="0">
                  <c:v>176</c:v>
                </c:pt>
              </c:strCache>
            </c:strRef>
          </c:tx>
          <c:spPr>
            <a:ln w="19050" cap="rnd">
              <a:solidFill>
                <a:schemeClr val="accent1">
                  <a:tint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Dispersion'!$BS$9:$BS$259</c:f>
              <c:numCache>
                <c:formatCode>General</c:formatCode>
                <c:ptCount val="251"/>
                <c:pt idx="0">
                  <c:v>3.5564</c:v>
                </c:pt>
                <c:pt idx="3">
                  <c:v>3.5564</c:v>
                </c:pt>
                <c:pt idx="6">
                  <c:v>3.5564</c:v>
                </c:pt>
                <c:pt idx="34">
                  <c:v>3.5253000000000001</c:v>
                </c:pt>
                <c:pt idx="36">
                  <c:v>3.5562999999999998</c:v>
                </c:pt>
                <c:pt idx="37">
                  <c:v>3.4321000000000002</c:v>
                </c:pt>
                <c:pt idx="38">
                  <c:v>3.4321000000000002</c:v>
                </c:pt>
                <c:pt idx="39">
                  <c:v>3.3</c:v>
                </c:pt>
                <c:pt idx="53">
                  <c:v>3.1436999999999999</c:v>
                </c:pt>
                <c:pt idx="57">
                  <c:v>3.1539999999999999</c:v>
                </c:pt>
                <c:pt idx="61">
                  <c:v>3.1128</c:v>
                </c:pt>
                <c:pt idx="66">
                  <c:v>3.1128</c:v>
                </c:pt>
                <c:pt idx="67">
                  <c:v>3.1231</c:v>
                </c:pt>
                <c:pt idx="71">
                  <c:v>3.4220000000000002</c:v>
                </c:pt>
                <c:pt idx="79">
                  <c:v>2.8353999999999999</c:v>
                </c:pt>
                <c:pt idx="87">
                  <c:v>2.6817000000000002</c:v>
                </c:pt>
                <c:pt idx="91">
                  <c:v>2.2621000000000002</c:v>
                </c:pt>
                <c:pt idx="95">
                  <c:v>1.9248000000000001</c:v>
                </c:pt>
                <c:pt idx="99">
                  <c:v>1.9238999999999999</c:v>
                </c:pt>
                <c:pt idx="102">
                  <c:v>1.8935999999999999</c:v>
                </c:pt>
                <c:pt idx="111">
                  <c:v>1.6989000000000001</c:v>
                </c:pt>
                <c:pt idx="120">
                  <c:v>1.2937000000000001</c:v>
                </c:pt>
                <c:pt idx="132">
                  <c:v>1.4361999999999999</c:v>
                </c:pt>
                <c:pt idx="148">
                  <c:v>1.6996</c:v>
                </c:pt>
                <c:pt idx="160">
                  <c:v>1.659</c:v>
                </c:pt>
                <c:pt idx="194">
                  <c:v>2.0148000000000001</c:v>
                </c:pt>
                <c:pt idx="218">
                  <c:v>2.718</c:v>
                </c:pt>
                <c:pt idx="223">
                  <c:v>2.718</c:v>
                </c:pt>
                <c:pt idx="233">
                  <c:v>2.8203999999999998</c:v>
                </c:pt>
                <c:pt idx="242">
                  <c:v>3.3121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6C2-4110-BD50-F4D5132B5AF7}"/>
            </c:ext>
          </c:extLst>
        </c:ser>
        <c:ser>
          <c:idx val="50"/>
          <c:order val="50"/>
          <c:tx>
            <c:strRef>
              <c:f>'CPI Dispersion'!$BT$7:$BT$8</c:f>
              <c:strCache>
                <c:ptCount val="1"/>
                <c:pt idx="0">
                  <c:v>177</c:v>
                </c:pt>
              </c:strCache>
            </c:strRef>
          </c:tx>
          <c:spPr>
            <a:ln w="19050" cap="rnd">
              <a:solidFill>
                <a:schemeClr val="accent1">
                  <a:tint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Dispersion'!$BT$9:$BT$259</c:f>
              <c:numCache>
                <c:formatCode>General</c:formatCode>
                <c:ptCount val="251"/>
                <c:pt idx="12">
                  <c:v>3.6798000000000002</c:v>
                </c:pt>
                <c:pt idx="14">
                  <c:v>3.6798000000000002</c:v>
                </c:pt>
                <c:pt idx="38">
                  <c:v>3.7315999999999998</c:v>
                </c:pt>
                <c:pt idx="52">
                  <c:v>3.5663</c:v>
                </c:pt>
                <c:pt idx="66">
                  <c:v>3.3184999999999998</c:v>
                </c:pt>
                <c:pt idx="89">
                  <c:v>2.9055</c:v>
                </c:pt>
                <c:pt idx="107">
                  <c:v>2.0047000000000001</c:v>
                </c:pt>
                <c:pt idx="131">
                  <c:v>1.8059000000000001</c:v>
                </c:pt>
                <c:pt idx="141">
                  <c:v>1.9888999999999999</c:v>
                </c:pt>
                <c:pt idx="161">
                  <c:v>2.0042</c:v>
                </c:pt>
                <c:pt idx="186">
                  <c:v>2.0956999999999999</c:v>
                </c:pt>
                <c:pt idx="210">
                  <c:v>2.1977000000000002</c:v>
                </c:pt>
                <c:pt idx="219">
                  <c:v>2.5032000000000001</c:v>
                </c:pt>
                <c:pt idx="238">
                  <c:v>3.2608000000000001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56C2-4110-BD50-F4D5132B5AF7}"/>
            </c:ext>
          </c:extLst>
        </c:ser>
        <c:ser>
          <c:idx val="51"/>
          <c:order val="51"/>
          <c:tx>
            <c:strRef>
              <c:f>'CPI Dispersion'!$BU$7:$BU$8</c:f>
              <c:strCache>
                <c:ptCount val="1"/>
                <c:pt idx="0">
                  <c:v>178</c:v>
                </c:pt>
              </c:strCache>
            </c:strRef>
          </c:tx>
          <c:spPr>
            <a:ln w="19050" cap="rnd">
              <a:solidFill>
                <a:schemeClr val="accent1">
                  <a:tint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Dispersion'!$BU$9:$BU$259</c:f>
              <c:numCache>
                <c:formatCode>General</c:formatCode>
                <c:ptCount val="251"/>
                <c:pt idx="0">
                  <c:v>3.6078000000000001</c:v>
                </c:pt>
                <c:pt idx="5">
                  <c:v>3.5973000000000002</c:v>
                </c:pt>
                <c:pt idx="10">
                  <c:v>3.5663999999999998</c:v>
                </c:pt>
                <c:pt idx="15">
                  <c:v>3.5663999999999998</c:v>
                </c:pt>
                <c:pt idx="23">
                  <c:v>3.3188</c:v>
                </c:pt>
                <c:pt idx="28">
                  <c:v>3.35</c:v>
                </c:pt>
                <c:pt idx="33">
                  <c:v>3.4117999999999999</c:v>
                </c:pt>
                <c:pt idx="38">
                  <c:v>3.4641999999999999</c:v>
                </c:pt>
                <c:pt idx="43">
                  <c:v>3.407</c:v>
                </c:pt>
                <c:pt idx="48">
                  <c:v>3.1959</c:v>
                </c:pt>
                <c:pt idx="53">
                  <c:v>3.2357</c:v>
                </c:pt>
                <c:pt idx="62">
                  <c:v>3.2589999999999999</c:v>
                </c:pt>
                <c:pt idx="68">
                  <c:v>3.2644000000000002</c:v>
                </c:pt>
                <c:pt idx="72">
                  <c:v>3.1753</c:v>
                </c:pt>
                <c:pt idx="77">
                  <c:v>3.0785</c:v>
                </c:pt>
                <c:pt idx="82">
                  <c:v>2.7294999999999998</c:v>
                </c:pt>
                <c:pt idx="86">
                  <c:v>2.7202000000000002</c:v>
                </c:pt>
                <c:pt idx="91">
                  <c:v>2.33</c:v>
                </c:pt>
                <c:pt idx="97">
                  <c:v>2.2555999999999998</c:v>
                </c:pt>
                <c:pt idx="99">
                  <c:v>2.1640000000000001</c:v>
                </c:pt>
                <c:pt idx="103">
                  <c:v>1.8420000000000001</c:v>
                </c:pt>
                <c:pt idx="108">
                  <c:v>1.7939000000000001</c:v>
                </c:pt>
                <c:pt idx="113">
                  <c:v>1.7939000000000001</c:v>
                </c:pt>
                <c:pt idx="118">
                  <c:v>1.6998</c:v>
                </c:pt>
                <c:pt idx="123">
                  <c:v>1.6962999999999999</c:v>
                </c:pt>
                <c:pt idx="129">
                  <c:v>1.9549000000000001</c:v>
                </c:pt>
                <c:pt idx="132">
                  <c:v>2.0074000000000001</c:v>
                </c:pt>
                <c:pt idx="137">
                  <c:v>1.9734</c:v>
                </c:pt>
                <c:pt idx="142">
                  <c:v>1.9158999999999999</c:v>
                </c:pt>
                <c:pt idx="147">
                  <c:v>1.9883999999999999</c:v>
                </c:pt>
                <c:pt idx="152">
                  <c:v>2.0013000000000001</c:v>
                </c:pt>
                <c:pt idx="158">
                  <c:v>1.9702</c:v>
                </c:pt>
                <c:pt idx="163">
                  <c:v>1.7794000000000001</c:v>
                </c:pt>
                <c:pt idx="167">
                  <c:v>1.7814000000000001</c:v>
                </c:pt>
                <c:pt idx="172">
                  <c:v>1.7932999999999999</c:v>
                </c:pt>
                <c:pt idx="177">
                  <c:v>1.9857</c:v>
                </c:pt>
                <c:pt idx="178">
                  <c:v>1.9857</c:v>
                </c:pt>
                <c:pt idx="182">
                  <c:v>1.7655000000000001</c:v>
                </c:pt>
                <c:pt idx="187">
                  <c:v>1.8056000000000001</c:v>
                </c:pt>
                <c:pt idx="192">
                  <c:v>1.8748</c:v>
                </c:pt>
                <c:pt idx="196">
                  <c:v>2.1335999999999999</c:v>
                </c:pt>
                <c:pt idx="201">
                  <c:v>2.4024999999999999</c:v>
                </c:pt>
                <c:pt idx="206">
                  <c:v>2.4762</c:v>
                </c:pt>
                <c:pt idx="211">
                  <c:v>2.6027999999999998</c:v>
                </c:pt>
                <c:pt idx="217">
                  <c:v>2.67</c:v>
                </c:pt>
                <c:pt idx="220">
                  <c:v>2.9584999999999999</c:v>
                </c:pt>
                <c:pt idx="225">
                  <c:v>3.1564000000000001</c:v>
                </c:pt>
                <c:pt idx="230">
                  <c:v>3.1564000000000001</c:v>
                </c:pt>
                <c:pt idx="234">
                  <c:v>3.2119</c:v>
                </c:pt>
                <c:pt idx="239">
                  <c:v>3.5516000000000001</c:v>
                </c:pt>
                <c:pt idx="244">
                  <c:v>3.6335000000000002</c:v>
                </c:pt>
                <c:pt idx="249">
                  <c:v>3.8573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56C2-4110-BD50-F4D5132B5AF7}"/>
            </c:ext>
          </c:extLst>
        </c:ser>
        <c:ser>
          <c:idx val="52"/>
          <c:order val="52"/>
          <c:tx>
            <c:strRef>
              <c:f>'CPI Dispersion'!$BV$7:$BV$8</c:f>
              <c:strCache>
                <c:ptCount val="1"/>
                <c:pt idx="0">
                  <c:v>181</c:v>
                </c:pt>
              </c:strCache>
            </c:strRef>
          </c:tx>
          <c:spPr>
            <a:ln w="19050" cap="rnd">
              <a:solidFill>
                <a:schemeClr val="accent1">
                  <a:tint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Dispersion'!$BV$9:$BV$259</c:f>
              <c:numCache>
                <c:formatCode>General</c:formatCode>
                <c:ptCount val="251"/>
                <c:pt idx="4">
                  <c:v>3.6276000000000002</c:v>
                </c:pt>
                <c:pt idx="24">
                  <c:v>3.5857000000000001</c:v>
                </c:pt>
                <c:pt idx="33">
                  <c:v>3.5146999999999999</c:v>
                </c:pt>
                <c:pt idx="45">
                  <c:v>3.3803999999999998</c:v>
                </c:pt>
                <c:pt idx="52">
                  <c:v>3.0510000000000002</c:v>
                </c:pt>
                <c:pt idx="61">
                  <c:v>3.0823</c:v>
                </c:pt>
                <c:pt idx="82">
                  <c:v>2.1696</c:v>
                </c:pt>
                <c:pt idx="87">
                  <c:v>2.3188</c:v>
                </c:pt>
                <c:pt idx="97">
                  <c:v>2.2715000000000001</c:v>
                </c:pt>
                <c:pt idx="100">
                  <c:v>2.1488</c:v>
                </c:pt>
                <c:pt idx="118">
                  <c:v>1.8420000000000001</c:v>
                </c:pt>
                <c:pt idx="141">
                  <c:v>1.9433</c:v>
                </c:pt>
                <c:pt idx="147">
                  <c:v>1.9431</c:v>
                </c:pt>
                <c:pt idx="178">
                  <c:v>1.9941</c:v>
                </c:pt>
                <c:pt idx="195">
                  <c:v>1.9026000000000001</c:v>
                </c:pt>
                <c:pt idx="215">
                  <c:v>2.5848</c:v>
                </c:pt>
                <c:pt idx="223">
                  <c:v>2.9737</c:v>
                </c:pt>
                <c:pt idx="233">
                  <c:v>3.3327</c:v>
                </c:pt>
                <c:pt idx="238">
                  <c:v>3.3944000000000001</c:v>
                </c:pt>
                <c:pt idx="241">
                  <c:v>3.6309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56C2-4110-BD50-F4D5132B5AF7}"/>
            </c:ext>
          </c:extLst>
        </c:ser>
        <c:ser>
          <c:idx val="53"/>
          <c:order val="53"/>
          <c:tx>
            <c:strRef>
              <c:f>'CPI Dispersion'!$BW$7:$BW$8</c:f>
              <c:strCache>
                <c:ptCount val="1"/>
                <c:pt idx="0">
                  <c:v>182</c:v>
                </c:pt>
              </c:strCache>
            </c:strRef>
          </c:tx>
          <c:spPr>
            <a:ln w="19050" cap="rnd">
              <a:solidFill>
                <a:schemeClr val="accent1">
                  <a:tint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Dispersion'!$BW$9:$BW$259</c:f>
              <c:numCache>
                <c:formatCode>General</c:formatCode>
                <c:ptCount val="251"/>
                <c:pt idx="39">
                  <c:v>3.6385000000000001</c:v>
                </c:pt>
                <c:pt idx="57">
                  <c:v>3.3188</c:v>
                </c:pt>
                <c:pt idx="61">
                  <c:v>3.3188</c:v>
                </c:pt>
                <c:pt idx="66">
                  <c:v>3.2467999999999999</c:v>
                </c:pt>
                <c:pt idx="86">
                  <c:v>3.0306000000000002</c:v>
                </c:pt>
                <c:pt idx="94">
                  <c:v>2.7942999999999998</c:v>
                </c:pt>
                <c:pt idx="103">
                  <c:v>2.5888</c:v>
                </c:pt>
                <c:pt idx="107">
                  <c:v>2.5888</c:v>
                </c:pt>
                <c:pt idx="112">
                  <c:v>1.7806</c:v>
                </c:pt>
                <c:pt idx="117">
                  <c:v>1.7806</c:v>
                </c:pt>
                <c:pt idx="123">
                  <c:v>1.6988000000000001</c:v>
                </c:pt>
                <c:pt idx="127">
                  <c:v>1.6988000000000001</c:v>
                </c:pt>
                <c:pt idx="147">
                  <c:v>2.0453000000000001</c:v>
                </c:pt>
                <c:pt idx="167">
                  <c:v>2.0249000000000001</c:v>
                </c:pt>
                <c:pt idx="176">
                  <c:v>2.1366999999999998</c:v>
                </c:pt>
                <c:pt idx="186">
                  <c:v>2.1366999999999998</c:v>
                </c:pt>
                <c:pt idx="205">
                  <c:v>2.3403999999999998</c:v>
                </c:pt>
                <c:pt idx="225">
                  <c:v>2.8607999999999998</c:v>
                </c:pt>
                <c:pt idx="236">
                  <c:v>3.2402000000000002</c:v>
                </c:pt>
                <c:pt idx="239">
                  <c:v>3.5792999999999999</c:v>
                </c:pt>
                <c:pt idx="245">
                  <c:v>3.7442000000000002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56C2-4110-BD50-F4D5132B5AF7}"/>
            </c:ext>
          </c:extLst>
        </c:ser>
        <c:ser>
          <c:idx val="54"/>
          <c:order val="54"/>
          <c:tx>
            <c:strRef>
              <c:f>'CPI Dispersion'!$BX$7:$BX$8</c:f>
              <c:strCache>
                <c:ptCount val="1"/>
                <c:pt idx="0">
                  <c:v>184</c:v>
                </c:pt>
              </c:strCache>
            </c:strRef>
          </c:tx>
          <c:spPr>
            <a:ln w="19050" cap="rnd">
              <a:solidFill>
                <a:schemeClr val="accent1">
                  <a:tint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Dispersion'!$BX$9:$BX$259</c:f>
              <c:numCache>
                <c:formatCode>General</c:formatCode>
                <c:ptCount val="251"/>
                <c:pt idx="15">
                  <c:v>3.3184999999999998</c:v>
                </c:pt>
                <c:pt idx="36">
                  <c:v>3.4056000000000002</c:v>
                </c:pt>
                <c:pt idx="61">
                  <c:v>3.1884000000000001</c:v>
                </c:pt>
                <c:pt idx="62">
                  <c:v>3.0188000000000001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56C2-4110-BD50-F4D5132B5AF7}"/>
            </c:ext>
          </c:extLst>
        </c:ser>
        <c:ser>
          <c:idx val="55"/>
          <c:order val="55"/>
          <c:tx>
            <c:strRef>
              <c:f>'CPI Dispersion'!$BY$7:$BY$8</c:f>
              <c:strCache>
                <c:ptCount val="1"/>
                <c:pt idx="0">
                  <c:v>187</c:v>
                </c:pt>
              </c:strCache>
            </c:strRef>
          </c:tx>
          <c:spPr>
            <a:ln w="19050" cap="rnd">
              <a:solidFill>
                <a:schemeClr val="accent1">
                  <a:tint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Dispersion'!$BY$9:$BY$259</c:f>
              <c:numCache>
                <c:formatCode>General</c:formatCode>
                <c:ptCount val="251"/>
                <c:pt idx="4">
                  <c:v>3.8866000000000001</c:v>
                </c:pt>
                <c:pt idx="6">
                  <c:v>3.8866000000000001</c:v>
                </c:pt>
                <c:pt idx="9">
                  <c:v>3.8866000000000001</c:v>
                </c:pt>
                <c:pt idx="18">
                  <c:v>3.8866000000000001</c:v>
                </c:pt>
                <c:pt idx="26">
                  <c:v>3.6385000000000001</c:v>
                </c:pt>
                <c:pt idx="28">
                  <c:v>3.6282999999999999</c:v>
                </c:pt>
                <c:pt idx="32">
                  <c:v>3.7109999999999999</c:v>
                </c:pt>
                <c:pt idx="34">
                  <c:v>3.6593</c:v>
                </c:pt>
                <c:pt idx="37">
                  <c:v>3.5457999999999998</c:v>
                </c:pt>
                <c:pt idx="42">
                  <c:v>3.6802000000000001</c:v>
                </c:pt>
                <c:pt idx="45">
                  <c:v>3.5457000000000001</c:v>
                </c:pt>
                <c:pt idx="51">
                  <c:v>3.2980999999999998</c:v>
                </c:pt>
                <c:pt idx="57">
                  <c:v>3.1949000000000001</c:v>
                </c:pt>
                <c:pt idx="61">
                  <c:v>3.133</c:v>
                </c:pt>
                <c:pt idx="65">
                  <c:v>3.133</c:v>
                </c:pt>
                <c:pt idx="69">
                  <c:v>2.7635000000000001</c:v>
                </c:pt>
                <c:pt idx="71">
                  <c:v>3.0102000000000002</c:v>
                </c:pt>
                <c:pt idx="76">
                  <c:v>2.9070999999999998</c:v>
                </c:pt>
                <c:pt idx="78">
                  <c:v>2.7219000000000002</c:v>
                </c:pt>
                <c:pt idx="81">
                  <c:v>2.5369999999999999</c:v>
                </c:pt>
                <c:pt idx="85">
                  <c:v>2.5369999999999999</c:v>
                </c:pt>
                <c:pt idx="90">
                  <c:v>2.4716999999999998</c:v>
                </c:pt>
                <c:pt idx="92">
                  <c:v>2.4443999999999999</c:v>
                </c:pt>
                <c:pt idx="94">
                  <c:v>2.4234</c:v>
                </c:pt>
                <c:pt idx="97">
                  <c:v>2.2496999999999998</c:v>
                </c:pt>
                <c:pt idx="98">
                  <c:v>2.2496999999999998</c:v>
                </c:pt>
                <c:pt idx="107">
                  <c:v>1.3759999999999999</c:v>
                </c:pt>
                <c:pt idx="112">
                  <c:v>1.4467000000000001</c:v>
                </c:pt>
                <c:pt idx="119">
                  <c:v>1.6068</c:v>
                </c:pt>
                <c:pt idx="120">
                  <c:v>1.5567</c:v>
                </c:pt>
                <c:pt idx="127">
                  <c:v>1.5567</c:v>
                </c:pt>
                <c:pt idx="131">
                  <c:v>1.7098</c:v>
                </c:pt>
                <c:pt idx="136">
                  <c:v>1.6592</c:v>
                </c:pt>
                <c:pt idx="139">
                  <c:v>1.5985</c:v>
                </c:pt>
                <c:pt idx="141">
                  <c:v>1.6896</c:v>
                </c:pt>
                <c:pt idx="144">
                  <c:v>1.6289</c:v>
                </c:pt>
                <c:pt idx="146">
                  <c:v>1.6289</c:v>
                </c:pt>
                <c:pt idx="151">
                  <c:v>1.8112999999999999</c:v>
                </c:pt>
                <c:pt idx="156">
                  <c:v>1.8112999999999999</c:v>
                </c:pt>
                <c:pt idx="161">
                  <c:v>1.6085</c:v>
                </c:pt>
                <c:pt idx="166">
                  <c:v>1.6085</c:v>
                </c:pt>
                <c:pt idx="171">
                  <c:v>1.6289</c:v>
                </c:pt>
                <c:pt idx="178">
                  <c:v>1.6289</c:v>
                </c:pt>
                <c:pt idx="181">
                  <c:v>1.7708999999999999</c:v>
                </c:pt>
                <c:pt idx="182">
                  <c:v>1.6593</c:v>
                </c:pt>
                <c:pt idx="186">
                  <c:v>1.6492</c:v>
                </c:pt>
                <c:pt idx="191">
                  <c:v>1.7707999999999999</c:v>
                </c:pt>
                <c:pt idx="192">
                  <c:v>1.9028</c:v>
                </c:pt>
                <c:pt idx="193">
                  <c:v>1.9028</c:v>
                </c:pt>
                <c:pt idx="195">
                  <c:v>1.8825000000000001</c:v>
                </c:pt>
                <c:pt idx="200">
                  <c:v>1.9841</c:v>
                </c:pt>
                <c:pt idx="205">
                  <c:v>1.9943</c:v>
                </c:pt>
                <c:pt idx="208">
                  <c:v>2.198</c:v>
                </c:pt>
                <c:pt idx="210">
                  <c:v>2.2284999999999999</c:v>
                </c:pt>
                <c:pt idx="215">
                  <c:v>2.9740000000000002</c:v>
                </c:pt>
                <c:pt idx="219">
                  <c:v>2.9740000000000002</c:v>
                </c:pt>
                <c:pt idx="224">
                  <c:v>3.3633999999999999</c:v>
                </c:pt>
                <c:pt idx="230">
                  <c:v>3.3736999999999999</c:v>
                </c:pt>
                <c:pt idx="233">
                  <c:v>3.6720999999999999</c:v>
                </c:pt>
                <c:pt idx="238">
                  <c:v>3.6720999999999999</c:v>
                </c:pt>
                <c:pt idx="243">
                  <c:v>3.7544</c:v>
                </c:pt>
                <c:pt idx="245">
                  <c:v>3.7852999999999999</c:v>
                </c:pt>
                <c:pt idx="248">
                  <c:v>3.7852999999999999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56C2-4110-BD50-F4D5132B5AF7}"/>
            </c:ext>
          </c:extLst>
        </c:ser>
        <c:ser>
          <c:idx val="56"/>
          <c:order val="56"/>
          <c:tx>
            <c:strRef>
              <c:f>'CPI Dispersion'!$BZ$7:$BZ$8</c:f>
              <c:strCache>
                <c:ptCount val="1"/>
                <c:pt idx="0">
                  <c:v>191</c:v>
                </c:pt>
              </c:strCache>
            </c:strRef>
          </c:tx>
          <c:spPr>
            <a:ln w="19050" cap="rnd">
              <a:solidFill>
                <a:schemeClr val="accent1">
                  <a:tint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Dispersion'!$BZ$9:$BZ$259</c:f>
              <c:numCache>
                <c:formatCode>General</c:formatCode>
                <c:ptCount val="251"/>
                <c:pt idx="3">
                  <c:v>3.7418</c:v>
                </c:pt>
                <c:pt idx="4">
                  <c:v>3.7418</c:v>
                </c:pt>
                <c:pt idx="27">
                  <c:v>3.4525000000000001</c:v>
                </c:pt>
                <c:pt idx="37">
                  <c:v>3.4525000000000001</c:v>
                </c:pt>
                <c:pt idx="42">
                  <c:v>3.2360000000000002</c:v>
                </c:pt>
                <c:pt idx="66">
                  <c:v>3.1640999999999999</c:v>
                </c:pt>
                <c:pt idx="70">
                  <c:v>3.0918000000000001</c:v>
                </c:pt>
                <c:pt idx="76">
                  <c:v>2.8140000000000001</c:v>
                </c:pt>
                <c:pt idx="93">
                  <c:v>2.1280000000000001</c:v>
                </c:pt>
                <c:pt idx="102">
                  <c:v>1.8413999999999999</c:v>
                </c:pt>
                <c:pt idx="110">
                  <c:v>1.5431999999999999</c:v>
                </c:pt>
                <c:pt idx="131">
                  <c:v>1.5563</c:v>
                </c:pt>
                <c:pt idx="156">
                  <c:v>1.5373000000000001</c:v>
                </c:pt>
                <c:pt idx="161">
                  <c:v>1.5069999999999999</c:v>
                </c:pt>
                <c:pt idx="165">
                  <c:v>1.5069999999999999</c:v>
                </c:pt>
                <c:pt idx="186">
                  <c:v>1.4764999999999999</c:v>
                </c:pt>
                <c:pt idx="195">
                  <c:v>1.6695</c:v>
                </c:pt>
                <c:pt idx="219">
                  <c:v>2.3708</c:v>
                </c:pt>
                <c:pt idx="224">
                  <c:v>2.8610000000000002</c:v>
                </c:pt>
                <c:pt idx="243">
                  <c:v>3.4148999999999998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56C2-4110-BD50-F4D5132B5AF7}"/>
            </c:ext>
          </c:extLst>
        </c:ser>
        <c:ser>
          <c:idx val="57"/>
          <c:order val="57"/>
          <c:tx>
            <c:strRef>
              <c:f>'CPI Dispersion'!$CA$7:$CA$8</c:f>
              <c:strCache>
                <c:ptCount val="1"/>
                <c:pt idx="0">
                  <c:v>196</c:v>
                </c:pt>
              </c:strCache>
            </c:strRef>
          </c:tx>
          <c:spPr>
            <a:ln w="19050" cap="rnd">
              <a:solidFill>
                <a:schemeClr val="accent1">
                  <a:tint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Dispersion'!$CA$9:$CA$259</c:f>
              <c:numCache>
                <c:formatCode>General</c:formatCode>
                <c:ptCount val="251"/>
                <c:pt idx="4">
                  <c:v>3.5047000000000001</c:v>
                </c:pt>
                <c:pt idx="37">
                  <c:v>3.3912</c:v>
                </c:pt>
                <c:pt idx="42">
                  <c:v>3.2469000000000001</c:v>
                </c:pt>
                <c:pt idx="71">
                  <c:v>2.5895000000000001</c:v>
                </c:pt>
                <c:pt idx="94">
                  <c:v>1.5588</c:v>
                </c:pt>
                <c:pt idx="102">
                  <c:v>1.3554999999999999</c:v>
                </c:pt>
                <c:pt idx="131">
                  <c:v>1.4666999999999999</c:v>
                </c:pt>
                <c:pt idx="161">
                  <c:v>1.5679000000000001</c:v>
                </c:pt>
                <c:pt idx="166">
                  <c:v>1.5274000000000001</c:v>
                </c:pt>
                <c:pt idx="195">
                  <c:v>2.0756999999999999</c:v>
                </c:pt>
                <c:pt idx="224">
                  <c:v>3.1682999999999999</c:v>
                </c:pt>
                <c:pt idx="243">
                  <c:v>3.6309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56C2-4110-BD50-F4D5132B5AF7}"/>
            </c:ext>
          </c:extLst>
        </c:ser>
        <c:ser>
          <c:idx val="58"/>
          <c:order val="58"/>
          <c:tx>
            <c:strRef>
              <c:f>'CPI Dispersion'!$CB$7:$CB$8</c:f>
              <c:strCache>
                <c:ptCount val="1"/>
                <c:pt idx="0">
                  <c:v>250</c:v>
                </c:pt>
              </c:strCache>
            </c:strRef>
          </c:tx>
          <c:spPr>
            <a:ln w="19050" cap="rnd">
              <a:solidFill>
                <a:schemeClr val="accent1">
                  <a:tint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Dispersion'!$CB$9:$CB$259</c:f>
              <c:numCache>
                <c:formatCode>General</c:formatCode>
                <c:ptCount val="251"/>
                <c:pt idx="4">
                  <c:v>3.5457999999999998</c:v>
                </c:pt>
                <c:pt idx="14">
                  <c:v>3.5354000000000001</c:v>
                </c:pt>
                <c:pt idx="36">
                  <c:v>3.4015</c:v>
                </c:pt>
                <c:pt idx="53">
                  <c:v>3.0202</c:v>
                </c:pt>
                <c:pt idx="70">
                  <c:v>3.2778999999999998</c:v>
                </c:pt>
                <c:pt idx="75">
                  <c:v>2.9929000000000001</c:v>
                </c:pt>
                <c:pt idx="76">
                  <c:v>2.4977999999999998</c:v>
                </c:pt>
                <c:pt idx="84">
                  <c:v>2.4977999999999998</c:v>
                </c:pt>
                <c:pt idx="93">
                  <c:v>2.2925</c:v>
                </c:pt>
                <c:pt idx="113">
                  <c:v>1.3658999999999999</c:v>
                </c:pt>
                <c:pt idx="124">
                  <c:v>1.3658999999999999</c:v>
                </c:pt>
                <c:pt idx="127">
                  <c:v>1.5161</c:v>
                </c:pt>
                <c:pt idx="131">
                  <c:v>1.5875999999999999</c:v>
                </c:pt>
                <c:pt idx="136">
                  <c:v>1.5875999999999999</c:v>
                </c:pt>
                <c:pt idx="141">
                  <c:v>1.6893</c:v>
                </c:pt>
                <c:pt idx="156">
                  <c:v>1.9026000000000001</c:v>
                </c:pt>
                <c:pt idx="159">
                  <c:v>1.8110999999999999</c:v>
                </c:pt>
                <c:pt idx="185">
                  <c:v>1.7706</c:v>
                </c:pt>
                <c:pt idx="194">
                  <c:v>1.8318000000000001</c:v>
                </c:pt>
                <c:pt idx="205">
                  <c:v>1.8318000000000001</c:v>
                </c:pt>
                <c:pt idx="222">
                  <c:v>2.7587999999999999</c:v>
                </c:pt>
                <c:pt idx="232">
                  <c:v>3.3839000000000001</c:v>
                </c:pt>
                <c:pt idx="242">
                  <c:v>3.4148999999999998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56C2-4110-BD50-F4D5132B5AF7}"/>
            </c:ext>
          </c:extLst>
        </c:ser>
        <c:ser>
          <c:idx val="59"/>
          <c:order val="59"/>
          <c:tx>
            <c:strRef>
              <c:f>'CPI Dispersion'!$CC$7:$CC$8</c:f>
              <c:strCache>
                <c:ptCount val="1"/>
                <c:pt idx="0">
                  <c:v>2250</c:v>
                </c:pt>
              </c:strCache>
            </c:strRef>
          </c:tx>
          <c:spPr>
            <a:ln w="19050" cap="rnd">
              <a:solidFill>
                <a:schemeClr val="accent1">
                  <a:tint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Dispersion'!$CC$9:$CC$259</c:f>
              <c:numCache>
                <c:formatCode>General</c:formatCode>
                <c:ptCount val="251"/>
                <c:pt idx="0">
                  <c:v>3.3184</c:v>
                </c:pt>
                <c:pt idx="4">
                  <c:v>3.2361</c:v>
                </c:pt>
                <c:pt idx="14">
                  <c:v>3.2669000000000001</c:v>
                </c:pt>
                <c:pt idx="30">
                  <c:v>3.1023000000000001</c:v>
                </c:pt>
                <c:pt idx="32">
                  <c:v>3.1023000000000001</c:v>
                </c:pt>
                <c:pt idx="43">
                  <c:v>3.1023000000000001</c:v>
                </c:pt>
                <c:pt idx="52">
                  <c:v>2.9685999999999999</c:v>
                </c:pt>
                <c:pt idx="57">
                  <c:v>2.9174000000000002</c:v>
                </c:pt>
                <c:pt idx="61">
                  <c:v>2.9171999999999998</c:v>
                </c:pt>
                <c:pt idx="64">
                  <c:v>2.9171999999999998</c:v>
                </c:pt>
                <c:pt idx="66">
                  <c:v>2.8456000000000001</c:v>
                </c:pt>
                <c:pt idx="68">
                  <c:v>2.5994000000000002</c:v>
                </c:pt>
                <c:pt idx="71">
                  <c:v>2.5891999999999999</c:v>
                </c:pt>
                <c:pt idx="76">
                  <c:v>1.9967999999999999</c:v>
                </c:pt>
                <c:pt idx="81">
                  <c:v>1.4883999999999999</c:v>
                </c:pt>
                <c:pt idx="85">
                  <c:v>1.5085999999999999</c:v>
                </c:pt>
                <c:pt idx="89">
                  <c:v>1.468</c:v>
                </c:pt>
                <c:pt idx="94">
                  <c:v>1.3960999999999999</c:v>
                </c:pt>
                <c:pt idx="96">
                  <c:v>1.2844</c:v>
                </c:pt>
                <c:pt idx="98">
                  <c:v>1.2844</c:v>
                </c:pt>
                <c:pt idx="107">
                  <c:v>0.49730000000000002</c:v>
                </c:pt>
                <c:pt idx="117">
                  <c:v>0.8397</c:v>
                </c:pt>
                <c:pt idx="120">
                  <c:v>0.8397</c:v>
                </c:pt>
                <c:pt idx="122">
                  <c:v>0.72860000000000003</c:v>
                </c:pt>
                <c:pt idx="127">
                  <c:v>0.72860000000000003</c:v>
                </c:pt>
                <c:pt idx="131">
                  <c:v>0.95130000000000003</c:v>
                </c:pt>
                <c:pt idx="148">
                  <c:v>1.4562999999999999</c:v>
                </c:pt>
                <c:pt idx="156">
                  <c:v>1.5779000000000001</c:v>
                </c:pt>
                <c:pt idx="161">
                  <c:v>1.5577000000000001</c:v>
                </c:pt>
                <c:pt idx="166">
                  <c:v>1.4258999999999999</c:v>
                </c:pt>
                <c:pt idx="174">
                  <c:v>1.4056999999999999</c:v>
                </c:pt>
                <c:pt idx="176">
                  <c:v>1.5069999999999999</c:v>
                </c:pt>
                <c:pt idx="181">
                  <c:v>1.6288</c:v>
                </c:pt>
                <c:pt idx="191">
                  <c:v>1.6288</c:v>
                </c:pt>
                <c:pt idx="195">
                  <c:v>1.6087</c:v>
                </c:pt>
                <c:pt idx="200">
                  <c:v>2.0554999999999999</c:v>
                </c:pt>
                <c:pt idx="212">
                  <c:v>2.1738</c:v>
                </c:pt>
                <c:pt idx="216">
                  <c:v>2.9842</c:v>
                </c:pt>
                <c:pt idx="220">
                  <c:v>3.0148999999999999</c:v>
                </c:pt>
                <c:pt idx="224">
                  <c:v>3.1274999999999999</c:v>
                </c:pt>
                <c:pt idx="238">
                  <c:v>3.6206</c:v>
                </c:pt>
                <c:pt idx="243">
                  <c:v>3.7544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56C2-4110-BD50-F4D5132B5AF7}"/>
            </c:ext>
          </c:extLst>
        </c:ser>
        <c:ser>
          <c:idx val="60"/>
          <c:order val="60"/>
          <c:tx>
            <c:strRef>
              <c:f>'CPI Dispersion'!$CD$7:$CD$8</c:f>
              <c:strCache>
                <c:ptCount val="1"/>
                <c:pt idx="0">
                  <c:v>9250</c:v>
                </c:pt>
              </c:strCache>
            </c:strRef>
          </c:tx>
          <c:spPr>
            <a:ln w="19050" cap="rnd">
              <a:solidFill>
                <a:schemeClr val="accent1">
                  <a:tint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Dispersion'!$CD$9:$CD$259</c:f>
              <c:numCache>
                <c:formatCode>General</c:formatCode>
                <c:ptCount val="251"/>
                <c:pt idx="4">
                  <c:v>3.8</c:v>
                </c:pt>
                <c:pt idx="37">
                  <c:v>3.65</c:v>
                </c:pt>
                <c:pt idx="57">
                  <c:v>3.63</c:v>
                </c:pt>
                <c:pt idx="71">
                  <c:v>3.04</c:v>
                </c:pt>
                <c:pt idx="94">
                  <c:v>2.09</c:v>
                </c:pt>
                <c:pt idx="131">
                  <c:v>1.77</c:v>
                </c:pt>
                <c:pt idx="161">
                  <c:v>1.93</c:v>
                </c:pt>
                <c:pt idx="166">
                  <c:v>1.8416999999999999</c:v>
                </c:pt>
                <c:pt idx="195">
                  <c:v>2.0453000000000001</c:v>
                </c:pt>
                <c:pt idx="224">
                  <c:v>3.3121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56C2-4110-BD50-F4D5132B5AF7}"/>
            </c:ext>
          </c:extLst>
        </c:ser>
        <c:ser>
          <c:idx val="61"/>
          <c:order val="61"/>
          <c:tx>
            <c:strRef>
              <c:f>'CPI Dispersion'!$CE$7:$CE$8</c:f>
              <c:strCache>
                <c:ptCount val="1"/>
                <c:pt idx="0">
                  <c:v>12250</c:v>
                </c:pt>
              </c:strCache>
            </c:strRef>
          </c:tx>
          <c:spPr>
            <a:ln w="19050" cap="rnd">
              <a:solidFill>
                <a:schemeClr val="accent1">
                  <a:tint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Dispersion'!$CE$9:$CE$259</c:f>
              <c:numCache>
                <c:formatCode>General</c:formatCode>
                <c:ptCount val="251"/>
                <c:pt idx="39">
                  <c:v>3.5</c:v>
                </c:pt>
                <c:pt idx="248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56C2-4110-BD50-F4D5132B5AF7}"/>
            </c:ext>
          </c:extLst>
        </c:ser>
        <c:ser>
          <c:idx val="62"/>
          <c:order val="62"/>
          <c:tx>
            <c:strRef>
              <c:f>'CPI Dispersion'!$CF$7:$CF$8</c:f>
              <c:strCache>
                <c:ptCount val="1"/>
                <c:pt idx="0">
                  <c:v>13250</c:v>
                </c:pt>
              </c:strCache>
            </c:strRef>
          </c:tx>
          <c:spPr>
            <a:ln w="19050" cap="rnd">
              <a:solidFill>
                <a:schemeClr val="accent1">
                  <a:tint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Dispersion'!$CF$9:$CF$259</c:f>
              <c:numCache>
                <c:formatCode>General</c:formatCode>
                <c:ptCount val="251"/>
                <c:pt idx="4">
                  <c:v>3.319</c:v>
                </c:pt>
                <c:pt idx="10">
                  <c:v>2.8151999999999999</c:v>
                </c:pt>
                <c:pt idx="14">
                  <c:v>2.8765999999999998</c:v>
                </c:pt>
                <c:pt idx="18">
                  <c:v>2.7945000000000002</c:v>
                </c:pt>
                <c:pt idx="22">
                  <c:v>2.7945000000000002</c:v>
                </c:pt>
                <c:pt idx="27">
                  <c:v>2.7740999999999998</c:v>
                </c:pt>
                <c:pt idx="32">
                  <c:v>2.8050999999999999</c:v>
                </c:pt>
                <c:pt idx="37">
                  <c:v>2.8359000000000001</c:v>
                </c:pt>
                <c:pt idx="42">
                  <c:v>2.7538</c:v>
                </c:pt>
                <c:pt idx="47">
                  <c:v>2.6717</c:v>
                </c:pt>
                <c:pt idx="57">
                  <c:v>2.6815000000000002</c:v>
                </c:pt>
                <c:pt idx="71">
                  <c:v>2.5282</c:v>
                </c:pt>
                <c:pt idx="81">
                  <c:v>1.4447000000000001</c:v>
                </c:pt>
                <c:pt idx="85">
                  <c:v>1.8340000000000001</c:v>
                </c:pt>
                <c:pt idx="97">
                  <c:v>1.4155</c:v>
                </c:pt>
                <c:pt idx="101">
                  <c:v>1.3442000000000001</c:v>
                </c:pt>
                <c:pt idx="108">
                  <c:v>1.2325999999999999</c:v>
                </c:pt>
                <c:pt idx="114">
                  <c:v>1.3434999999999999</c:v>
                </c:pt>
                <c:pt idx="129">
                  <c:v>1.5971</c:v>
                </c:pt>
                <c:pt idx="136">
                  <c:v>1.7298</c:v>
                </c:pt>
                <c:pt idx="146">
                  <c:v>1.5883</c:v>
                </c:pt>
                <c:pt idx="151">
                  <c:v>1.5375000000000001</c:v>
                </c:pt>
                <c:pt idx="161">
                  <c:v>1.2746</c:v>
                </c:pt>
                <c:pt idx="171">
                  <c:v>1.3148</c:v>
                </c:pt>
                <c:pt idx="181">
                  <c:v>1.6489</c:v>
                </c:pt>
                <c:pt idx="186">
                  <c:v>1.6083000000000001</c:v>
                </c:pt>
                <c:pt idx="191">
                  <c:v>1.8824000000000001</c:v>
                </c:pt>
                <c:pt idx="195">
                  <c:v>1.8927</c:v>
                </c:pt>
                <c:pt idx="200">
                  <c:v>1.9639</c:v>
                </c:pt>
                <c:pt idx="210">
                  <c:v>2.2181999999999999</c:v>
                </c:pt>
                <c:pt idx="215">
                  <c:v>2.4115000000000002</c:v>
                </c:pt>
                <c:pt idx="219">
                  <c:v>2.6871</c:v>
                </c:pt>
                <c:pt idx="224">
                  <c:v>3.0247999999999999</c:v>
                </c:pt>
                <c:pt idx="233">
                  <c:v>2.8193000000000001</c:v>
                </c:pt>
                <c:pt idx="243">
                  <c:v>3.2812999999999999</c:v>
                </c:pt>
                <c:pt idx="248">
                  <c:v>3.8058999999999998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56C2-4110-BD50-F4D5132B5AF7}"/>
            </c:ext>
          </c:extLst>
        </c:ser>
        <c:ser>
          <c:idx val="63"/>
          <c:order val="63"/>
          <c:tx>
            <c:strRef>
              <c:f>'CPI Dispersion'!$CG$7:$CG$8</c:f>
              <c:strCache>
                <c:ptCount val="1"/>
                <c:pt idx="0">
                  <c:v>23250</c:v>
                </c:pt>
              </c:strCache>
            </c:strRef>
          </c:tx>
          <c:spPr>
            <a:ln w="19050" cap="rnd">
              <a:solidFill>
                <a:schemeClr val="accent1">
                  <a:tint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Dispersion'!$CG$9:$CG$259</c:f>
              <c:numCache>
                <c:formatCode>General</c:formatCode>
                <c:ptCount val="251"/>
                <c:pt idx="0">
                  <c:v>3.7932000000000001</c:v>
                </c:pt>
                <c:pt idx="4">
                  <c:v>3.7932000000000001</c:v>
                </c:pt>
                <c:pt idx="34">
                  <c:v>3.4015</c:v>
                </c:pt>
                <c:pt idx="69">
                  <c:v>2.9998999999999998</c:v>
                </c:pt>
                <c:pt idx="78">
                  <c:v>2.7742</c:v>
                </c:pt>
                <c:pt idx="79">
                  <c:v>2.3538999999999999</c:v>
                </c:pt>
                <c:pt idx="91">
                  <c:v>2.2107000000000001</c:v>
                </c:pt>
                <c:pt idx="103">
                  <c:v>1.8024</c:v>
                </c:pt>
                <c:pt idx="107">
                  <c:v>1.3039000000000001</c:v>
                </c:pt>
                <c:pt idx="131">
                  <c:v>1.6388</c:v>
                </c:pt>
                <c:pt idx="151">
                  <c:v>1.7398</c:v>
                </c:pt>
                <c:pt idx="195">
                  <c:v>1.8522000000000001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56C2-4110-BD50-F4D5132B5AF7}"/>
            </c:ext>
          </c:extLst>
        </c:ser>
        <c:ser>
          <c:idx val="64"/>
          <c:order val="64"/>
          <c:tx>
            <c:strRef>
              <c:f>'CPI Dispersion'!$CH$7:$CH$8</c:f>
              <c:strCache>
                <c:ptCount val="1"/>
                <c:pt idx="0">
                  <c:v>24250</c:v>
                </c:pt>
              </c:strCache>
            </c:strRef>
          </c:tx>
          <c:spPr>
            <a:ln w="19050" cap="rnd">
              <a:solidFill>
                <a:schemeClr val="accent1">
                  <a:tint val="9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Dispersion'!$CH$9:$CH$259</c:f>
              <c:numCache>
                <c:formatCode>General</c:formatCode>
                <c:ptCount val="251"/>
                <c:pt idx="4">
                  <c:v>3.5249000000000001</c:v>
                </c:pt>
                <c:pt idx="15">
                  <c:v>3.4836</c:v>
                </c:pt>
                <c:pt idx="22">
                  <c:v>3.5044</c:v>
                </c:pt>
                <c:pt idx="37">
                  <c:v>3.4630000000000001</c:v>
                </c:pt>
                <c:pt idx="43">
                  <c:v>3.4630000000000001</c:v>
                </c:pt>
                <c:pt idx="57">
                  <c:v>3.2155</c:v>
                </c:pt>
                <c:pt idx="71">
                  <c:v>3.0202</c:v>
                </c:pt>
                <c:pt idx="81">
                  <c:v>2.3134000000000001</c:v>
                </c:pt>
                <c:pt idx="94">
                  <c:v>1.7623</c:v>
                </c:pt>
                <c:pt idx="102">
                  <c:v>1.4970000000000001</c:v>
                </c:pt>
                <c:pt idx="112">
                  <c:v>1.5073000000000001</c:v>
                </c:pt>
                <c:pt idx="131">
                  <c:v>1.4971000000000001</c:v>
                </c:pt>
                <c:pt idx="141">
                  <c:v>1.5172000000000001</c:v>
                </c:pt>
                <c:pt idx="161">
                  <c:v>1.4767999999999999</c:v>
                </c:pt>
                <c:pt idx="168">
                  <c:v>1.4869000000000001</c:v>
                </c:pt>
                <c:pt idx="172">
                  <c:v>1.5071000000000001</c:v>
                </c:pt>
                <c:pt idx="186">
                  <c:v>1.9028</c:v>
                </c:pt>
                <c:pt idx="195">
                  <c:v>1.8927</c:v>
                </c:pt>
                <c:pt idx="200">
                  <c:v>1.8927</c:v>
                </c:pt>
                <c:pt idx="205">
                  <c:v>2.2079</c:v>
                </c:pt>
                <c:pt idx="224">
                  <c:v>3.1067999999999998</c:v>
                </c:pt>
                <c:pt idx="234">
                  <c:v>3.2915999999999999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56C2-4110-BD50-F4D5132B5AF7}"/>
            </c:ext>
          </c:extLst>
        </c:ser>
        <c:ser>
          <c:idx val="65"/>
          <c:order val="65"/>
          <c:tx>
            <c:strRef>
              <c:f>'CPI Dispersion'!$CI$7:$CI$8</c:f>
              <c:strCache>
                <c:ptCount val="1"/>
                <c:pt idx="0">
                  <c:v>30250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Dispersion'!$CI$9:$CI$259</c:f>
              <c:numCache>
                <c:formatCode>General</c:formatCode>
                <c:ptCount val="251"/>
                <c:pt idx="4">
                  <c:v>3.5045999999999999</c:v>
                </c:pt>
                <c:pt idx="14">
                  <c:v>3.6594000000000002</c:v>
                </c:pt>
                <c:pt idx="34">
                  <c:v>3.2982999999999998</c:v>
                </c:pt>
                <c:pt idx="37">
                  <c:v>3.2467000000000001</c:v>
                </c:pt>
                <c:pt idx="42">
                  <c:v>3.1023999999999998</c:v>
                </c:pt>
                <c:pt idx="47">
                  <c:v>3.0510000000000002</c:v>
                </c:pt>
                <c:pt idx="65">
                  <c:v>2.9998</c:v>
                </c:pt>
                <c:pt idx="71">
                  <c:v>2.7738</c:v>
                </c:pt>
                <c:pt idx="79">
                  <c:v>1.8439000000000001</c:v>
                </c:pt>
                <c:pt idx="94">
                  <c:v>1.5075000000000001</c:v>
                </c:pt>
                <c:pt idx="102">
                  <c:v>0.98</c:v>
                </c:pt>
                <c:pt idx="131">
                  <c:v>1.6591</c:v>
                </c:pt>
                <c:pt idx="161">
                  <c:v>1.5475000000000001</c:v>
                </c:pt>
                <c:pt idx="166">
                  <c:v>1.4967999999999999</c:v>
                </c:pt>
                <c:pt idx="195">
                  <c:v>2.0143</c:v>
                </c:pt>
                <c:pt idx="218">
                  <c:v>3.0348000000000002</c:v>
                </c:pt>
                <c:pt idx="224">
                  <c:v>3.2401</c:v>
                </c:pt>
                <c:pt idx="229">
                  <c:v>3.4558</c:v>
                </c:pt>
                <c:pt idx="233">
                  <c:v>3.456</c:v>
                </c:pt>
                <c:pt idx="243">
                  <c:v>3.6617999999999999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56C2-4110-BD50-F4D5132B5AF7}"/>
            </c:ext>
          </c:extLst>
        </c:ser>
        <c:ser>
          <c:idx val="66"/>
          <c:order val="66"/>
          <c:tx>
            <c:strRef>
              <c:f>'CPI Dispersion'!$CJ$7:$CJ$8</c:f>
              <c:strCache>
                <c:ptCount val="1"/>
                <c:pt idx="0">
                  <c:v>30300</c:v>
                </c:pt>
              </c:strCache>
            </c:strRef>
          </c:tx>
          <c:spPr>
            <a:ln w="19050" cap="rnd">
              <a:solidFill>
                <a:schemeClr val="accent1">
                  <a:shade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Dispersion'!$CJ$9:$CJ$259</c:f>
              <c:numCache>
                <c:formatCode>General</c:formatCode>
                <c:ptCount val="251"/>
                <c:pt idx="4">
                  <c:v>3.5459999999999998</c:v>
                </c:pt>
                <c:pt idx="22">
                  <c:v>3.5769000000000002</c:v>
                </c:pt>
                <c:pt idx="37">
                  <c:v>3.5663999999999998</c:v>
                </c:pt>
                <c:pt idx="42">
                  <c:v>3.3083</c:v>
                </c:pt>
                <c:pt idx="70">
                  <c:v>3.3010999999999999</c:v>
                </c:pt>
                <c:pt idx="71">
                  <c:v>3.226</c:v>
                </c:pt>
                <c:pt idx="85">
                  <c:v>2.3126000000000002</c:v>
                </c:pt>
                <c:pt idx="93">
                  <c:v>1.9444999999999999</c:v>
                </c:pt>
                <c:pt idx="94">
                  <c:v>2.0568</c:v>
                </c:pt>
                <c:pt idx="102">
                  <c:v>1.9941</c:v>
                </c:pt>
                <c:pt idx="112">
                  <c:v>1.8621000000000001</c:v>
                </c:pt>
                <c:pt idx="131">
                  <c:v>1.5580000000000001</c:v>
                </c:pt>
                <c:pt idx="154">
                  <c:v>1.5478000000000001</c:v>
                </c:pt>
                <c:pt idx="161">
                  <c:v>1.6796</c:v>
                </c:pt>
                <c:pt idx="166">
                  <c:v>1.6185</c:v>
                </c:pt>
                <c:pt idx="181">
                  <c:v>1.7098</c:v>
                </c:pt>
                <c:pt idx="195">
                  <c:v>1.9437</c:v>
                </c:pt>
                <c:pt idx="210">
                  <c:v>2.4729999999999999</c:v>
                </c:pt>
                <c:pt idx="224">
                  <c:v>3.0041000000000002</c:v>
                </c:pt>
                <c:pt idx="242">
                  <c:v>3.4971999999999999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56C2-4110-BD50-F4D5132B5AF7}"/>
            </c:ext>
          </c:extLst>
        </c:ser>
        <c:ser>
          <c:idx val="67"/>
          <c:order val="67"/>
          <c:tx>
            <c:strRef>
              <c:f>'CPI Dispersion'!$CK$7:$CK$8</c:f>
              <c:strCache>
                <c:ptCount val="1"/>
                <c:pt idx="0">
                  <c:v>30350</c:v>
                </c:pt>
              </c:strCache>
            </c:strRef>
          </c:tx>
          <c:spPr>
            <a:ln w="19050" cap="rnd">
              <a:solidFill>
                <a:schemeClr val="accent1">
                  <a:shade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Dispersion'!$CK$9:$CK$259</c:f>
              <c:numCache>
                <c:formatCode>General</c:formatCode>
                <c:ptCount val="251"/>
                <c:pt idx="7">
                  <c:v>3.8041999999999998</c:v>
                </c:pt>
                <c:pt idx="60">
                  <c:v>3.4014000000000002</c:v>
                </c:pt>
                <c:pt idx="70">
                  <c:v>3.4013</c:v>
                </c:pt>
                <c:pt idx="90">
                  <c:v>3.0613000000000001</c:v>
                </c:pt>
                <c:pt idx="102">
                  <c:v>2.2787000000000002</c:v>
                </c:pt>
                <c:pt idx="124">
                  <c:v>1.2629999999999999</c:v>
                </c:pt>
                <c:pt idx="129">
                  <c:v>1.2629999999999999</c:v>
                </c:pt>
                <c:pt idx="136">
                  <c:v>1.3452999999999999</c:v>
                </c:pt>
                <c:pt idx="148">
                  <c:v>1.6087</c:v>
                </c:pt>
                <c:pt idx="155">
                  <c:v>1.5375000000000001</c:v>
                </c:pt>
                <c:pt idx="162">
                  <c:v>1.5072000000000001</c:v>
                </c:pt>
                <c:pt idx="174">
                  <c:v>1.5172000000000001</c:v>
                </c:pt>
                <c:pt idx="185">
                  <c:v>1.6692</c:v>
                </c:pt>
                <c:pt idx="187">
                  <c:v>1.6998</c:v>
                </c:pt>
                <c:pt idx="201">
                  <c:v>1.7303999999999999</c:v>
                </c:pt>
                <c:pt idx="206">
                  <c:v>2.2284000000000002</c:v>
                </c:pt>
                <c:pt idx="211">
                  <c:v>2.2284000000000002</c:v>
                </c:pt>
                <c:pt idx="216">
                  <c:v>2.6772</c:v>
                </c:pt>
                <c:pt idx="220">
                  <c:v>2.6772</c:v>
                </c:pt>
                <c:pt idx="228">
                  <c:v>2.6772</c:v>
                </c:pt>
                <c:pt idx="233">
                  <c:v>3.1375000000000002</c:v>
                </c:pt>
                <c:pt idx="244">
                  <c:v>3.3944000000000001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56C2-4110-BD50-F4D5132B5AF7}"/>
            </c:ext>
          </c:extLst>
        </c:ser>
        <c:ser>
          <c:idx val="68"/>
          <c:order val="68"/>
          <c:tx>
            <c:strRef>
              <c:f>'CPI Dispersion'!$CL$7:$CL$8</c:f>
              <c:strCache>
                <c:ptCount val="1"/>
                <c:pt idx="0">
                  <c:v>30400</c:v>
                </c:pt>
              </c:strCache>
            </c:strRef>
          </c:tx>
          <c:spPr>
            <a:ln w="19050" cap="rnd">
              <a:solidFill>
                <a:schemeClr val="accent1">
                  <a:shade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Dispersion'!$CL$9:$CL$259</c:f>
              <c:numCache>
                <c:formatCode>General</c:formatCode>
                <c:ptCount val="251"/>
                <c:pt idx="3">
                  <c:v>3.2366000000000001</c:v>
                </c:pt>
                <c:pt idx="15">
                  <c:v>3.0310000000000001</c:v>
                </c:pt>
                <c:pt idx="34">
                  <c:v>3.0310000000000001</c:v>
                </c:pt>
                <c:pt idx="35">
                  <c:v>3.2155999999999998</c:v>
                </c:pt>
                <c:pt idx="37">
                  <c:v>3.1766000000000001</c:v>
                </c:pt>
                <c:pt idx="41">
                  <c:v>3.1331000000000002</c:v>
                </c:pt>
                <c:pt idx="42">
                  <c:v>3.1671999999999998</c:v>
                </c:pt>
                <c:pt idx="57">
                  <c:v>3.1023999999999998</c:v>
                </c:pt>
                <c:pt idx="70">
                  <c:v>3.2155999999999998</c:v>
                </c:pt>
                <c:pt idx="71">
                  <c:v>2.4872999999999998</c:v>
                </c:pt>
                <c:pt idx="81">
                  <c:v>1.6095999999999999</c:v>
                </c:pt>
                <c:pt idx="93">
                  <c:v>1.3554999999999999</c:v>
                </c:pt>
                <c:pt idx="94">
                  <c:v>1.264</c:v>
                </c:pt>
                <c:pt idx="102">
                  <c:v>0.8891</c:v>
                </c:pt>
                <c:pt idx="111">
                  <c:v>0.99050000000000005</c:v>
                </c:pt>
                <c:pt idx="131">
                  <c:v>1.3147</c:v>
                </c:pt>
                <c:pt idx="141">
                  <c:v>1.5674999999999999</c:v>
                </c:pt>
                <c:pt idx="160">
                  <c:v>1.6486000000000001</c:v>
                </c:pt>
                <c:pt idx="161">
                  <c:v>1.1531</c:v>
                </c:pt>
                <c:pt idx="166">
                  <c:v>1.2522</c:v>
                </c:pt>
                <c:pt idx="176">
                  <c:v>1.6187</c:v>
                </c:pt>
                <c:pt idx="182">
                  <c:v>1.6187</c:v>
                </c:pt>
                <c:pt idx="195">
                  <c:v>2.0247000000000002</c:v>
                </c:pt>
                <c:pt idx="216">
                  <c:v>3.0043000000000002</c:v>
                </c:pt>
                <c:pt idx="220">
                  <c:v>2.9634</c:v>
                </c:pt>
                <c:pt idx="224">
                  <c:v>3.3839999999999999</c:v>
                </c:pt>
                <c:pt idx="243">
                  <c:v>3.6766000000000001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56C2-4110-BD50-F4D5132B5AF7}"/>
            </c:ext>
          </c:extLst>
        </c:ser>
        <c:ser>
          <c:idx val="69"/>
          <c:order val="69"/>
          <c:tx>
            <c:strRef>
              <c:f>'CPI Dispersion'!$CM$7:$CM$8</c:f>
              <c:strCache>
                <c:ptCount val="1"/>
                <c:pt idx="0">
                  <c:v>32040</c:v>
                </c:pt>
              </c:strCache>
            </c:strRef>
          </c:tx>
          <c:spPr>
            <a:ln w="19050" cap="rnd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Dispersion'!$CM$9:$CM$259</c:f>
              <c:numCache>
                <c:formatCode>General</c:formatCode>
                <c:ptCount val="251"/>
                <c:pt idx="15">
                  <c:v>3.5964999999999998</c:v>
                </c:pt>
                <c:pt idx="22">
                  <c:v>3.5964</c:v>
                </c:pt>
                <c:pt idx="28">
                  <c:v>3.4519000000000002</c:v>
                </c:pt>
                <c:pt idx="40">
                  <c:v>3.4106000000000001</c:v>
                </c:pt>
                <c:pt idx="69">
                  <c:v>3.0091000000000001</c:v>
                </c:pt>
                <c:pt idx="73">
                  <c:v>2.9519000000000002</c:v>
                </c:pt>
                <c:pt idx="83">
                  <c:v>2.4908000000000001</c:v>
                </c:pt>
                <c:pt idx="89">
                  <c:v>2.1566000000000001</c:v>
                </c:pt>
                <c:pt idx="99">
                  <c:v>1.5598000000000001</c:v>
                </c:pt>
                <c:pt idx="140">
                  <c:v>1.4804999999999999</c:v>
                </c:pt>
                <c:pt idx="154">
                  <c:v>1.7397</c:v>
                </c:pt>
                <c:pt idx="173">
                  <c:v>1.6378999999999999</c:v>
                </c:pt>
                <c:pt idx="178">
                  <c:v>1.8105</c:v>
                </c:pt>
                <c:pt idx="179">
                  <c:v>1.9807999999999999</c:v>
                </c:pt>
                <c:pt idx="204">
                  <c:v>2.2789000000000001</c:v>
                </c:pt>
                <c:pt idx="211">
                  <c:v>2.6766999999999999</c:v>
                </c:pt>
                <c:pt idx="233">
                  <c:v>3.4354</c:v>
                </c:pt>
                <c:pt idx="238">
                  <c:v>3.6307</c:v>
                </c:pt>
                <c:pt idx="244">
                  <c:v>3.6597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56C2-4110-BD50-F4D5132B5AF7}"/>
            </c:ext>
          </c:extLst>
        </c:ser>
        <c:ser>
          <c:idx val="70"/>
          <c:order val="70"/>
          <c:tx>
            <c:strRef>
              <c:f>'CPI Dispersion'!$CN$7:$CN$8</c:f>
              <c:strCache>
                <c:ptCount val="1"/>
                <c:pt idx="0">
                  <c:v>32081</c:v>
                </c:pt>
              </c:strCache>
            </c:strRef>
          </c:tx>
          <c:spPr>
            <a:ln w="19050" cap="rnd">
              <a:solidFill>
                <a:schemeClr val="accent1">
                  <a:shade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Dispersion'!$CN$9:$CN$259</c:f>
              <c:numCache>
                <c:formatCode>General</c:formatCode>
                <c:ptCount val="251"/>
                <c:pt idx="4">
                  <c:v>3.4527999999999999</c:v>
                </c:pt>
                <c:pt idx="23">
                  <c:v>3.4630999999999998</c:v>
                </c:pt>
                <c:pt idx="36">
                  <c:v>3.4211999999999998</c:v>
                </c:pt>
                <c:pt idx="37">
                  <c:v>3.4211999999999998</c:v>
                </c:pt>
                <c:pt idx="42">
                  <c:v>3.3079000000000001</c:v>
                </c:pt>
                <c:pt idx="44">
                  <c:v>3.3079000000000001</c:v>
                </c:pt>
                <c:pt idx="53">
                  <c:v>3.1637</c:v>
                </c:pt>
                <c:pt idx="67">
                  <c:v>2.4666999999999999</c:v>
                </c:pt>
                <c:pt idx="69">
                  <c:v>2.4771000000000001</c:v>
                </c:pt>
                <c:pt idx="71">
                  <c:v>2.5998000000000001</c:v>
                </c:pt>
                <c:pt idx="94">
                  <c:v>1.3751</c:v>
                </c:pt>
                <c:pt idx="101">
                  <c:v>0.66659999999999997</c:v>
                </c:pt>
                <c:pt idx="102">
                  <c:v>0.67669999999999997</c:v>
                </c:pt>
                <c:pt idx="110">
                  <c:v>0.72850000000000004</c:v>
                </c:pt>
                <c:pt idx="117">
                  <c:v>0.67849999999999999</c:v>
                </c:pt>
                <c:pt idx="130">
                  <c:v>0.7601</c:v>
                </c:pt>
                <c:pt idx="131">
                  <c:v>0.79020000000000001</c:v>
                </c:pt>
                <c:pt idx="136">
                  <c:v>0.82020000000000004</c:v>
                </c:pt>
                <c:pt idx="151">
                  <c:v>0.9002</c:v>
                </c:pt>
                <c:pt idx="160">
                  <c:v>1.0013000000000001</c:v>
                </c:pt>
                <c:pt idx="161">
                  <c:v>0.98150000000000004</c:v>
                </c:pt>
                <c:pt idx="165">
                  <c:v>1.0118</c:v>
                </c:pt>
                <c:pt idx="166">
                  <c:v>1.0118</c:v>
                </c:pt>
                <c:pt idx="176">
                  <c:v>1.1632</c:v>
                </c:pt>
                <c:pt idx="182">
                  <c:v>1.3957999999999999</c:v>
                </c:pt>
                <c:pt idx="193">
                  <c:v>1.7098</c:v>
                </c:pt>
                <c:pt idx="194">
                  <c:v>1.7502</c:v>
                </c:pt>
                <c:pt idx="195">
                  <c:v>1.7502</c:v>
                </c:pt>
                <c:pt idx="200">
                  <c:v>2.0651999999999999</c:v>
                </c:pt>
                <c:pt idx="210">
                  <c:v>2.8401999999999998</c:v>
                </c:pt>
                <c:pt idx="215">
                  <c:v>3.0859000000000001</c:v>
                </c:pt>
                <c:pt idx="224">
                  <c:v>3.2606999999999999</c:v>
                </c:pt>
                <c:pt idx="233">
                  <c:v>3.5897999999999999</c:v>
                </c:pt>
                <c:pt idx="240">
                  <c:v>3.5691999999999999</c:v>
                </c:pt>
                <c:pt idx="243">
                  <c:v>3.6412</c:v>
                </c:pt>
                <c:pt idx="245">
                  <c:v>3.9192999999999998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56C2-4110-BD50-F4D5132B5AF7}"/>
            </c:ext>
          </c:extLst>
        </c:ser>
        <c:ser>
          <c:idx val="71"/>
          <c:order val="71"/>
          <c:tx>
            <c:strRef>
              <c:f>'CPI Dispersion'!$CO$7:$CO$8</c:f>
              <c:strCache>
                <c:ptCount val="1"/>
                <c:pt idx="0">
                  <c:v>32082</c:v>
                </c:pt>
              </c:strCache>
            </c:strRef>
          </c:tx>
          <c:spPr>
            <a:ln w="19050" cap="rnd">
              <a:solidFill>
                <a:schemeClr val="accent1">
                  <a:shade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Dispersion'!$CO$9:$CO$259</c:f>
              <c:numCache>
                <c:formatCode>General</c:formatCode>
                <c:ptCount val="251"/>
                <c:pt idx="3">
                  <c:v>3.4407999999999999</c:v>
                </c:pt>
                <c:pt idx="10">
                  <c:v>3.4405000000000001</c:v>
                </c:pt>
                <c:pt idx="19">
                  <c:v>3.5956999999999999</c:v>
                </c:pt>
                <c:pt idx="30">
                  <c:v>3.4310999999999998</c:v>
                </c:pt>
                <c:pt idx="37">
                  <c:v>3.3898000000000001</c:v>
                </c:pt>
                <c:pt idx="41">
                  <c:v>3.431</c:v>
                </c:pt>
                <c:pt idx="42">
                  <c:v>3.431</c:v>
                </c:pt>
                <c:pt idx="57">
                  <c:v>3.2042000000000002</c:v>
                </c:pt>
                <c:pt idx="63">
                  <c:v>3.2665999999999999</c:v>
                </c:pt>
                <c:pt idx="96">
                  <c:v>1.9039999999999999</c:v>
                </c:pt>
                <c:pt idx="111">
                  <c:v>1.3554999999999999</c:v>
                </c:pt>
                <c:pt idx="119">
                  <c:v>1.3248</c:v>
                </c:pt>
                <c:pt idx="130">
                  <c:v>1.4257</c:v>
                </c:pt>
                <c:pt idx="152">
                  <c:v>1.5472999999999999</c:v>
                </c:pt>
                <c:pt idx="165">
                  <c:v>1.5168999999999999</c:v>
                </c:pt>
                <c:pt idx="182">
                  <c:v>1.9127000000000001</c:v>
                </c:pt>
                <c:pt idx="186">
                  <c:v>1.8313999999999999</c:v>
                </c:pt>
                <c:pt idx="195">
                  <c:v>1.9637</c:v>
                </c:pt>
                <c:pt idx="204">
                  <c:v>2.6566999999999998</c:v>
                </c:pt>
                <c:pt idx="210">
                  <c:v>2.6873</c:v>
                </c:pt>
                <c:pt idx="216">
                  <c:v>3.0865</c:v>
                </c:pt>
                <c:pt idx="224">
                  <c:v>3.343</c:v>
                </c:pt>
                <c:pt idx="227">
                  <c:v>3.4868999999999999</c:v>
                </c:pt>
                <c:pt idx="233">
                  <c:v>3.4971000000000001</c:v>
                </c:pt>
                <c:pt idx="244">
                  <c:v>3.5897999999999999</c:v>
                </c:pt>
                <c:pt idx="245">
                  <c:v>3.7751000000000001</c:v>
                </c:pt>
                <c:pt idx="248">
                  <c:v>3.7957000000000001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56C2-4110-BD50-F4D5132B5AF7}"/>
            </c:ext>
          </c:extLst>
        </c:ser>
        <c:ser>
          <c:idx val="72"/>
          <c:order val="72"/>
          <c:tx>
            <c:strRef>
              <c:f>'CPI Dispersion'!$CP$7:$CP$8</c:f>
              <c:strCache>
                <c:ptCount val="1"/>
                <c:pt idx="0">
                  <c:v>32121</c:v>
                </c:pt>
              </c:strCache>
            </c:strRef>
          </c:tx>
          <c:spPr>
            <a:ln w="19050" cap="rnd">
              <a:solidFill>
                <a:schemeClr val="accent1">
                  <a:shade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Dispersion'!$CP$9:$CP$259</c:f>
              <c:numCache>
                <c:formatCode>General</c:formatCode>
                <c:ptCount val="251"/>
                <c:pt idx="5">
                  <c:v>3.7107999999999999</c:v>
                </c:pt>
                <c:pt idx="27">
                  <c:v>3.7107999999999999</c:v>
                </c:pt>
                <c:pt idx="37">
                  <c:v>3.4624999999999999</c:v>
                </c:pt>
                <c:pt idx="39">
                  <c:v>3.7827000000000002</c:v>
                </c:pt>
                <c:pt idx="42">
                  <c:v>3.1530999999999998</c:v>
                </c:pt>
                <c:pt idx="69">
                  <c:v>2.7734999999999999</c:v>
                </c:pt>
                <c:pt idx="71">
                  <c:v>2.7530000000000001</c:v>
                </c:pt>
                <c:pt idx="82">
                  <c:v>2.7530000000000001</c:v>
                </c:pt>
                <c:pt idx="94">
                  <c:v>2.2603</c:v>
                </c:pt>
                <c:pt idx="102">
                  <c:v>1.6375</c:v>
                </c:pt>
                <c:pt idx="123">
                  <c:v>1.6375</c:v>
                </c:pt>
                <c:pt idx="131">
                  <c:v>1.9229000000000001</c:v>
                </c:pt>
                <c:pt idx="151">
                  <c:v>2.0449999999999999</c:v>
                </c:pt>
                <c:pt idx="161">
                  <c:v>1.5071000000000001</c:v>
                </c:pt>
                <c:pt idx="166">
                  <c:v>1.4664999999999999</c:v>
                </c:pt>
                <c:pt idx="185">
                  <c:v>1.8313999999999999</c:v>
                </c:pt>
                <c:pt idx="186">
                  <c:v>1.8313999999999999</c:v>
                </c:pt>
                <c:pt idx="193">
                  <c:v>1.8519000000000001</c:v>
                </c:pt>
                <c:pt idx="195">
                  <c:v>2.4116</c:v>
                </c:pt>
                <c:pt idx="218">
                  <c:v>3.0762</c:v>
                </c:pt>
                <c:pt idx="224">
                  <c:v>3.2299000000000002</c:v>
                </c:pt>
                <c:pt idx="243">
                  <c:v>3.8778000000000001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56C2-4110-BD50-F4D5132B5AF7}"/>
            </c:ext>
          </c:extLst>
        </c:ser>
        <c:ser>
          <c:idx val="73"/>
          <c:order val="73"/>
          <c:tx>
            <c:strRef>
              <c:f>'CPI Dispersion'!$CQ$7:$CQ$8</c:f>
              <c:strCache>
                <c:ptCount val="1"/>
                <c:pt idx="0">
                  <c:v>32180</c:v>
                </c:pt>
              </c:strCache>
            </c:strRef>
          </c:tx>
          <c:spPr>
            <a:ln w="19050" cap="rnd">
              <a:solidFill>
                <a:schemeClr val="accent1">
                  <a:shade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Dispersion'!$CQ$9:$CQ$259</c:f>
              <c:numCache>
                <c:formatCode>General</c:formatCode>
                <c:ptCount val="251"/>
                <c:pt idx="4">
                  <c:v>3.6977000000000002</c:v>
                </c:pt>
                <c:pt idx="9">
                  <c:v>3.6032999999999999</c:v>
                </c:pt>
                <c:pt idx="14">
                  <c:v>3.6991999999999998</c:v>
                </c:pt>
                <c:pt idx="28">
                  <c:v>3.8203</c:v>
                </c:pt>
                <c:pt idx="32">
                  <c:v>3.4434999999999998</c:v>
                </c:pt>
                <c:pt idx="38">
                  <c:v>3.4085999999999999</c:v>
                </c:pt>
                <c:pt idx="42">
                  <c:v>3.2486000000000002</c:v>
                </c:pt>
                <c:pt idx="52">
                  <c:v>3.1034000000000002</c:v>
                </c:pt>
                <c:pt idx="71">
                  <c:v>2.3986999999999998</c:v>
                </c:pt>
                <c:pt idx="85">
                  <c:v>1.8204</c:v>
                </c:pt>
                <c:pt idx="94">
                  <c:v>2.2258</c:v>
                </c:pt>
                <c:pt idx="98">
                  <c:v>1.8976</c:v>
                </c:pt>
                <c:pt idx="107">
                  <c:v>1.8625</c:v>
                </c:pt>
                <c:pt idx="112">
                  <c:v>1.8625</c:v>
                </c:pt>
                <c:pt idx="122">
                  <c:v>1.6664000000000001</c:v>
                </c:pt>
                <c:pt idx="127">
                  <c:v>1.2692000000000001</c:v>
                </c:pt>
                <c:pt idx="146">
                  <c:v>1.6037999999999999</c:v>
                </c:pt>
                <c:pt idx="161">
                  <c:v>1.5631999999999999</c:v>
                </c:pt>
                <c:pt idx="166">
                  <c:v>1.5133000000000001</c:v>
                </c:pt>
                <c:pt idx="171">
                  <c:v>1.5447</c:v>
                </c:pt>
                <c:pt idx="176">
                  <c:v>1.5132000000000001</c:v>
                </c:pt>
                <c:pt idx="186">
                  <c:v>1.8654999999999999</c:v>
                </c:pt>
                <c:pt idx="195">
                  <c:v>2.4102000000000001</c:v>
                </c:pt>
                <c:pt idx="219">
                  <c:v>2.5926</c:v>
                </c:pt>
                <c:pt idx="233">
                  <c:v>3.26</c:v>
                </c:pt>
                <c:pt idx="238">
                  <c:v>3.7172999999999998</c:v>
                </c:pt>
                <c:pt idx="248">
                  <c:v>3.7172999999999998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56C2-4110-BD50-F4D5132B5AF7}"/>
            </c:ext>
          </c:extLst>
        </c:ser>
        <c:ser>
          <c:idx val="74"/>
          <c:order val="74"/>
          <c:tx>
            <c:strRef>
              <c:f>'CPI Dispersion'!$CR$7:$CR$8</c:f>
              <c:strCache>
                <c:ptCount val="1"/>
                <c:pt idx="0">
                  <c:v>32200</c:v>
                </c:pt>
              </c:strCache>
            </c:strRef>
          </c:tx>
          <c:spPr>
            <a:ln w="19050" cap="rnd">
              <a:solidFill>
                <a:schemeClr val="accent1">
                  <a:shade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Dispersion'!$CR$9:$CR$259</c:f>
              <c:numCache>
                <c:formatCode>General</c:formatCode>
                <c:ptCount val="251"/>
                <c:pt idx="2">
                  <c:v>3.3801999999999999</c:v>
                </c:pt>
                <c:pt idx="12">
                  <c:v>3.1536</c:v>
                </c:pt>
                <c:pt idx="22">
                  <c:v>3.1536</c:v>
                </c:pt>
                <c:pt idx="25">
                  <c:v>3.02</c:v>
                </c:pt>
                <c:pt idx="37">
                  <c:v>3.0196000000000001</c:v>
                </c:pt>
                <c:pt idx="41">
                  <c:v>2.7732000000000001</c:v>
                </c:pt>
                <c:pt idx="47">
                  <c:v>2.6604000000000001</c:v>
                </c:pt>
                <c:pt idx="63">
                  <c:v>2.6604000000000001</c:v>
                </c:pt>
                <c:pt idx="78">
                  <c:v>1.5689</c:v>
                </c:pt>
                <c:pt idx="95">
                  <c:v>1.3635999999999999</c:v>
                </c:pt>
                <c:pt idx="101">
                  <c:v>1.1408</c:v>
                </c:pt>
                <c:pt idx="119">
                  <c:v>1.1617999999999999</c:v>
                </c:pt>
                <c:pt idx="129">
                  <c:v>1.1617</c:v>
                </c:pt>
                <c:pt idx="134">
                  <c:v>1.3958999999999999</c:v>
                </c:pt>
                <c:pt idx="136">
                  <c:v>1.3958999999999999</c:v>
                </c:pt>
                <c:pt idx="141">
                  <c:v>1.3958999999999999</c:v>
                </c:pt>
                <c:pt idx="144">
                  <c:v>1.4258999999999999</c:v>
                </c:pt>
                <c:pt idx="147">
                  <c:v>1.5469999999999999</c:v>
                </c:pt>
                <c:pt idx="157">
                  <c:v>1.3447</c:v>
                </c:pt>
                <c:pt idx="171">
                  <c:v>1.3447</c:v>
                </c:pt>
                <c:pt idx="176">
                  <c:v>1.3043</c:v>
                </c:pt>
                <c:pt idx="177">
                  <c:v>1.3043</c:v>
                </c:pt>
                <c:pt idx="183">
                  <c:v>1.6086</c:v>
                </c:pt>
                <c:pt idx="195">
                  <c:v>1.6188</c:v>
                </c:pt>
                <c:pt idx="213">
                  <c:v>2.4424000000000001</c:v>
                </c:pt>
                <c:pt idx="224">
                  <c:v>3.3018000000000001</c:v>
                </c:pt>
                <c:pt idx="246">
                  <c:v>3.8369</c:v>
                </c:pt>
                <c:pt idx="249">
                  <c:v>3.8369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56C2-4110-BD50-F4D5132B5AF7}"/>
            </c:ext>
          </c:extLst>
        </c:ser>
        <c:ser>
          <c:idx val="75"/>
          <c:order val="75"/>
          <c:tx>
            <c:strRef>
              <c:f>'CPI Dispersion'!$CS$7:$CS$8</c:f>
              <c:strCache>
                <c:ptCount val="1"/>
                <c:pt idx="0">
                  <c:v>32222</c:v>
                </c:pt>
              </c:strCache>
            </c:strRef>
          </c:tx>
          <c:spPr>
            <a:ln w="19050" cap="rnd">
              <a:solidFill>
                <a:schemeClr val="accent1">
                  <a:shade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Dispersion'!$CS$9:$CS$259</c:f>
              <c:numCache>
                <c:formatCode>General</c:formatCode>
                <c:ptCount val="251"/>
                <c:pt idx="15">
                  <c:v>3.3186</c:v>
                </c:pt>
                <c:pt idx="36">
                  <c:v>3.1951000000000001</c:v>
                </c:pt>
                <c:pt idx="38">
                  <c:v>3.2050999999999998</c:v>
                </c:pt>
                <c:pt idx="48">
                  <c:v>2.9072</c:v>
                </c:pt>
                <c:pt idx="60">
                  <c:v>2.9072</c:v>
                </c:pt>
                <c:pt idx="64">
                  <c:v>2.7530000000000001</c:v>
                </c:pt>
                <c:pt idx="80">
                  <c:v>1.3140000000000001</c:v>
                </c:pt>
                <c:pt idx="99">
                  <c:v>1.4046000000000001</c:v>
                </c:pt>
                <c:pt idx="102">
                  <c:v>1.181</c:v>
                </c:pt>
                <c:pt idx="136">
                  <c:v>1.6285000000000001</c:v>
                </c:pt>
                <c:pt idx="141">
                  <c:v>1.6285000000000001</c:v>
                </c:pt>
                <c:pt idx="152">
                  <c:v>1.7093</c:v>
                </c:pt>
                <c:pt idx="163">
                  <c:v>1.6489</c:v>
                </c:pt>
                <c:pt idx="173">
                  <c:v>1.7806</c:v>
                </c:pt>
                <c:pt idx="187">
                  <c:v>1.8723000000000001</c:v>
                </c:pt>
                <c:pt idx="192">
                  <c:v>2.1162999999999998</c:v>
                </c:pt>
                <c:pt idx="213">
                  <c:v>2.7486000000000002</c:v>
                </c:pt>
                <c:pt idx="219">
                  <c:v>3.0350999999999999</c:v>
                </c:pt>
                <c:pt idx="220">
                  <c:v>3.0350999999999999</c:v>
                </c:pt>
                <c:pt idx="239">
                  <c:v>3.5691000000000002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56C2-4110-BD50-F4D5132B5AF7}"/>
            </c:ext>
          </c:extLst>
        </c:ser>
        <c:ser>
          <c:idx val="76"/>
          <c:order val="76"/>
          <c:tx>
            <c:strRef>
              <c:f>'CPI Dispersion'!$CT$7:$CT$8</c:f>
              <c:strCache>
                <c:ptCount val="1"/>
                <c:pt idx="0">
                  <c:v>32260</c:v>
                </c:pt>
              </c:strCache>
            </c:strRef>
          </c:tx>
          <c:spPr>
            <a:ln w="19050" cap="rnd">
              <a:solidFill>
                <a:schemeClr val="accent1">
                  <a:shade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Dispersion'!$CT$9:$CT$259</c:f>
              <c:numCache>
                <c:formatCode>General</c:formatCode>
                <c:ptCount val="251"/>
                <c:pt idx="4">
                  <c:v>3.5964</c:v>
                </c:pt>
                <c:pt idx="10">
                  <c:v>3.5552000000000001</c:v>
                </c:pt>
                <c:pt idx="14">
                  <c:v>3.5552000000000001</c:v>
                </c:pt>
                <c:pt idx="22">
                  <c:v>3.5036</c:v>
                </c:pt>
                <c:pt idx="27">
                  <c:v>3.5034999999999998</c:v>
                </c:pt>
                <c:pt idx="32">
                  <c:v>3.4007999999999998</c:v>
                </c:pt>
                <c:pt idx="37">
                  <c:v>3.4011</c:v>
                </c:pt>
                <c:pt idx="41">
                  <c:v>3.4114</c:v>
                </c:pt>
                <c:pt idx="42">
                  <c:v>3.3496999999999999</c:v>
                </c:pt>
                <c:pt idx="47">
                  <c:v>3.0609999999999999</c:v>
                </c:pt>
                <c:pt idx="55">
                  <c:v>3.0609999999999999</c:v>
                </c:pt>
                <c:pt idx="61">
                  <c:v>3.1844000000000001</c:v>
                </c:pt>
                <c:pt idx="71">
                  <c:v>3.2978999999999998</c:v>
                </c:pt>
                <c:pt idx="85">
                  <c:v>2.5369999999999999</c:v>
                </c:pt>
                <c:pt idx="94">
                  <c:v>2.1798000000000002</c:v>
                </c:pt>
                <c:pt idx="102">
                  <c:v>1.8211999999999999</c:v>
                </c:pt>
                <c:pt idx="108">
                  <c:v>1.6997</c:v>
                </c:pt>
                <c:pt idx="109">
                  <c:v>1.6997</c:v>
                </c:pt>
                <c:pt idx="116">
                  <c:v>1.7097</c:v>
                </c:pt>
                <c:pt idx="117">
                  <c:v>1.6587000000000001</c:v>
                </c:pt>
                <c:pt idx="122">
                  <c:v>1.7094</c:v>
                </c:pt>
                <c:pt idx="131">
                  <c:v>1.8724000000000001</c:v>
                </c:pt>
                <c:pt idx="142">
                  <c:v>1.7909999999999999</c:v>
                </c:pt>
                <c:pt idx="146">
                  <c:v>1.7909999999999999</c:v>
                </c:pt>
                <c:pt idx="151">
                  <c:v>1.8515999999999999</c:v>
                </c:pt>
                <c:pt idx="156">
                  <c:v>1.8821000000000001</c:v>
                </c:pt>
                <c:pt idx="161">
                  <c:v>1.7098</c:v>
                </c:pt>
                <c:pt idx="166">
                  <c:v>1.5982000000000001</c:v>
                </c:pt>
                <c:pt idx="172">
                  <c:v>1.5881000000000001</c:v>
                </c:pt>
                <c:pt idx="176">
                  <c:v>1.5982000000000001</c:v>
                </c:pt>
                <c:pt idx="177">
                  <c:v>1.6287</c:v>
                </c:pt>
                <c:pt idx="183">
                  <c:v>1.7707999999999999</c:v>
                </c:pt>
                <c:pt idx="186">
                  <c:v>1.7707999999999999</c:v>
                </c:pt>
                <c:pt idx="191">
                  <c:v>1.8724000000000001</c:v>
                </c:pt>
                <c:pt idx="195">
                  <c:v>1.9944</c:v>
                </c:pt>
                <c:pt idx="203">
                  <c:v>2.5242</c:v>
                </c:pt>
                <c:pt idx="215">
                  <c:v>2.9329999999999998</c:v>
                </c:pt>
                <c:pt idx="219">
                  <c:v>2.9329999999999998</c:v>
                </c:pt>
                <c:pt idx="224">
                  <c:v>3.2812000000000001</c:v>
                </c:pt>
                <c:pt idx="238">
                  <c:v>3.4045000000000001</c:v>
                </c:pt>
                <c:pt idx="240">
                  <c:v>3.5177</c:v>
                </c:pt>
                <c:pt idx="243">
                  <c:v>3.4868000000000001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56C2-4110-BD50-F4D5132B5AF7}"/>
            </c:ext>
          </c:extLst>
        </c:ser>
        <c:ser>
          <c:idx val="77"/>
          <c:order val="77"/>
          <c:tx>
            <c:strRef>
              <c:f>'CPI Dispersion'!$CU$7:$CU$8</c:f>
              <c:strCache>
                <c:ptCount val="1"/>
                <c:pt idx="0">
                  <c:v>32280</c:v>
                </c:pt>
              </c:strCache>
            </c:strRef>
          </c:tx>
          <c:spPr>
            <a:ln w="19050" cap="rnd">
              <a:solidFill>
                <a:schemeClr val="accent1">
                  <a:shade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Dispersion'!$CU$9:$CU$259</c:f>
              <c:numCache>
                <c:formatCode>General</c:formatCode>
                <c:ptCount val="251"/>
                <c:pt idx="3">
                  <c:v>3.7</c:v>
                </c:pt>
                <c:pt idx="6">
                  <c:v>3.7</c:v>
                </c:pt>
                <c:pt idx="10">
                  <c:v>3.7</c:v>
                </c:pt>
                <c:pt idx="12">
                  <c:v>3.7</c:v>
                </c:pt>
                <c:pt idx="33">
                  <c:v>3.7</c:v>
                </c:pt>
                <c:pt idx="36">
                  <c:v>3.7</c:v>
                </c:pt>
                <c:pt idx="62">
                  <c:v>3.2</c:v>
                </c:pt>
                <c:pt idx="82">
                  <c:v>1.8527</c:v>
                </c:pt>
                <c:pt idx="87">
                  <c:v>1.6093999999999999</c:v>
                </c:pt>
                <c:pt idx="106">
                  <c:v>1.3244</c:v>
                </c:pt>
                <c:pt idx="124">
                  <c:v>1.5366</c:v>
                </c:pt>
                <c:pt idx="145">
                  <c:v>1.8521000000000001</c:v>
                </c:pt>
                <c:pt idx="161">
                  <c:v>1.6895</c:v>
                </c:pt>
                <c:pt idx="182">
                  <c:v>1.974</c:v>
                </c:pt>
                <c:pt idx="205">
                  <c:v>2.2488000000000001</c:v>
                </c:pt>
                <c:pt idx="215">
                  <c:v>2.9676999999999998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56C2-4110-BD50-F4D5132B5AF7}"/>
            </c:ext>
          </c:extLst>
        </c:ser>
        <c:ser>
          <c:idx val="78"/>
          <c:order val="78"/>
          <c:tx>
            <c:strRef>
              <c:f>'CPI Dispersion'!$CV$7:$CV$8</c:f>
              <c:strCache>
                <c:ptCount val="1"/>
                <c:pt idx="0">
                  <c:v>32320</c:v>
                </c:pt>
              </c:strCache>
            </c:strRef>
          </c:tx>
          <c:spPr>
            <a:ln w="19050" cap="rnd">
              <a:solidFill>
                <a:schemeClr val="accent1">
                  <a:shade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Dispersion'!$CV$9:$CV$259</c:f>
              <c:numCache>
                <c:formatCode>General</c:formatCode>
                <c:ptCount val="251"/>
                <c:pt idx="4">
                  <c:v>3.4940000000000002</c:v>
                </c:pt>
                <c:pt idx="8">
                  <c:v>3.2363</c:v>
                </c:pt>
                <c:pt idx="28">
                  <c:v>3.4014000000000002</c:v>
                </c:pt>
                <c:pt idx="40">
                  <c:v>3.4014000000000002</c:v>
                </c:pt>
                <c:pt idx="85">
                  <c:v>1.9665999999999999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56C2-4110-BD50-F4D5132B5AF7}"/>
            </c:ext>
          </c:extLst>
        </c:ser>
        <c:ser>
          <c:idx val="79"/>
          <c:order val="79"/>
          <c:tx>
            <c:strRef>
              <c:f>'CPI Dispersion'!$CW$7:$CW$8</c:f>
              <c:strCache>
                <c:ptCount val="1"/>
                <c:pt idx="0">
                  <c:v>32340</c:v>
                </c:pt>
              </c:strCache>
            </c:strRef>
          </c:tx>
          <c:spPr>
            <a:ln w="19050" cap="rnd">
              <a:solidFill>
                <a:schemeClr val="accent1">
                  <a:shade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Dispersion'!$CW$9:$CW$259</c:f>
              <c:numCache>
                <c:formatCode>General</c:formatCode>
                <c:ptCount val="251"/>
                <c:pt idx="4">
                  <c:v>3.5251999999999999</c:v>
                </c:pt>
                <c:pt idx="5">
                  <c:v>3.5251999999999999</c:v>
                </c:pt>
                <c:pt idx="9">
                  <c:v>3.5148999999999999</c:v>
                </c:pt>
                <c:pt idx="20">
                  <c:v>3.5047000000000001</c:v>
                </c:pt>
                <c:pt idx="27">
                  <c:v>3.4325999999999999</c:v>
                </c:pt>
                <c:pt idx="32">
                  <c:v>3.4011</c:v>
                </c:pt>
                <c:pt idx="33">
                  <c:v>3.4319999999999999</c:v>
                </c:pt>
                <c:pt idx="42">
                  <c:v>3.2667999999999999</c:v>
                </c:pt>
                <c:pt idx="52">
                  <c:v>3.1741999999999999</c:v>
                </c:pt>
                <c:pt idx="69">
                  <c:v>3.0406</c:v>
                </c:pt>
                <c:pt idx="71">
                  <c:v>2.9891999999999999</c:v>
                </c:pt>
                <c:pt idx="76">
                  <c:v>2.5787</c:v>
                </c:pt>
                <c:pt idx="81">
                  <c:v>2.4039000000000001</c:v>
                </c:pt>
                <c:pt idx="85">
                  <c:v>2.3730000000000002</c:v>
                </c:pt>
                <c:pt idx="94">
                  <c:v>2.1888000000000001</c:v>
                </c:pt>
                <c:pt idx="102">
                  <c:v>1.9224000000000001</c:v>
                </c:pt>
                <c:pt idx="117">
                  <c:v>1.9016</c:v>
                </c:pt>
                <c:pt idx="122">
                  <c:v>1.8915</c:v>
                </c:pt>
                <c:pt idx="131">
                  <c:v>1.7705</c:v>
                </c:pt>
                <c:pt idx="146">
                  <c:v>1.6689000000000001</c:v>
                </c:pt>
                <c:pt idx="156">
                  <c:v>1.6384000000000001</c:v>
                </c:pt>
                <c:pt idx="161">
                  <c:v>1.5374000000000001</c:v>
                </c:pt>
                <c:pt idx="166">
                  <c:v>1.5373000000000001</c:v>
                </c:pt>
                <c:pt idx="167">
                  <c:v>1.5373000000000001</c:v>
                </c:pt>
                <c:pt idx="176">
                  <c:v>1.5476000000000001</c:v>
                </c:pt>
                <c:pt idx="191">
                  <c:v>1.6895</c:v>
                </c:pt>
                <c:pt idx="194">
                  <c:v>1.7099</c:v>
                </c:pt>
                <c:pt idx="195">
                  <c:v>1.8194999999999999</c:v>
                </c:pt>
                <c:pt idx="205">
                  <c:v>2.0042</c:v>
                </c:pt>
                <c:pt idx="210">
                  <c:v>2.1364000000000001</c:v>
                </c:pt>
                <c:pt idx="211">
                  <c:v>2.1772</c:v>
                </c:pt>
                <c:pt idx="223">
                  <c:v>2.7484000000000002</c:v>
                </c:pt>
                <c:pt idx="224">
                  <c:v>2.8403999999999998</c:v>
                </c:pt>
                <c:pt idx="243">
                  <c:v>3.4458000000000002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56C2-4110-BD50-F4D5132B5AF7}"/>
            </c:ext>
          </c:extLst>
        </c:ser>
        <c:ser>
          <c:idx val="80"/>
          <c:order val="80"/>
          <c:tx>
            <c:strRef>
              <c:f>'CPI Dispersion'!$CX$7:$CX$8</c:f>
              <c:strCache>
                <c:ptCount val="1"/>
                <c:pt idx="0">
                  <c:v>32360</c:v>
                </c:pt>
              </c:strCache>
            </c:strRef>
          </c:tx>
          <c:spPr>
            <a:ln w="19050" cap="rnd">
              <a:solidFill>
                <a:schemeClr val="accent1">
                  <a:shade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Dispersion'!$CX$9:$CX$259</c:f>
              <c:numCache>
                <c:formatCode>General</c:formatCode>
                <c:ptCount val="251"/>
                <c:pt idx="0">
                  <c:v>3.5977999999999999</c:v>
                </c:pt>
                <c:pt idx="2">
                  <c:v>3.5977999999999999</c:v>
                </c:pt>
                <c:pt idx="4">
                  <c:v>3.5977999999999999</c:v>
                </c:pt>
                <c:pt idx="5">
                  <c:v>3.5977999999999999</c:v>
                </c:pt>
                <c:pt idx="7">
                  <c:v>3.5977999999999999</c:v>
                </c:pt>
                <c:pt idx="14">
                  <c:v>3.3086000000000002</c:v>
                </c:pt>
                <c:pt idx="22">
                  <c:v>3.3086000000000002</c:v>
                </c:pt>
                <c:pt idx="28">
                  <c:v>3.7233999999999998</c:v>
                </c:pt>
                <c:pt idx="36">
                  <c:v>3.7233999999999998</c:v>
                </c:pt>
                <c:pt idx="37">
                  <c:v>3.5836999999999999</c:v>
                </c:pt>
                <c:pt idx="66">
                  <c:v>3.1644000000000001</c:v>
                </c:pt>
                <c:pt idx="67">
                  <c:v>2.7534999999999998</c:v>
                </c:pt>
                <c:pt idx="69">
                  <c:v>2.5922000000000001</c:v>
                </c:pt>
                <c:pt idx="71">
                  <c:v>2.4121999999999999</c:v>
                </c:pt>
                <c:pt idx="73">
                  <c:v>2.4121999999999999</c:v>
                </c:pt>
                <c:pt idx="74">
                  <c:v>2.4121999999999999</c:v>
                </c:pt>
                <c:pt idx="82">
                  <c:v>2.4121999999999999</c:v>
                </c:pt>
                <c:pt idx="93">
                  <c:v>2.3815</c:v>
                </c:pt>
                <c:pt idx="94">
                  <c:v>2.1092</c:v>
                </c:pt>
                <c:pt idx="101">
                  <c:v>1.0295000000000001</c:v>
                </c:pt>
                <c:pt idx="102">
                  <c:v>1.0295000000000001</c:v>
                </c:pt>
                <c:pt idx="109">
                  <c:v>1.0221</c:v>
                </c:pt>
                <c:pt idx="110">
                  <c:v>1.0221</c:v>
                </c:pt>
                <c:pt idx="116">
                  <c:v>1.0221</c:v>
                </c:pt>
                <c:pt idx="127">
                  <c:v>1.4363999999999999</c:v>
                </c:pt>
                <c:pt idx="131">
                  <c:v>1.3758999999999999</c:v>
                </c:pt>
                <c:pt idx="132">
                  <c:v>1.3758999999999999</c:v>
                </c:pt>
                <c:pt idx="152">
                  <c:v>1.7198</c:v>
                </c:pt>
                <c:pt idx="161">
                  <c:v>1.3653999999999999</c:v>
                </c:pt>
                <c:pt idx="162">
                  <c:v>1.3653999999999999</c:v>
                </c:pt>
                <c:pt idx="166">
                  <c:v>1.2542</c:v>
                </c:pt>
                <c:pt idx="175">
                  <c:v>1.2642</c:v>
                </c:pt>
                <c:pt idx="195">
                  <c:v>1.964</c:v>
                </c:pt>
                <c:pt idx="196">
                  <c:v>1.964</c:v>
                </c:pt>
                <c:pt idx="224">
                  <c:v>3.3271999999999999</c:v>
                </c:pt>
                <c:pt idx="235">
                  <c:v>3.4457</c:v>
                </c:pt>
                <c:pt idx="243">
                  <c:v>3.4971999999999999</c:v>
                </c:pt>
                <c:pt idx="244">
                  <c:v>3.4971999999999999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56C2-4110-BD50-F4D5132B5AF7}"/>
            </c:ext>
          </c:extLst>
        </c:ser>
        <c:ser>
          <c:idx val="81"/>
          <c:order val="81"/>
          <c:tx>
            <c:strRef>
              <c:f>'CPI Dispersion'!$CY$7:$CY$8</c:f>
              <c:strCache>
                <c:ptCount val="1"/>
                <c:pt idx="0">
                  <c:v>32380</c:v>
                </c:pt>
              </c:strCache>
            </c:strRef>
          </c:tx>
          <c:spPr>
            <a:ln w="19050" cap="rnd">
              <a:solidFill>
                <a:schemeClr val="accent1">
                  <a:shade val="8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Dispersion'!$CY$9:$CY$259</c:f>
              <c:numCache>
                <c:formatCode>General</c:formatCode>
                <c:ptCount val="251"/>
                <c:pt idx="10">
                  <c:v>3.5912999999999999</c:v>
                </c:pt>
                <c:pt idx="28">
                  <c:v>3.6223000000000001</c:v>
                </c:pt>
                <c:pt idx="48">
                  <c:v>3.3538999999999999</c:v>
                </c:pt>
                <c:pt idx="70">
                  <c:v>3.2818999999999998</c:v>
                </c:pt>
                <c:pt idx="75">
                  <c:v>3.2818999999999998</c:v>
                </c:pt>
                <c:pt idx="81">
                  <c:v>2.9257</c:v>
                </c:pt>
                <c:pt idx="103">
                  <c:v>2.3365999999999998</c:v>
                </c:pt>
                <c:pt idx="123">
                  <c:v>1.363</c:v>
                </c:pt>
                <c:pt idx="138">
                  <c:v>2.0706000000000002</c:v>
                </c:pt>
                <c:pt idx="157">
                  <c:v>1.9024000000000001</c:v>
                </c:pt>
                <c:pt idx="177">
                  <c:v>2.2690000000000001</c:v>
                </c:pt>
                <c:pt idx="197">
                  <c:v>2.1570999999999998</c:v>
                </c:pt>
                <c:pt idx="218">
                  <c:v>2.5545</c:v>
                </c:pt>
                <c:pt idx="238">
                  <c:v>3.3327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56C2-4110-BD50-F4D5132B5AF7}"/>
            </c:ext>
          </c:extLst>
        </c:ser>
        <c:ser>
          <c:idx val="82"/>
          <c:order val="82"/>
          <c:tx>
            <c:strRef>
              <c:f>'CPI Dispersion'!$CZ$7:$CZ$8</c:f>
              <c:strCache>
                <c:ptCount val="1"/>
                <c:pt idx="0">
                  <c:v>32400</c:v>
                </c:pt>
              </c:strCache>
            </c:strRef>
          </c:tx>
          <c:spPr>
            <a:ln w="19050" cap="rnd">
              <a:solidFill>
                <a:schemeClr val="accent1">
                  <a:shade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Dispersion'!$CZ$9:$CZ$259</c:f>
              <c:numCache>
                <c:formatCode>General</c:formatCode>
                <c:ptCount val="251"/>
                <c:pt idx="2">
                  <c:v>3.6</c:v>
                </c:pt>
                <c:pt idx="27">
                  <c:v>3.6</c:v>
                </c:pt>
                <c:pt idx="47">
                  <c:v>3.5</c:v>
                </c:pt>
                <c:pt idx="53">
                  <c:v>3.5</c:v>
                </c:pt>
                <c:pt idx="66">
                  <c:v>3.5</c:v>
                </c:pt>
                <c:pt idx="78">
                  <c:v>2.2000000000000002</c:v>
                </c:pt>
                <c:pt idx="87">
                  <c:v>2.2000000000000002</c:v>
                </c:pt>
                <c:pt idx="113">
                  <c:v>1.9</c:v>
                </c:pt>
                <c:pt idx="127">
                  <c:v>1.6</c:v>
                </c:pt>
                <c:pt idx="139">
                  <c:v>1.7</c:v>
                </c:pt>
                <c:pt idx="142">
                  <c:v>1.79</c:v>
                </c:pt>
                <c:pt idx="149">
                  <c:v>1.79</c:v>
                </c:pt>
                <c:pt idx="152">
                  <c:v>1.79</c:v>
                </c:pt>
                <c:pt idx="153">
                  <c:v>1.8</c:v>
                </c:pt>
                <c:pt idx="158">
                  <c:v>1.8722000000000001</c:v>
                </c:pt>
                <c:pt idx="160">
                  <c:v>1.9026000000000001</c:v>
                </c:pt>
                <c:pt idx="161">
                  <c:v>1.6795</c:v>
                </c:pt>
                <c:pt idx="162">
                  <c:v>1.7606999999999999</c:v>
                </c:pt>
                <c:pt idx="166">
                  <c:v>1.6692</c:v>
                </c:pt>
                <c:pt idx="170">
                  <c:v>1.6692</c:v>
                </c:pt>
                <c:pt idx="172">
                  <c:v>1.7301</c:v>
                </c:pt>
                <c:pt idx="175">
                  <c:v>1.8520000000000001</c:v>
                </c:pt>
                <c:pt idx="176">
                  <c:v>1.8723000000000001</c:v>
                </c:pt>
                <c:pt idx="180">
                  <c:v>1.8113999999999999</c:v>
                </c:pt>
                <c:pt idx="182">
                  <c:v>2.0249000000000001</c:v>
                </c:pt>
                <c:pt idx="183">
                  <c:v>1.8217000000000001</c:v>
                </c:pt>
                <c:pt idx="191">
                  <c:v>1.8724000000000001</c:v>
                </c:pt>
                <c:pt idx="194">
                  <c:v>1.9437</c:v>
                </c:pt>
                <c:pt idx="199">
                  <c:v>2.1469999999999998</c:v>
                </c:pt>
                <c:pt idx="201">
                  <c:v>2.1063000000000001</c:v>
                </c:pt>
                <c:pt idx="203">
                  <c:v>2.1776</c:v>
                </c:pt>
                <c:pt idx="205">
                  <c:v>2.2692000000000001</c:v>
                </c:pt>
                <c:pt idx="208">
                  <c:v>2.4220999999999999</c:v>
                </c:pt>
                <c:pt idx="213">
                  <c:v>2.4935</c:v>
                </c:pt>
                <c:pt idx="215">
                  <c:v>2.9123999999999999</c:v>
                </c:pt>
                <c:pt idx="225">
                  <c:v>3.0453000000000001</c:v>
                </c:pt>
                <c:pt idx="229">
                  <c:v>3.0246</c:v>
                </c:pt>
                <c:pt idx="233">
                  <c:v>3.2504</c:v>
                </c:pt>
                <c:pt idx="245">
                  <c:v>3.7235999999999998</c:v>
                </c:pt>
                <c:pt idx="249">
                  <c:v>3.8472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56C2-4110-BD50-F4D5132B5AF7}"/>
            </c:ext>
          </c:extLst>
        </c:ser>
        <c:ser>
          <c:idx val="83"/>
          <c:order val="83"/>
          <c:tx>
            <c:strRef>
              <c:f>'CPI Dispersion'!$DA$7:$DA$8</c:f>
              <c:strCache>
                <c:ptCount val="1"/>
                <c:pt idx="0">
                  <c:v>32401</c:v>
                </c:pt>
              </c:strCache>
            </c:strRef>
          </c:tx>
          <c:spPr>
            <a:ln w="19050" cap="rnd">
              <a:solidFill>
                <a:schemeClr val="accent1">
                  <a:shade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Dispersion'!$DA$9:$DA$259</c:f>
              <c:numCache>
                <c:formatCode>General</c:formatCode>
                <c:ptCount val="251"/>
                <c:pt idx="0">
                  <c:v>4.2286999999999999</c:v>
                </c:pt>
                <c:pt idx="10">
                  <c:v>4.2286999999999999</c:v>
                </c:pt>
                <c:pt idx="15">
                  <c:v>4.2286999999999999</c:v>
                </c:pt>
                <c:pt idx="18">
                  <c:v>4.2286999999999999</c:v>
                </c:pt>
                <c:pt idx="27">
                  <c:v>4.2286999999999999</c:v>
                </c:pt>
                <c:pt idx="49">
                  <c:v>3.9695999999999998</c:v>
                </c:pt>
                <c:pt idx="68">
                  <c:v>3.5041000000000002</c:v>
                </c:pt>
                <c:pt idx="71">
                  <c:v>3.5249000000000001</c:v>
                </c:pt>
                <c:pt idx="91">
                  <c:v>2.4866000000000001</c:v>
                </c:pt>
                <c:pt idx="113">
                  <c:v>2.2098</c:v>
                </c:pt>
                <c:pt idx="118">
                  <c:v>1.9737</c:v>
                </c:pt>
                <c:pt idx="131">
                  <c:v>1.9738</c:v>
                </c:pt>
                <c:pt idx="145">
                  <c:v>1.6186</c:v>
                </c:pt>
                <c:pt idx="175">
                  <c:v>1.6083000000000001</c:v>
                </c:pt>
                <c:pt idx="176">
                  <c:v>1.6083000000000001</c:v>
                </c:pt>
                <c:pt idx="195">
                  <c:v>1.6695</c:v>
                </c:pt>
                <c:pt idx="205">
                  <c:v>2.3711000000000002</c:v>
                </c:pt>
                <c:pt idx="224">
                  <c:v>2.5137999999999998</c:v>
                </c:pt>
                <c:pt idx="239">
                  <c:v>3.1888000000000001</c:v>
                </c:pt>
                <c:pt idx="242">
                  <c:v>3.1888000000000001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56C2-4110-BD50-F4D5132B5AF7}"/>
            </c:ext>
          </c:extLst>
        </c:ser>
        <c:ser>
          <c:idx val="84"/>
          <c:order val="84"/>
          <c:tx>
            <c:strRef>
              <c:f>'CPI Dispersion'!$DB$7:$DB$8</c:f>
              <c:strCache>
                <c:ptCount val="1"/>
                <c:pt idx="0">
                  <c:v>32420</c:v>
                </c:pt>
              </c:strCache>
            </c:strRef>
          </c:tx>
          <c:spPr>
            <a:ln w="19050" cap="rnd">
              <a:solidFill>
                <a:schemeClr val="accent1">
                  <a:shade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Dispersion'!$DB$9:$DB$259</c:f>
              <c:numCache>
                <c:formatCode>General</c:formatCode>
                <c:ptCount val="251"/>
                <c:pt idx="2">
                  <c:v>3.6494</c:v>
                </c:pt>
                <c:pt idx="12">
                  <c:v>3.7574999999999998</c:v>
                </c:pt>
                <c:pt idx="32">
                  <c:v>3.7574999999999998</c:v>
                </c:pt>
                <c:pt idx="39">
                  <c:v>4.0377000000000001</c:v>
                </c:pt>
                <c:pt idx="52">
                  <c:v>3.0594999999999999</c:v>
                </c:pt>
                <c:pt idx="76">
                  <c:v>3.2121</c:v>
                </c:pt>
                <c:pt idx="81">
                  <c:v>2.9937999999999998</c:v>
                </c:pt>
                <c:pt idx="85">
                  <c:v>3.2570000000000001</c:v>
                </c:pt>
                <c:pt idx="98">
                  <c:v>2.4355000000000002</c:v>
                </c:pt>
                <c:pt idx="102">
                  <c:v>1.6432</c:v>
                </c:pt>
                <c:pt idx="112">
                  <c:v>1.5806</c:v>
                </c:pt>
                <c:pt idx="117">
                  <c:v>1.597</c:v>
                </c:pt>
                <c:pt idx="122">
                  <c:v>1.6334</c:v>
                </c:pt>
                <c:pt idx="146">
                  <c:v>1.8980999999999999</c:v>
                </c:pt>
                <c:pt idx="151">
                  <c:v>1.8689</c:v>
                </c:pt>
                <c:pt idx="154">
                  <c:v>1.8689</c:v>
                </c:pt>
                <c:pt idx="176">
                  <c:v>1.6766000000000001</c:v>
                </c:pt>
                <c:pt idx="181">
                  <c:v>1.6766000000000001</c:v>
                </c:pt>
                <c:pt idx="186">
                  <c:v>1.6766000000000001</c:v>
                </c:pt>
                <c:pt idx="190">
                  <c:v>1.6766000000000001</c:v>
                </c:pt>
                <c:pt idx="192">
                  <c:v>1.8983000000000001</c:v>
                </c:pt>
                <c:pt idx="195">
                  <c:v>1.9514</c:v>
                </c:pt>
                <c:pt idx="202">
                  <c:v>2.1392000000000002</c:v>
                </c:pt>
                <c:pt idx="203">
                  <c:v>2.4310999999999998</c:v>
                </c:pt>
                <c:pt idx="218">
                  <c:v>2.8334999999999999</c:v>
                </c:pt>
                <c:pt idx="220">
                  <c:v>2.8334999999999999</c:v>
                </c:pt>
                <c:pt idx="235">
                  <c:v>3.4188000000000001</c:v>
                </c:pt>
                <c:pt idx="244">
                  <c:v>3.4918999999999998</c:v>
                </c:pt>
                <c:pt idx="245">
                  <c:v>3.6051000000000002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56C2-4110-BD50-F4D5132B5AF7}"/>
            </c:ext>
          </c:extLst>
        </c:ser>
        <c:ser>
          <c:idx val="85"/>
          <c:order val="85"/>
          <c:tx>
            <c:strRef>
              <c:f>'CPI Dispersion'!$DC$7:$DC$8</c:f>
              <c:strCache>
                <c:ptCount val="1"/>
                <c:pt idx="0">
                  <c:v>32421</c:v>
                </c:pt>
              </c:strCache>
            </c:strRef>
          </c:tx>
          <c:spPr>
            <a:ln w="19050" cap="rnd">
              <a:solidFill>
                <a:schemeClr val="accent1">
                  <a:shade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Dispersion'!$DC$9:$DC$259</c:f>
              <c:numCache>
                <c:formatCode>General</c:formatCode>
                <c:ptCount val="251"/>
                <c:pt idx="0">
                  <c:v>3.6661000000000001</c:v>
                </c:pt>
                <c:pt idx="7">
                  <c:v>3.6360000000000001</c:v>
                </c:pt>
                <c:pt idx="10">
                  <c:v>3.6878000000000002</c:v>
                </c:pt>
                <c:pt idx="19">
                  <c:v>3.6817000000000002</c:v>
                </c:pt>
                <c:pt idx="31">
                  <c:v>3.5440999999999998</c:v>
                </c:pt>
                <c:pt idx="33">
                  <c:v>3.4125999999999999</c:v>
                </c:pt>
                <c:pt idx="38">
                  <c:v>3.3893</c:v>
                </c:pt>
                <c:pt idx="44">
                  <c:v>3.3372999999999999</c:v>
                </c:pt>
                <c:pt idx="48">
                  <c:v>3.1337000000000002</c:v>
                </c:pt>
                <c:pt idx="53">
                  <c:v>3.1644999999999999</c:v>
                </c:pt>
                <c:pt idx="60">
                  <c:v>3.1492</c:v>
                </c:pt>
                <c:pt idx="62">
                  <c:v>3.0442</c:v>
                </c:pt>
                <c:pt idx="67">
                  <c:v>3.0293000000000001</c:v>
                </c:pt>
                <c:pt idx="73">
                  <c:v>2.9658000000000002</c:v>
                </c:pt>
                <c:pt idx="77">
                  <c:v>2.7130000000000001</c:v>
                </c:pt>
                <c:pt idx="85">
                  <c:v>2.4060999999999999</c:v>
                </c:pt>
                <c:pt idx="86">
                  <c:v>2.3056999999999999</c:v>
                </c:pt>
                <c:pt idx="90">
                  <c:v>2.3018999999999998</c:v>
                </c:pt>
                <c:pt idx="99">
                  <c:v>1.897</c:v>
                </c:pt>
                <c:pt idx="103">
                  <c:v>1.6357999999999999</c:v>
                </c:pt>
                <c:pt idx="108">
                  <c:v>1.5297000000000001</c:v>
                </c:pt>
                <c:pt idx="112">
                  <c:v>1.5297000000000001</c:v>
                </c:pt>
                <c:pt idx="113">
                  <c:v>1.5297000000000001</c:v>
                </c:pt>
                <c:pt idx="118">
                  <c:v>1.3617999999999999</c:v>
                </c:pt>
                <c:pt idx="123">
                  <c:v>1.4892000000000001</c:v>
                </c:pt>
                <c:pt idx="128">
                  <c:v>1.4323999999999999</c:v>
                </c:pt>
                <c:pt idx="132">
                  <c:v>1.7557</c:v>
                </c:pt>
                <c:pt idx="142">
                  <c:v>1.7803</c:v>
                </c:pt>
                <c:pt idx="147">
                  <c:v>1.6991000000000001</c:v>
                </c:pt>
                <c:pt idx="152">
                  <c:v>1.778</c:v>
                </c:pt>
                <c:pt idx="157">
                  <c:v>1.6706000000000001</c:v>
                </c:pt>
                <c:pt idx="162">
                  <c:v>1.5813999999999999</c:v>
                </c:pt>
                <c:pt idx="167">
                  <c:v>1.5183</c:v>
                </c:pt>
                <c:pt idx="172">
                  <c:v>1.6593</c:v>
                </c:pt>
                <c:pt idx="177">
                  <c:v>1.7645999999999999</c:v>
                </c:pt>
                <c:pt idx="182">
                  <c:v>1.7258</c:v>
                </c:pt>
                <c:pt idx="187">
                  <c:v>1.7842</c:v>
                </c:pt>
                <c:pt idx="192">
                  <c:v>1.7911999999999999</c:v>
                </c:pt>
                <c:pt idx="198">
                  <c:v>1.9419999999999999</c:v>
                </c:pt>
                <c:pt idx="202">
                  <c:v>1.9736</c:v>
                </c:pt>
                <c:pt idx="206">
                  <c:v>2.1818</c:v>
                </c:pt>
                <c:pt idx="211">
                  <c:v>2.3121999999999998</c:v>
                </c:pt>
                <c:pt idx="216">
                  <c:v>2.6722000000000001</c:v>
                </c:pt>
                <c:pt idx="220">
                  <c:v>2.7383999999999999</c:v>
                </c:pt>
                <c:pt idx="225">
                  <c:v>3.1528999999999998</c:v>
                </c:pt>
                <c:pt idx="230">
                  <c:v>3.1408</c:v>
                </c:pt>
                <c:pt idx="239">
                  <c:v>3.3771</c:v>
                </c:pt>
                <c:pt idx="244">
                  <c:v>3.6162000000000001</c:v>
                </c:pt>
                <c:pt idx="249">
                  <c:v>3.661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56C2-4110-BD50-F4D5132B5AF7}"/>
            </c:ext>
          </c:extLst>
        </c:ser>
        <c:ser>
          <c:idx val="86"/>
          <c:order val="86"/>
          <c:tx>
            <c:strRef>
              <c:f>'CPI Dispersion'!$DD$7:$DD$8</c:f>
              <c:strCache>
                <c:ptCount val="1"/>
                <c:pt idx="0">
                  <c:v>32440</c:v>
                </c:pt>
              </c:strCache>
            </c:strRef>
          </c:tx>
          <c:spPr>
            <a:ln w="19050" cap="rnd">
              <a:solidFill>
                <a:schemeClr val="accent1">
                  <a:shade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Dispersion'!$DD$9:$DD$259</c:f>
              <c:numCache>
                <c:formatCode>General</c:formatCode>
                <c:ptCount val="251"/>
                <c:pt idx="9">
                  <c:v>4.2294999999999998</c:v>
                </c:pt>
                <c:pt idx="25">
                  <c:v>4.2191000000000001</c:v>
                </c:pt>
                <c:pt idx="90">
                  <c:v>2.9998999999999998</c:v>
                </c:pt>
                <c:pt idx="119">
                  <c:v>2.0554999999999999</c:v>
                </c:pt>
                <c:pt idx="143">
                  <c:v>2.0247999999999999</c:v>
                </c:pt>
                <c:pt idx="215">
                  <c:v>2.0247999999999999</c:v>
                </c:pt>
                <c:pt idx="234">
                  <c:v>3.1476999999999999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56C2-4110-BD50-F4D5132B5AF7}"/>
            </c:ext>
          </c:extLst>
        </c:ser>
        <c:ser>
          <c:idx val="87"/>
          <c:order val="87"/>
          <c:tx>
            <c:strRef>
              <c:f>'CPI Dispersion'!$DE$7:$DE$8</c:f>
              <c:strCache>
                <c:ptCount val="1"/>
                <c:pt idx="0">
                  <c:v>32480</c:v>
                </c:pt>
              </c:strCache>
            </c:strRef>
          </c:tx>
          <c:spPr>
            <a:ln w="19050" cap="rnd">
              <a:solidFill>
                <a:schemeClr val="accent1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Dispersion'!$DE$9:$DE$259</c:f>
              <c:numCache>
                <c:formatCode>General</c:formatCode>
                <c:ptCount val="251"/>
                <c:pt idx="5">
                  <c:v>3.2469000000000001</c:v>
                </c:pt>
                <c:pt idx="21">
                  <c:v>3.2469000000000001</c:v>
                </c:pt>
                <c:pt idx="27">
                  <c:v>3.2469000000000001</c:v>
                </c:pt>
                <c:pt idx="42">
                  <c:v>3.0310999999999999</c:v>
                </c:pt>
                <c:pt idx="47">
                  <c:v>2.8872</c:v>
                </c:pt>
                <c:pt idx="55">
                  <c:v>2.8872</c:v>
                </c:pt>
                <c:pt idx="72">
                  <c:v>2.6821000000000002</c:v>
                </c:pt>
                <c:pt idx="83">
                  <c:v>1.9968999999999999</c:v>
                </c:pt>
                <c:pt idx="106">
                  <c:v>1.6812</c:v>
                </c:pt>
                <c:pt idx="125">
                  <c:v>1.1625000000000001</c:v>
                </c:pt>
                <c:pt idx="144">
                  <c:v>1.5885</c:v>
                </c:pt>
                <c:pt idx="161">
                  <c:v>1.6999</c:v>
                </c:pt>
                <c:pt idx="182">
                  <c:v>1.7606999999999999</c:v>
                </c:pt>
                <c:pt idx="184">
                  <c:v>1.6287</c:v>
                </c:pt>
                <c:pt idx="197">
                  <c:v>1.8522000000000001</c:v>
                </c:pt>
                <c:pt idx="203">
                  <c:v>2.3506999999999998</c:v>
                </c:pt>
                <c:pt idx="234">
                  <c:v>3.4043000000000001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56C2-4110-BD50-F4D5132B5AF7}"/>
            </c:ext>
          </c:extLst>
        </c:ser>
        <c:ser>
          <c:idx val="88"/>
          <c:order val="88"/>
          <c:tx>
            <c:strRef>
              <c:f>'CPI Dispersion'!$DF$7:$DF$8</c:f>
              <c:strCache>
                <c:ptCount val="1"/>
                <c:pt idx="0">
                  <c:v>32500</c:v>
                </c:pt>
              </c:strCache>
            </c:strRef>
          </c:tx>
          <c:spPr>
            <a:ln w="19050" cap="rnd">
              <a:solidFill>
                <a:schemeClr val="accent1">
                  <a:shade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Dispersion'!$DF$9:$DF$259</c:f>
              <c:numCache>
                <c:formatCode>General</c:formatCode>
                <c:ptCount val="251"/>
                <c:pt idx="52">
                  <c:v>3.1646999999999998</c:v>
                </c:pt>
                <c:pt idx="65">
                  <c:v>3.1646999999999998</c:v>
                </c:pt>
                <c:pt idx="71">
                  <c:v>2.8972000000000002</c:v>
                </c:pt>
                <c:pt idx="89">
                  <c:v>1.6006</c:v>
                </c:pt>
                <c:pt idx="117">
                  <c:v>1.0212000000000001</c:v>
                </c:pt>
                <c:pt idx="131">
                  <c:v>1.4867999999999999</c:v>
                </c:pt>
                <c:pt idx="161">
                  <c:v>1.5472999999999999</c:v>
                </c:pt>
                <c:pt idx="166">
                  <c:v>1.5472999999999999</c:v>
                </c:pt>
                <c:pt idx="186">
                  <c:v>1.7909999999999999</c:v>
                </c:pt>
                <c:pt idx="224">
                  <c:v>3.1890000000000001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56C2-4110-BD50-F4D5132B5AF7}"/>
            </c:ext>
          </c:extLst>
        </c:ser>
        <c:ser>
          <c:idx val="89"/>
          <c:order val="89"/>
          <c:tx>
            <c:strRef>
              <c:f>'CPI Dispersion'!$DG$7:$DG$8</c:f>
              <c:strCache>
                <c:ptCount val="1"/>
                <c:pt idx="0">
                  <c:v>32501</c:v>
                </c:pt>
              </c:strCache>
            </c:strRef>
          </c:tx>
          <c:spPr>
            <a:ln w="19050" cap="rnd">
              <a:solidFill>
                <a:schemeClr val="accent1">
                  <a:shade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Dispersion'!$DG$9:$DG$259</c:f>
              <c:numCache>
                <c:formatCode>General</c:formatCode>
                <c:ptCount val="251"/>
                <c:pt idx="166">
                  <c:v>1.9433</c:v>
                </c:pt>
                <c:pt idx="176">
                  <c:v>2.0552000000000001</c:v>
                </c:pt>
                <c:pt idx="200">
                  <c:v>2.4834000000000001</c:v>
                </c:pt>
                <c:pt idx="215">
                  <c:v>3.0251000000000001</c:v>
                </c:pt>
                <c:pt idx="243">
                  <c:v>3.5794000000000001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56C2-4110-BD50-F4D5132B5AF7}"/>
            </c:ext>
          </c:extLst>
        </c:ser>
        <c:ser>
          <c:idx val="90"/>
          <c:order val="90"/>
          <c:tx>
            <c:strRef>
              <c:f>'CPI Dispersion'!$DH$7:$DH$8</c:f>
              <c:strCache>
                <c:ptCount val="1"/>
                <c:pt idx="0">
                  <c:v>32502</c:v>
                </c:pt>
              </c:strCache>
            </c:strRef>
          </c:tx>
          <c:spPr>
            <a:ln w="19050" cap="rnd">
              <a:solidFill>
                <a:schemeClr val="accent1">
                  <a:shade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Dispersion'!$DH$9:$DH$259</c:f>
              <c:numCache>
                <c:formatCode>General</c:formatCode>
                <c:ptCount val="251"/>
                <c:pt idx="4">
                  <c:v>3.2984</c:v>
                </c:pt>
                <c:pt idx="14">
                  <c:v>3.4529999999999998</c:v>
                </c:pt>
                <c:pt idx="44">
                  <c:v>3.2774999999999999</c:v>
                </c:pt>
                <c:pt idx="68">
                  <c:v>3.0409999999999999</c:v>
                </c:pt>
                <c:pt idx="71">
                  <c:v>2.9279999999999999</c:v>
                </c:pt>
                <c:pt idx="85">
                  <c:v>2.4965999999999999</c:v>
                </c:pt>
                <c:pt idx="94">
                  <c:v>1.8734999999999999</c:v>
                </c:pt>
                <c:pt idx="102">
                  <c:v>1.4765999999999999</c:v>
                </c:pt>
                <c:pt idx="107">
                  <c:v>1.6392</c:v>
                </c:pt>
                <c:pt idx="131">
                  <c:v>1.8420000000000001</c:v>
                </c:pt>
                <c:pt idx="161">
                  <c:v>1.649</c:v>
                </c:pt>
                <c:pt idx="166">
                  <c:v>1.649</c:v>
                </c:pt>
                <c:pt idx="194">
                  <c:v>1.9234</c:v>
                </c:pt>
                <c:pt idx="224">
                  <c:v>3.3121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56C2-4110-BD50-F4D5132B5AF7}"/>
            </c:ext>
          </c:extLst>
        </c:ser>
        <c:ser>
          <c:idx val="91"/>
          <c:order val="91"/>
          <c:tx>
            <c:strRef>
              <c:f>'CPI Dispersion'!$DI$7:$DI$8</c:f>
              <c:strCache>
                <c:ptCount val="1"/>
                <c:pt idx="0">
                  <c:v>32521</c:v>
                </c:pt>
              </c:strCache>
            </c:strRef>
          </c:tx>
          <c:spPr>
            <a:ln w="19050" cap="rnd">
              <a:solidFill>
                <a:schemeClr val="accent1">
                  <a:shade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Dispersion'!$DI$9:$DI$259</c:f>
              <c:numCache>
                <c:formatCode>General</c:formatCode>
                <c:ptCount val="251"/>
                <c:pt idx="68">
                  <c:v>3.7</c:v>
                </c:pt>
                <c:pt idx="87">
                  <c:v>3</c:v>
                </c:pt>
                <c:pt idx="104">
                  <c:v>2.57</c:v>
                </c:pt>
                <c:pt idx="125">
                  <c:v>1.9932000000000001</c:v>
                </c:pt>
                <c:pt idx="146">
                  <c:v>1.9639</c:v>
                </c:pt>
                <c:pt idx="166">
                  <c:v>1.9638</c:v>
                </c:pt>
                <c:pt idx="187">
                  <c:v>1.9536</c:v>
                </c:pt>
                <c:pt idx="205">
                  <c:v>2.0552999999999999</c:v>
                </c:pt>
                <c:pt idx="224">
                  <c:v>2.6968999999999999</c:v>
                </c:pt>
                <c:pt idx="243">
                  <c:v>2.7988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56C2-4110-BD50-F4D5132B5AF7}"/>
            </c:ext>
          </c:extLst>
        </c:ser>
        <c:ser>
          <c:idx val="92"/>
          <c:order val="92"/>
          <c:tx>
            <c:strRef>
              <c:f>'CPI Dispersion'!$DJ$7:$DJ$8</c:f>
              <c:strCache>
                <c:ptCount val="1"/>
                <c:pt idx="0">
                  <c:v>32560</c:v>
                </c:pt>
              </c:strCache>
            </c:strRef>
          </c:tx>
          <c:spPr>
            <a:ln w="19050" cap="rnd">
              <a:solidFill>
                <a:schemeClr val="accent1">
                  <a:shade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Dispersion'!$DJ$9:$DJ$259</c:f>
              <c:numCache>
                <c:formatCode>General</c:formatCode>
                <c:ptCount val="251"/>
                <c:pt idx="0">
                  <c:v>3.5975000000000001</c:v>
                </c:pt>
                <c:pt idx="4">
                  <c:v>3.5975000000000001</c:v>
                </c:pt>
                <c:pt idx="23">
                  <c:v>3.5975000000000001</c:v>
                </c:pt>
                <c:pt idx="36">
                  <c:v>3.4531000000000001</c:v>
                </c:pt>
                <c:pt idx="54">
                  <c:v>3.2568000000000001</c:v>
                </c:pt>
                <c:pt idx="65">
                  <c:v>3.2052999999999998</c:v>
                </c:pt>
                <c:pt idx="71">
                  <c:v>2.9586999999999999</c:v>
                </c:pt>
                <c:pt idx="84">
                  <c:v>2.5992999999999999</c:v>
                </c:pt>
                <c:pt idx="94">
                  <c:v>2.0167000000000002</c:v>
                </c:pt>
                <c:pt idx="107">
                  <c:v>1.4766999999999999</c:v>
                </c:pt>
                <c:pt idx="120">
                  <c:v>1.486</c:v>
                </c:pt>
                <c:pt idx="140">
                  <c:v>1.6188</c:v>
                </c:pt>
                <c:pt idx="145">
                  <c:v>1.5983000000000001</c:v>
                </c:pt>
                <c:pt idx="148">
                  <c:v>1.7099</c:v>
                </c:pt>
                <c:pt idx="156">
                  <c:v>1.6994</c:v>
                </c:pt>
                <c:pt idx="161">
                  <c:v>1.5577000000000001</c:v>
                </c:pt>
                <c:pt idx="182">
                  <c:v>1.6486000000000001</c:v>
                </c:pt>
                <c:pt idx="193">
                  <c:v>1.9434</c:v>
                </c:pt>
                <c:pt idx="201">
                  <c:v>2.0653999999999999</c:v>
                </c:pt>
                <c:pt idx="211">
                  <c:v>2.4729999999999999</c:v>
                </c:pt>
                <c:pt idx="215">
                  <c:v>2.7789999999999999</c:v>
                </c:pt>
                <c:pt idx="223">
                  <c:v>2.8914</c:v>
                </c:pt>
                <c:pt idx="224">
                  <c:v>3.0550000000000002</c:v>
                </c:pt>
                <c:pt idx="227">
                  <c:v>3.0038999999999998</c:v>
                </c:pt>
                <c:pt idx="233">
                  <c:v>3.0143</c:v>
                </c:pt>
                <c:pt idx="244">
                  <c:v>3.4868999999999999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56C2-4110-BD50-F4D5132B5AF7}"/>
            </c:ext>
          </c:extLst>
        </c:ser>
        <c:ser>
          <c:idx val="93"/>
          <c:order val="93"/>
          <c:tx>
            <c:strRef>
              <c:f>'CPI Dispersion'!$DK$7:$DK$8</c:f>
              <c:strCache>
                <c:ptCount val="1"/>
                <c:pt idx="0">
                  <c:v>32582</c:v>
                </c:pt>
              </c:strCache>
            </c:strRef>
          </c:tx>
          <c:spPr>
            <a:ln w="19050" cap="rnd">
              <a:solidFill>
                <a:schemeClr val="accent1">
                  <a:shade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Dispersion'!$DK$9:$DK$259</c:f>
              <c:numCache>
                <c:formatCode>General</c:formatCode>
                <c:ptCount val="251"/>
                <c:pt idx="3">
                  <c:v>3.6597</c:v>
                </c:pt>
                <c:pt idx="5">
                  <c:v>3.6597</c:v>
                </c:pt>
                <c:pt idx="13">
                  <c:v>3.6597</c:v>
                </c:pt>
                <c:pt idx="15">
                  <c:v>3.6597</c:v>
                </c:pt>
                <c:pt idx="26">
                  <c:v>3.5047999999999999</c:v>
                </c:pt>
                <c:pt idx="28">
                  <c:v>3.5047999999999999</c:v>
                </c:pt>
                <c:pt idx="38">
                  <c:v>3.4842</c:v>
                </c:pt>
                <c:pt idx="39">
                  <c:v>3.4842</c:v>
                </c:pt>
                <c:pt idx="42">
                  <c:v>3.2469999999999999</c:v>
                </c:pt>
                <c:pt idx="49">
                  <c:v>3.2161</c:v>
                </c:pt>
                <c:pt idx="71">
                  <c:v>2.62</c:v>
                </c:pt>
                <c:pt idx="81">
                  <c:v>1.9452</c:v>
                </c:pt>
                <c:pt idx="101">
                  <c:v>1.4271</c:v>
                </c:pt>
                <c:pt idx="102">
                  <c:v>1.5585</c:v>
                </c:pt>
                <c:pt idx="119">
                  <c:v>1.0097</c:v>
                </c:pt>
                <c:pt idx="121">
                  <c:v>1.1920999999999999</c:v>
                </c:pt>
                <c:pt idx="129">
                  <c:v>1.3849</c:v>
                </c:pt>
                <c:pt idx="130">
                  <c:v>1.6085</c:v>
                </c:pt>
                <c:pt idx="131">
                  <c:v>1.6085</c:v>
                </c:pt>
                <c:pt idx="141">
                  <c:v>1.6085</c:v>
                </c:pt>
                <c:pt idx="142">
                  <c:v>1.5779000000000001</c:v>
                </c:pt>
                <c:pt idx="158">
                  <c:v>1.7603</c:v>
                </c:pt>
                <c:pt idx="161">
                  <c:v>1.5170999999999999</c:v>
                </c:pt>
                <c:pt idx="166">
                  <c:v>1.4157999999999999</c:v>
                </c:pt>
                <c:pt idx="191">
                  <c:v>2.0756999999999999</c:v>
                </c:pt>
                <c:pt idx="215">
                  <c:v>2.9228000000000001</c:v>
                </c:pt>
                <c:pt idx="224">
                  <c:v>3.0455999999999999</c:v>
                </c:pt>
                <c:pt idx="232">
                  <c:v>3.1274000000000002</c:v>
                </c:pt>
                <c:pt idx="243">
                  <c:v>3.6926999999999999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56C2-4110-BD50-F4D5132B5AF7}"/>
            </c:ext>
          </c:extLst>
        </c:ser>
        <c:ser>
          <c:idx val="94"/>
          <c:order val="94"/>
          <c:tx>
            <c:strRef>
              <c:f>'CPI Dispersion'!$DL$7:$DL$8</c:f>
              <c:strCache>
                <c:ptCount val="1"/>
                <c:pt idx="0">
                  <c:v>32583</c:v>
                </c:pt>
              </c:strCache>
            </c:strRef>
          </c:tx>
          <c:spPr>
            <a:ln w="19050" cap="rnd">
              <a:solidFill>
                <a:schemeClr val="accent1">
                  <a:shade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Dispersion'!$DL$9:$DL$259</c:f>
              <c:numCache>
                <c:formatCode>General</c:formatCode>
                <c:ptCount val="251"/>
                <c:pt idx="14">
                  <c:v>3.5</c:v>
                </c:pt>
                <c:pt idx="37">
                  <c:v>3.5</c:v>
                </c:pt>
                <c:pt idx="42">
                  <c:v>3.4</c:v>
                </c:pt>
                <c:pt idx="66">
                  <c:v>3.05</c:v>
                </c:pt>
                <c:pt idx="71">
                  <c:v>2.7</c:v>
                </c:pt>
                <c:pt idx="81">
                  <c:v>2.2000000000000002</c:v>
                </c:pt>
                <c:pt idx="102">
                  <c:v>1.4</c:v>
                </c:pt>
                <c:pt idx="107">
                  <c:v>1.4</c:v>
                </c:pt>
                <c:pt idx="131">
                  <c:v>1.4</c:v>
                </c:pt>
                <c:pt idx="151">
                  <c:v>1.6</c:v>
                </c:pt>
                <c:pt idx="174">
                  <c:v>1.6</c:v>
                </c:pt>
                <c:pt idx="186">
                  <c:v>1.913</c:v>
                </c:pt>
                <c:pt idx="194">
                  <c:v>1.9029</c:v>
                </c:pt>
                <c:pt idx="205">
                  <c:v>2.2791000000000001</c:v>
                </c:pt>
                <c:pt idx="219">
                  <c:v>2.8195999999999999</c:v>
                </c:pt>
                <c:pt idx="243">
                  <c:v>3.4971000000000001</c:v>
                </c:pt>
                <c:pt idx="248">
                  <c:v>3.8883000000000001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56C2-4110-BD50-F4D5132B5AF7}"/>
            </c:ext>
          </c:extLst>
        </c:ser>
        <c:ser>
          <c:idx val="95"/>
          <c:order val="95"/>
          <c:tx>
            <c:strRef>
              <c:f>'CPI Dispersion'!$DM$7:$DM$8</c:f>
              <c:strCache>
                <c:ptCount val="1"/>
                <c:pt idx="0">
                  <c:v>32603</c:v>
                </c:pt>
              </c:strCache>
            </c:strRef>
          </c:tx>
          <c:spPr>
            <a:ln w="19050" cap="rnd">
              <a:solidFill>
                <a:schemeClr val="accent1">
                  <a:shade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Dispersion'!$DM$9:$DM$259</c:f>
              <c:numCache>
                <c:formatCode>General</c:formatCode>
                <c:ptCount val="251"/>
                <c:pt idx="3">
                  <c:v>3.5243000000000002</c:v>
                </c:pt>
                <c:pt idx="4">
                  <c:v>3.5243000000000002</c:v>
                </c:pt>
                <c:pt idx="5">
                  <c:v>3.5243000000000002</c:v>
                </c:pt>
                <c:pt idx="33">
                  <c:v>3.3081</c:v>
                </c:pt>
                <c:pt idx="46">
                  <c:v>3.2875000000000001</c:v>
                </c:pt>
                <c:pt idx="56">
                  <c:v>2.9276</c:v>
                </c:pt>
                <c:pt idx="71">
                  <c:v>2.9382000000000001</c:v>
                </c:pt>
                <c:pt idx="87">
                  <c:v>2.9485000000000001</c:v>
                </c:pt>
                <c:pt idx="118">
                  <c:v>0.96160000000000001</c:v>
                </c:pt>
                <c:pt idx="156">
                  <c:v>1.4966999999999999</c:v>
                </c:pt>
                <c:pt idx="196">
                  <c:v>1.8317000000000001</c:v>
                </c:pt>
                <c:pt idx="205">
                  <c:v>1.974</c:v>
                </c:pt>
                <c:pt idx="224">
                  <c:v>3.2092999999999998</c:v>
                </c:pt>
                <c:pt idx="232">
                  <c:v>3.2092999999999998</c:v>
                </c:pt>
                <c:pt idx="242">
                  <c:v>3.2606999999999999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56C2-4110-BD50-F4D5132B5AF7}"/>
            </c:ext>
          </c:extLst>
        </c:ser>
        <c:ser>
          <c:idx val="96"/>
          <c:order val="96"/>
          <c:tx>
            <c:strRef>
              <c:f>'CPI Dispersion'!$DN$7:$DN$8</c:f>
              <c:strCache>
                <c:ptCount val="1"/>
                <c:pt idx="0">
                  <c:v>32643</c:v>
                </c:pt>
              </c:strCache>
            </c:strRef>
          </c:tx>
          <c:spPr>
            <a:ln w="19050" cap="rnd">
              <a:solidFill>
                <a:schemeClr val="accent1">
                  <a:shade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Dispersion'!$DN$9:$DN$259</c:f>
              <c:numCache>
                <c:formatCode>General</c:formatCode>
                <c:ptCount val="251"/>
                <c:pt idx="240">
                  <c:v>3.3121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56C2-4110-BD50-F4D5132B5AF7}"/>
            </c:ext>
          </c:extLst>
        </c:ser>
        <c:ser>
          <c:idx val="97"/>
          <c:order val="97"/>
          <c:tx>
            <c:strRef>
              <c:f>'CPI Dispersion'!$DO$7:$DO$8</c:f>
              <c:strCache>
                <c:ptCount val="1"/>
                <c:pt idx="0">
                  <c:v>32663</c:v>
                </c:pt>
              </c:strCache>
            </c:strRef>
          </c:tx>
          <c:spPr>
            <a:ln w="19050" cap="rnd">
              <a:solidFill>
                <a:schemeClr val="accent1">
                  <a:shade val="6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Dispersion'!$DO$9:$DO$259</c:f>
              <c:numCache>
                <c:formatCode>General</c:formatCode>
                <c:ptCount val="251"/>
                <c:pt idx="15">
                  <c:v>3.7012</c:v>
                </c:pt>
                <c:pt idx="37">
                  <c:v>3.4740000000000002</c:v>
                </c:pt>
                <c:pt idx="62">
                  <c:v>3.4636999999999998</c:v>
                </c:pt>
                <c:pt idx="86">
                  <c:v>3.0310999999999999</c:v>
                </c:pt>
                <c:pt idx="129">
                  <c:v>1.4972000000000001</c:v>
                </c:pt>
                <c:pt idx="149">
                  <c:v>1.6183000000000001</c:v>
                </c:pt>
                <c:pt idx="172">
                  <c:v>1.5681</c:v>
                </c:pt>
                <c:pt idx="176">
                  <c:v>1.7199</c:v>
                </c:pt>
                <c:pt idx="193">
                  <c:v>2.0045999999999999</c:v>
                </c:pt>
                <c:pt idx="217">
                  <c:v>2.5137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56C2-4110-BD50-F4D5132B5AF7}"/>
            </c:ext>
          </c:extLst>
        </c:ser>
        <c:ser>
          <c:idx val="98"/>
          <c:order val="98"/>
          <c:tx>
            <c:strRef>
              <c:f>'CPI Dispersion'!$DP$7:$DP$8</c:f>
              <c:strCache>
                <c:ptCount val="1"/>
                <c:pt idx="0">
                  <c:v>32703</c:v>
                </c:pt>
              </c:strCache>
            </c:strRef>
          </c:tx>
          <c:spPr>
            <a:ln w="19050" cap="rnd">
              <a:solidFill>
                <a:schemeClr val="accent1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Dispersion'!$DP$9:$DP$259</c:f>
              <c:numCache>
                <c:formatCode>General</c:formatCode>
                <c:ptCount val="251"/>
                <c:pt idx="15">
                  <c:v>3.5554999999999999</c:v>
                </c:pt>
                <c:pt idx="60">
                  <c:v>3.5143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56C2-4110-BD50-F4D5132B5AF7}"/>
            </c:ext>
          </c:extLst>
        </c:ser>
        <c:ser>
          <c:idx val="99"/>
          <c:order val="99"/>
          <c:tx>
            <c:strRef>
              <c:f>'CPI Dispersion'!$DQ$7:$DQ$8</c:f>
              <c:strCache>
                <c:ptCount val="1"/>
                <c:pt idx="0">
                  <c:v>32723</c:v>
                </c:pt>
              </c:strCache>
            </c:strRef>
          </c:tx>
          <c:spPr>
            <a:ln w="19050" cap="rnd">
              <a:solidFill>
                <a:schemeClr val="accent1">
                  <a:shade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Dispersion'!$DQ$9:$DQ$259</c:f>
              <c:numCache>
                <c:formatCode>General</c:formatCode>
                <c:ptCount val="251"/>
                <c:pt idx="31">
                  <c:v>3.4809000000000001</c:v>
                </c:pt>
                <c:pt idx="118">
                  <c:v>2.1135999999999999</c:v>
                </c:pt>
                <c:pt idx="176">
                  <c:v>1.7706</c:v>
                </c:pt>
                <c:pt idx="220">
                  <c:v>2.2787999999999999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56C2-4110-BD50-F4D5132B5AF7}"/>
            </c:ext>
          </c:extLst>
        </c:ser>
        <c:ser>
          <c:idx val="100"/>
          <c:order val="100"/>
          <c:tx>
            <c:strRef>
              <c:f>'CPI Dispersion'!$DR$7:$DR$8</c:f>
              <c:strCache>
                <c:ptCount val="1"/>
                <c:pt idx="0">
                  <c:v>32724</c:v>
                </c:pt>
              </c:strCache>
            </c:strRef>
          </c:tx>
          <c:spPr>
            <a:ln w="19050" cap="rnd">
              <a:solidFill>
                <a:schemeClr val="accent1">
                  <a:shade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Dispersion'!$DR$9:$DR$259</c:f>
              <c:numCache>
                <c:formatCode>General</c:formatCode>
                <c:ptCount val="251"/>
                <c:pt idx="2">
                  <c:v>3.5047999999999999</c:v>
                </c:pt>
                <c:pt idx="8">
                  <c:v>3.4842</c:v>
                </c:pt>
                <c:pt idx="15">
                  <c:v>3.4842</c:v>
                </c:pt>
                <c:pt idx="17">
                  <c:v>3.4636</c:v>
                </c:pt>
                <c:pt idx="18">
                  <c:v>3.4842</c:v>
                </c:pt>
                <c:pt idx="22">
                  <c:v>3.4944999999999999</c:v>
                </c:pt>
                <c:pt idx="27">
                  <c:v>3.5047999999999999</c:v>
                </c:pt>
                <c:pt idx="29">
                  <c:v>3.4327000000000001</c:v>
                </c:pt>
                <c:pt idx="34">
                  <c:v>3.3605</c:v>
                </c:pt>
                <c:pt idx="38">
                  <c:v>3.3708</c:v>
                </c:pt>
                <c:pt idx="40">
                  <c:v>3.5668000000000002</c:v>
                </c:pt>
                <c:pt idx="42">
                  <c:v>3.3502000000000001</c:v>
                </c:pt>
                <c:pt idx="43">
                  <c:v>3.3089</c:v>
                </c:pt>
                <c:pt idx="44">
                  <c:v>3.2883</c:v>
                </c:pt>
                <c:pt idx="46">
                  <c:v>3.3913000000000002</c:v>
                </c:pt>
                <c:pt idx="48">
                  <c:v>3.2881999999999998</c:v>
                </c:pt>
                <c:pt idx="50">
                  <c:v>3.3089</c:v>
                </c:pt>
                <c:pt idx="55">
                  <c:v>3.2161</c:v>
                </c:pt>
                <c:pt idx="57">
                  <c:v>3.2572999999999999</c:v>
                </c:pt>
                <c:pt idx="59">
                  <c:v>3.2366999999999999</c:v>
                </c:pt>
                <c:pt idx="61">
                  <c:v>3.1440000000000001</c:v>
                </c:pt>
                <c:pt idx="65">
                  <c:v>3.1440000000000001</c:v>
                </c:pt>
                <c:pt idx="67">
                  <c:v>2.9178999999999999</c:v>
                </c:pt>
                <c:pt idx="70">
                  <c:v>3.0617999999999999</c:v>
                </c:pt>
                <c:pt idx="72">
                  <c:v>3.2057000000000002</c:v>
                </c:pt>
                <c:pt idx="76">
                  <c:v>2.3338999999999999</c:v>
                </c:pt>
                <c:pt idx="77">
                  <c:v>2.3953000000000002</c:v>
                </c:pt>
                <c:pt idx="86">
                  <c:v>2.3439999999999999</c:v>
                </c:pt>
                <c:pt idx="90">
                  <c:v>2.1293000000000002</c:v>
                </c:pt>
                <c:pt idx="94">
                  <c:v>2.1804000000000001</c:v>
                </c:pt>
                <c:pt idx="96">
                  <c:v>2.0985999999999998</c:v>
                </c:pt>
                <c:pt idx="100">
                  <c:v>2.0169999999999999</c:v>
                </c:pt>
                <c:pt idx="102">
                  <c:v>1.9455</c:v>
                </c:pt>
                <c:pt idx="107">
                  <c:v>0.84989999999999999</c:v>
                </c:pt>
                <c:pt idx="108">
                  <c:v>1.0521</c:v>
                </c:pt>
                <c:pt idx="117">
                  <c:v>1.2341</c:v>
                </c:pt>
                <c:pt idx="125">
                  <c:v>1.264</c:v>
                </c:pt>
                <c:pt idx="131">
                  <c:v>1.3756999999999999</c:v>
                </c:pt>
                <c:pt idx="136">
                  <c:v>1.4870000000000001</c:v>
                </c:pt>
                <c:pt idx="140">
                  <c:v>1.6086</c:v>
                </c:pt>
                <c:pt idx="141">
                  <c:v>1.7201</c:v>
                </c:pt>
                <c:pt idx="147">
                  <c:v>1.6897</c:v>
                </c:pt>
                <c:pt idx="149">
                  <c:v>1.8722000000000001</c:v>
                </c:pt>
                <c:pt idx="154">
                  <c:v>1.8213999999999999</c:v>
                </c:pt>
                <c:pt idx="155">
                  <c:v>1.8721000000000001</c:v>
                </c:pt>
                <c:pt idx="156">
                  <c:v>1.8924000000000001</c:v>
                </c:pt>
                <c:pt idx="161">
                  <c:v>1.7504</c:v>
                </c:pt>
                <c:pt idx="166">
                  <c:v>1.5578000000000001</c:v>
                </c:pt>
                <c:pt idx="171">
                  <c:v>1.6288</c:v>
                </c:pt>
                <c:pt idx="176">
                  <c:v>1.6796</c:v>
                </c:pt>
                <c:pt idx="186">
                  <c:v>1.6897</c:v>
                </c:pt>
                <c:pt idx="191">
                  <c:v>1.7607999999999999</c:v>
                </c:pt>
                <c:pt idx="193">
                  <c:v>1.7506999999999999</c:v>
                </c:pt>
                <c:pt idx="195">
                  <c:v>1.9741</c:v>
                </c:pt>
                <c:pt idx="200">
                  <c:v>2.0350000000000001</c:v>
                </c:pt>
                <c:pt idx="210">
                  <c:v>2.0960000000000001</c:v>
                </c:pt>
                <c:pt idx="215">
                  <c:v>2.6055999999999999</c:v>
                </c:pt>
                <c:pt idx="223">
                  <c:v>2.8508</c:v>
                </c:pt>
                <c:pt idx="226">
                  <c:v>3.0144000000000002</c:v>
                </c:pt>
                <c:pt idx="233">
                  <c:v>3.2709999999999999</c:v>
                </c:pt>
                <c:pt idx="238">
                  <c:v>3.3532000000000002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56C2-4110-BD50-F4D5132B5AF7}"/>
            </c:ext>
          </c:extLst>
        </c:ser>
        <c:ser>
          <c:idx val="101"/>
          <c:order val="101"/>
          <c:tx>
            <c:strRef>
              <c:f>'CPI Dispersion'!$DS$7:$DS$8</c:f>
              <c:strCache>
                <c:ptCount val="1"/>
                <c:pt idx="0">
                  <c:v>32783</c:v>
                </c:pt>
              </c:strCache>
            </c:strRef>
          </c:tx>
          <c:spPr>
            <a:ln w="19050" cap="rnd">
              <a:solidFill>
                <a:schemeClr val="accent1">
                  <a:shade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Dispersion'!$DS$9:$DS$259</c:f>
              <c:numCache>
                <c:formatCode>General</c:formatCode>
                <c:ptCount val="251"/>
                <c:pt idx="4">
                  <c:v>3.7111000000000001</c:v>
                </c:pt>
                <c:pt idx="5">
                  <c:v>3.7111000000000001</c:v>
                </c:pt>
                <c:pt idx="14">
                  <c:v>3.7111000000000001</c:v>
                </c:pt>
                <c:pt idx="22">
                  <c:v>3.7833999999999999</c:v>
                </c:pt>
                <c:pt idx="28">
                  <c:v>3.8041999999999998</c:v>
                </c:pt>
                <c:pt idx="37">
                  <c:v>3.6076999999999999</c:v>
                </c:pt>
                <c:pt idx="41">
                  <c:v>3.6697000000000002</c:v>
                </c:pt>
                <c:pt idx="42">
                  <c:v>3.6698</c:v>
                </c:pt>
                <c:pt idx="52">
                  <c:v>3.5560999999999998</c:v>
                </c:pt>
                <c:pt idx="57">
                  <c:v>3.4218000000000002</c:v>
                </c:pt>
                <c:pt idx="71">
                  <c:v>3.3494999999999999</c:v>
                </c:pt>
                <c:pt idx="76">
                  <c:v>3.0407999999999999</c:v>
                </c:pt>
                <c:pt idx="78">
                  <c:v>2.9588000000000001</c:v>
                </c:pt>
                <c:pt idx="89">
                  <c:v>2.7216</c:v>
                </c:pt>
                <c:pt idx="94">
                  <c:v>2.3933</c:v>
                </c:pt>
                <c:pt idx="102">
                  <c:v>2.2494000000000001</c:v>
                </c:pt>
                <c:pt idx="107">
                  <c:v>2.2595999999999998</c:v>
                </c:pt>
                <c:pt idx="116">
                  <c:v>2.2595999999999998</c:v>
                </c:pt>
                <c:pt idx="127">
                  <c:v>1.9429000000000001</c:v>
                </c:pt>
                <c:pt idx="131">
                  <c:v>1.9029</c:v>
                </c:pt>
                <c:pt idx="141">
                  <c:v>2.0047000000000001</c:v>
                </c:pt>
                <c:pt idx="149">
                  <c:v>2.0047000000000001</c:v>
                </c:pt>
                <c:pt idx="153">
                  <c:v>1.9433</c:v>
                </c:pt>
                <c:pt idx="160">
                  <c:v>1.9433</c:v>
                </c:pt>
                <c:pt idx="161">
                  <c:v>1.8313999999999999</c:v>
                </c:pt>
                <c:pt idx="166">
                  <c:v>1.8515999999999999</c:v>
                </c:pt>
                <c:pt idx="176">
                  <c:v>1.8517999999999999</c:v>
                </c:pt>
                <c:pt idx="181">
                  <c:v>1.9638</c:v>
                </c:pt>
                <c:pt idx="195">
                  <c:v>1.9944999999999999</c:v>
                </c:pt>
                <c:pt idx="200">
                  <c:v>2.0453000000000001</c:v>
                </c:pt>
                <c:pt idx="215">
                  <c:v>2.8203</c:v>
                </c:pt>
                <c:pt idx="222">
                  <c:v>2.8405999999999998</c:v>
                </c:pt>
                <c:pt idx="224">
                  <c:v>3.1067999999999998</c:v>
                </c:pt>
                <c:pt idx="229">
                  <c:v>3.1273</c:v>
                </c:pt>
                <c:pt idx="233">
                  <c:v>3.2709999999999999</c:v>
                </c:pt>
                <c:pt idx="242">
                  <c:v>3.5794999999999999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56C2-4110-BD50-F4D5132B5AF7}"/>
            </c:ext>
          </c:extLst>
        </c:ser>
        <c:ser>
          <c:idx val="102"/>
          <c:order val="102"/>
          <c:tx>
            <c:strRef>
              <c:f>'CPI Dispersion'!$DT$7:$DT$8</c:f>
              <c:strCache>
                <c:ptCount val="1"/>
                <c:pt idx="0">
                  <c:v>32803</c:v>
                </c:pt>
              </c:strCache>
            </c:strRef>
          </c:tx>
          <c:spPr>
            <a:ln w="19050" cap="rnd">
              <a:solidFill>
                <a:schemeClr val="accent1">
                  <a:shade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Dispersion'!$DT$9:$DT$259</c:f>
              <c:numCache>
                <c:formatCode>General</c:formatCode>
                <c:ptCount val="251"/>
                <c:pt idx="4">
                  <c:v>3.4628000000000001</c:v>
                </c:pt>
                <c:pt idx="28">
                  <c:v>3.2879999999999998</c:v>
                </c:pt>
                <c:pt idx="33">
                  <c:v>3.1953999999999998</c:v>
                </c:pt>
                <c:pt idx="40">
                  <c:v>3.0718000000000001</c:v>
                </c:pt>
                <c:pt idx="43">
                  <c:v>3.0306999999999999</c:v>
                </c:pt>
                <c:pt idx="55">
                  <c:v>3.1337000000000002</c:v>
                </c:pt>
                <c:pt idx="57">
                  <c:v>3.1850999999999998</c:v>
                </c:pt>
                <c:pt idx="64">
                  <c:v>3.0203000000000002</c:v>
                </c:pt>
                <c:pt idx="66">
                  <c:v>2.9382000000000001</c:v>
                </c:pt>
                <c:pt idx="69">
                  <c:v>2.7124999999999999</c:v>
                </c:pt>
                <c:pt idx="70">
                  <c:v>2.5179999999999998</c:v>
                </c:pt>
                <c:pt idx="74">
                  <c:v>2.2827999999999999</c:v>
                </c:pt>
                <c:pt idx="78">
                  <c:v>1.1739999999999999</c:v>
                </c:pt>
                <c:pt idx="89">
                  <c:v>1.0727</c:v>
                </c:pt>
                <c:pt idx="91">
                  <c:v>1.2245999999999999</c:v>
                </c:pt>
                <c:pt idx="94">
                  <c:v>1.1738</c:v>
                </c:pt>
                <c:pt idx="102">
                  <c:v>1.2736000000000001</c:v>
                </c:pt>
                <c:pt idx="116">
                  <c:v>1.153</c:v>
                </c:pt>
                <c:pt idx="127">
                  <c:v>1.0621</c:v>
                </c:pt>
                <c:pt idx="131">
                  <c:v>1.2746</c:v>
                </c:pt>
                <c:pt idx="147">
                  <c:v>1.3551</c:v>
                </c:pt>
                <c:pt idx="154">
                  <c:v>1.4864999999999999</c:v>
                </c:pt>
                <c:pt idx="160">
                  <c:v>1.5474000000000001</c:v>
                </c:pt>
                <c:pt idx="161">
                  <c:v>1.3754</c:v>
                </c:pt>
                <c:pt idx="166">
                  <c:v>1.4561999999999999</c:v>
                </c:pt>
                <c:pt idx="175">
                  <c:v>1.6997</c:v>
                </c:pt>
                <c:pt idx="183">
                  <c:v>2.0350000000000001</c:v>
                </c:pt>
                <c:pt idx="195">
                  <c:v>2.1572</c:v>
                </c:pt>
                <c:pt idx="203">
                  <c:v>2.4424000000000001</c:v>
                </c:pt>
                <c:pt idx="220">
                  <c:v>3.0352000000000001</c:v>
                </c:pt>
                <c:pt idx="224">
                  <c:v>3.3633999999999999</c:v>
                </c:pt>
                <c:pt idx="233">
                  <c:v>3.456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56C2-4110-BD50-F4D5132B5AF7}"/>
            </c:ext>
          </c:extLst>
        </c:ser>
        <c:ser>
          <c:idx val="103"/>
          <c:order val="103"/>
          <c:tx>
            <c:strRef>
              <c:f>'CPI Dispersion'!$DU$7:$DU$8</c:f>
              <c:strCache>
                <c:ptCount val="1"/>
                <c:pt idx="0">
                  <c:v>32823</c:v>
                </c:pt>
              </c:strCache>
            </c:strRef>
          </c:tx>
          <c:spPr>
            <a:ln w="19050" cap="rnd">
              <a:solidFill>
                <a:schemeClr val="accent1">
                  <a:shade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Dispersion'!$DU$9:$DU$259</c:f>
              <c:numCache>
                <c:formatCode>General</c:formatCode>
                <c:ptCount val="251"/>
                <c:pt idx="2">
                  <c:v>3.9</c:v>
                </c:pt>
                <c:pt idx="30">
                  <c:v>4.4000000000000004</c:v>
                </c:pt>
                <c:pt idx="51">
                  <c:v>3.7</c:v>
                </c:pt>
                <c:pt idx="56">
                  <c:v>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56C2-4110-BD50-F4D5132B5AF7}"/>
            </c:ext>
          </c:extLst>
        </c:ser>
        <c:ser>
          <c:idx val="104"/>
          <c:order val="104"/>
          <c:tx>
            <c:strRef>
              <c:f>'CPI Dispersion'!$DV$7:$DV$8</c:f>
              <c:strCache>
                <c:ptCount val="1"/>
                <c:pt idx="0">
                  <c:v>32824</c:v>
                </c:pt>
              </c:strCache>
            </c:strRef>
          </c:tx>
          <c:spPr>
            <a:ln w="19050" cap="rnd">
              <a:solidFill>
                <a:schemeClr val="accent1">
                  <a:shade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Dispersion'!$DV$9:$DV$259</c:f>
              <c:numCache>
                <c:formatCode>General</c:formatCode>
                <c:ptCount val="251"/>
                <c:pt idx="12">
                  <c:v>3.5562999999999998</c:v>
                </c:pt>
                <c:pt idx="48">
                  <c:v>3.4428000000000001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56C2-4110-BD50-F4D5132B5AF7}"/>
            </c:ext>
          </c:extLst>
        </c:ser>
        <c:ser>
          <c:idx val="105"/>
          <c:order val="105"/>
          <c:tx>
            <c:strRef>
              <c:f>'CPI Dispersion'!$DW$7:$DW$8</c:f>
              <c:strCache>
                <c:ptCount val="1"/>
                <c:pt idx="0">
                  <c:v>32843</c:v>
                </c:pt>
              </c:strCache>
            </c:strRef>
          </c:tx>
          <c:spPr>
            <a:ln w="19050" cap="rnd">
              <a:solidFill>
                <a:schemeClr val="accent1">
                  <a:shade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Dispersion'!$DW$9:$DW$259</c:f>
              <c:numCache>
                <c:formatCode>General</c:formatCode>
                <c:ptCount val="251"/>
                <c:pt idx="2">
                  <c:v>3.7206999999999999</c:v>
                </c:pt>
                <c:pt idx="21">
                  <c:v>3.4422999999999999</c:v>
                </c:pt>
                <c:pt idx="32">
                  <c:v>3.2978000000000001</c:v>
                </c:pt>
                <c:pt idx="50">
                  <c:v>3.1353</c:v>
                </c:pt>
                <c:pt idx="70">
                  <c:v>2.9483999999999999</c:v>
                </c:pt>
                <c:pt idx="85">
                  <c:v>2.2416</c:v>
                </c:pt>
                <c:pt idx="105">
                  <c:v>1.0719000000000001</c:v>
                </c:pt>
                <c:pt idx="129">
                  <c:v>1.5478000000000001</c:v>
                </c:pt>
                <c:pt idx="154">
                  <c:v>1.8714999999999999</c:v>
                </c:pt>
                <c:pt idx="187">
                  <c:v>2.1469</c:v>
                </c:pt>
                <c:pt idx="210">
                  <c:v>2.524</c:v>
                </c:pt>
                <c:pt idx="224">
                  <c:v>3.2092999999999998</c:v>
                </c:pt>
                <c:pt idx="249">
                  <c:v>3.7852999999999999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56C2-4110-BD50-F4D5132B5AF7}"/>
            </c:ext>
          </c:extLst>
        </c:ser>
        <c:ser>
          <c:idx val="106"/>
          <c:order val="106"/>
          <c:tx>
            <c:strRef>
              <c:f>'CPI Dispersion'!$DX$7:$DX$8</c:f>
              <c:strCache>
                <c:ptCount val="1"/>
                <c:pt idx="0">
                  <c:v>32863</c:v>
                </c:pt>
              </c:strCache>
            </c:strRef>
          </c:tx>
          <c:spPr>
            <a:ln w="19050" cap="rnd">
              <a:solidFill>
                <a:schemeClr val="accent1">
                  <a:shade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Dispersion'!$DX$9:$DX$259</c:f>
              <c:numCache>
                <c:formatCode>General</c:formatCode>
                <c:ptCount val="251"/>
                <c:pt idx="4">
                  <c:v>3.2658</c:v>
                </c:pt>
                <c:pt idx="20">
                  <c:v>3.3178999999999998</c:v>
                </c:pt>
                <c:pt idx="38">
                  <c:v>3.3178999999999998</c:v>
                </c:pt>
                <c:pt idx="40">
                  <c:v>3.3178999999999998</c:v>
                </c:pt>
                <c:pt idx="42">
                  <c:v>3.3178999999999998</c:v>
                </c:pt>
                <c:pt idx="43">
                  <c:v>3.2355</c:v>
                </c:pt>
                <c:pt idx="47">
                  <c:v>2.9988000000000001</c:v>
                </c:pt>
                <c:pt idx="50">
                  <c:v>3.0609000000000002</c:v>
                </c:pt>
                <c:pt idx="57">
                  <c:v>2.9887000000000001</c:v>
                </c:pt>
                <c:pt idx="61">
                  <c:v>3.0295999999999998</c:v>
                </c:pt>
                <c:pt idx="66">
                  <c:v>2.8864000000000001</c:v>
                </c:pt>
                <c:pt idx="71">
                  <c:v>2.5377000000000001</c:v>
                </c:pt>
                <c:pt idx="72">
                  <c:v>2.4455</c:v>
                </c:pt>
                <c:pt idx="75">
                  <c:v>2.4142999999999999</c:v>
                </c:pt>
                <c:pt idx="92">
                  <c:v>1.3248</c:v>
                </c:pt>
                <c:pt idx="94">
                  <c:v>1.1324000000000001</c:v>
                </c:pt>
                <c:pt idx="102">
                  <c:v>1.2622</c:v>
                </c:pt>
                <c:pt idx="113">
                  <c:v>1.3028999999999999</c:v>
                </c:pt>
                <c:pt idx="131">
                  <c:v>1.3453999999999999</c:v>
                </c:pt>
                <c:pt idx="152">
                  <c:v>1.4565999999999999</c:v>
                </c:pt>
                <c:pt idx="161">
                  <c:v>1.5071000000000001</c:v>
                </c:pt>
                <c:pt idx="166">
                  <c:v>1.4665999999999999</c:v>
                </c:pt>
                <c:pt idx="186">
                  <c:v>1.6693</c:v>
                </c:pt>
                <c:pt idx="195">
                  <c:v>1.8318000000000001</c:v>
                </c:pt>
                <c:pt idx="200">
                  <c:v>1.8318000000000001</c:v>
                </c:pt>
                <c:pt idx="220">
                  <c:v>2.7892999999999999</c:v>
                </c:pt>
                <c:pt idx="224">
                  <c:v>3.4148000000000001</c:v>
                </c:pt>
                <c:pt idx="233">
                  <c:v>3.4765000000000001</c:v>
                </c:pt>
                <c:pt idx="241">
                  <c:v>3.6926000000000001</c:v>
                </c:pt>
                <c:pt idx="242">
                  <c:v>3.6206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56C2-4110-BD50-F4D5132B5AF7}"/>
            </c:ext>
          </c:extLst>
        </c:ser>
        <c:ser>
          <c:idx val="107"/>
          <c:order val="107"/>
          <c:tx>
            <c:strRef>
              <c:f>'CPI Dispersion'!$DY$7:$DY$8</c:f>
              <c:strCache>
                <c:ptCount val="1"/>
                <c:pt idx="0">
                  <c:v>32883</c:v>
                </c:pt>
              </c:strCache>
            </c:strRef>
          </c:tx>
          <c:spPr>
            <a:ln w="19050" cap="rnd">
              <a:solidFill>
                <a:schemeClr val="accent1">
                  <a:shade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Dispersion'!$DY$9:$DY$259</c:f>
              <c:numCache>
                <c:formatCode>General</c:formatCode>
                <c:ptCount val="251"/>
                <c:pt idx="14">
                  <c:v>3.6583999999999999</c:v>
                </c:pt>
                <c:pt idx="34">
                  <c:v>3.4319000000000002</c:v>
                </c:pt>
                <c:pt idx="42">
                  <c:v>3.3593000000000002</c:v>
                </c:pt>
                <c:pt idx="65">
                  <c:v>2.9272</c:v>
                </c:pt>
                <c:pt idx="71">
                  <c:v>3.04</c:v>
                </c:pt>
                <c:pt idx="80">
                  <c:v>2.7216</c:v>
                </c:pt>
                <c:pt idx="85">
                  <c:v>2.3125</c:v>
                </c:pt>
                <c:pt idx="94">
                  <c:v>2.6040999999999999</c:v>
                </c:pt>
                <c:pt idx="102">
                  <c:v>2.6088</c:v>
                </c:pt>
                <c:pt idx="123">
                  <c:v>2.1162999999999998</c:v>
                </c:pt>
                <c:pt idx="131">
                  <c:v>2.1366000000000001</c:v>
                </c:pt>
                <c:pt idx="141">
                  <c:v>2.1366000000000001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56C2-4110-BD50-F4D5132B5AF7}"/>
            </c:ext>
          </c:extLst>
        </c:ser>
        <c:ser>
          <c:idx val="108"/>
          <c:order val="108"/>
          <c:tx>
            <c:strRef>
              <c:f>'CPI Dispersion'!$DZ$7:$DZ$8</c:f>
              <c:strCache>
                <c:ptCount val="1"/>
                <c:pt idx="0">
                  <c:v>32923</c:v>
                </c:pt>
              </c:strCache>
            </c:strRef>
          </c:tx>
          <c:spPr>
            <a:ln w="19050" cap="rnd">
              <a:solidFill>
                <a:schemeClr val="accent1">
                  <a:shade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Dispersion'!$DZ$9:$DZ$259</c:f>
              <c:numCache>
                <c:formatCode>General</c:formatCode>
                <c:ptCount val="251"/>
                <c:pt idx="4">
                  <c:v>4.0633999999999997</c:v>
                </c:pt>
                <c:pt idx="50">
                  <c:v>4.0526</c:v>
                </c:pt>
                <c:pt idx="57">
                  <c:v>4.0526</c:v>
                </c:pt>
                <c:pt idx="61">
                  <c:v>4.1565000000000003</c:v>
                </c:pt>
                <c:pt idx="69">
                  <c:v>3.794</c:v>
                </c:pt>
                <c:pt idx="102">
                  <c:v>2.7738</c:v>
                </c:pt>
                <c:pt idx="145">
                  <c:v>1.964</c:v>
                </c:pt>
                <c:pt idx="161">
                  <c:v>2.0045999999999999</c:v>
                </c:pt>
                <c:pt idx="187">
                  <c:v>2.0655000000000001</c:v>
                </c:pt>
                <c:pt idx="200">
                  <c:v>2.0554999999999999</c:v>
                </c:pt>
                <c:pt idx="222">
                  <c:v>3.0457000000000001</c:v>
                </c:pt>
                <c:pt idx="224">
                  <c:v>3.0457000000000001</c:v>
                </c:pt>
                <c:pt idx="231">
                  <c:v>3.0457000000000001</c:v>
                </c:pt>
                <c:pt idx="242">
                  <c:v>3.4354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56C2-4110-BD50-F4D5132B5AF7}"/>
            </c:ext>
          </c:extLst>
        </c:ser>
        <c:ser>
          <c:idx val="109"/>
          <c:order val="109"/>
          <c:tx>
            <c:strRef>
              <c:f>'CPI Dispersion'!$EA$7:$EA$8</c:f>
              <c:strCache>
                <c:ptCount val="1"/>
                <c:pt idx="0">
                  <c:v>32963</c:v>
                </c:pt>
              </c:strCache>
            </c:strRef>
          </c:tx>
          <c:spPr>
            <a:ln w="19050" cap="rnd">
              <a:solidFill>
                <a:schemeClr val="accent1">
                  <a:shade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Dispersion'!$EA$9:$EA$259</c:f>
              <c:numCache>
                <c:formatCode>General</c:formatCode>
                <c:ptCount val="251"/>
                <c:pt idx="0">
                  <c:v>3.8146</c:v>
                </c:pt>
                <c:pt idx="22">
                  <c:v>3.8146</c:v>
                </c:pt>
                <c:pt idx="23">
                  <c:v>3.8146</c:v>
                </c:pt>
                <c:pt idx="43">
                  <c:v>3.7113</c:v>
                </c:pt>
                <c:pt idx="77">
                  <c:v>2.9885000000000002</c:v>
                </c:pt>
                <c:pt idx="92">
                  <c:v>2.8856999999999999</c:v>
                </c:pt>
                <c:pt idx="101">
                  <c:v>1.9746999999999999</c:v>
                </c:pt>
                <c:pt idx="108">
                  <c:v>1.7806999999999999</c:v>
                </c:pt>
                <c:pt idx="117">
                  <c:v>1.2939000000000001</c:v>
                </c:pt>
                <c:pt idx="123">
                  <c:v>1.1923999999999999</c:v>
                </c:pt>
                <c:pt idx="130">
                  <c:v>1.3552</c:v>
                </c:pt>
                <c:pt idx="134">
                  <c:v>1.4362999999999999</c:v>
                </c:pt>
                <c:pt idx="142">
                  <c:v>1.5071000000000001</c:v>
                </c:pt>
                <c:pt idx="147">
                  <c:v>1.5476000000000001</c:v>
                </c:pt>
                <c:pt idx="152">
                  <c:v>1.4964</c:v>
                </c:pt>
                <c:pt idx="159">
                  <c:v>1.5778000000000001</c:v>
                </c:pt>
                <c:pt idx="164">
                  <c:v>1.4361999999999999</c:v>
                </c:pt>
                <c:pt idx="169">
                  <c:v>1.3956999999999999</c:v>
                </c:pt>
                <c:pt idx="174">
                  <c:v>1.5477000000000001</c:v>
                </c:pt>
                <c:pt idx="176">
                  <c:v>1.5477000000000001</c:v>
                </c:pt>
                <c:pt idx="179">
                  <c:v>1.5679000000000001</c:v>
                </c:pt>
                <c:pt idx="186">
                  <c:v>1.5679000000000001</c:v>
                </c:pt>
                <c:pt idx="190">
                  <c:v>1.5781000000000001</c:v>
                </c:pt>
                <c:pt idx="193">
                  <c:v>1.6086</c:v>
                </c:pt>
                <c:pt idx="194">
                  <c:v>1.6086</c:v>
                </c:pt>
                <c:pt idx="206">
                  <c:v>1.8218000000000001</c:v>
                </c:pt>
                <c:pt idx="210">
                  <c:v>1.9132</c:v>
                </c:pt>
                <c:pt idx="221">
                  <c:v>2.6055000000000001</c:v>
                </c:pt>
                <c:pt idx="229">
                  <c:v>3.0043000000000002</c:v>
                </c:pt>
                <c:pt idx="233">
                  <c:v>3.2298</c:v>
                </c:pt>
                <c:pt idx="238">
                  <c:v>3.2298</c:v>
                </c:pt>
                <c:pt idx="242">
                  <c:v>3.3018000000000001</c:v>
                </c:pt>
                <c:pt idx="243">
                  <c:v>3.3121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56C2-4110-BD50-F4D5132B5AF7}"/>
            </c:ext>
          </c:extLst>
        </c:ser>
        <c:ser>
          <c:idx val="110"/>
          <c:order val="110"/>
          <c:tx>
            <c:strRef>
              <c:f>'CPI Dispersion'!$EB$7:$EB$8</c:f>
              <c:strCache>
                <c:ptCount val="1"/>
                <c:pt idx="0">
                  <c:v>32964</c:v>
                </c:pt>
              </c:strCache>
            </c:strRef>
          </c:tx>
          <c:spPr>
            <a:ln w="19050" cap="rnd">
              <a:solidFill>
                <a:schemeClr val="accent1">
                  <a:shade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Dispersion'!$EB$9:$EB$259</c:f>
              <c:numCache>
                <c:formatCode>General</c:formatCode>
                <c:ptCount val="251"/>
                <c:pt idx="17">
                  <c:v>3.5272999999999999</c:v>
                </c:pt>
                <c:pt idx="34">
                  <c:v>3.5272999999999999</c:v>
                </c:pt>
                <c:pt idx="35">
                  <c:v>3.3420000000000001</c:v>
                </c:pt>
                <c:pt idx="55">
                  <c:v>3.0562999999999998</c:v>
                </c:pt>
                <c:pt idx="85">
                  <c:v>2.3500999999999999</c:v>
                </c:pt>
                <c:pt idx="109">
                  <c:v>1.6057999999999999</c:v>
                </c:pt>
                <c:pt idx="110">
                  <c:v>1.6057999999999999</c:v>
                </c:pt>
                <c:pt idx="148">
                  <c:v>1.4423999999999999</c:v>
                </c:pt>
                <c:pt idx="173">
                  <c:v>1.5128999999999999</c:v>
                </c:pt>
                <c:pt idx="209">
                  <c:v>1.9923</c:v>
                </c:pt>
                <c:pt idx="232">
                  <c:v>3.0556000000000001</c:v>
                </c:pt>
                <c:pt idx="245">
                  <c:v>3.4923999999999999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56C2-4110-BD50-F4D5132B5AF7}"/>
            </c:ext>
          </c:extLst>
        </c:ser>
        <c:ser>
          <c:idx val="111"/>
          <c:order val="111"/>
          <c:tx>
            <c:strRef>
              <c:f>'CPI Dispersion'!$EC$7:$EC$8</c:f>
              <c:strCache>
                <c:ptCount val="1"/>
                <c:pt idx="0">
                  <c:v>32983</c:v>
                </c:pt>
              </c:strCache>
            </c:strRef>
          </c:tx>
          <c:spPr>
            <a:ln w="19050" cap="rnd">
              <a:solidFill>
                <a:schemeClr val="accent1">
                  <a:shade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Dispersion'!$EC$9:$EC$259</c:f>
              <c:numCache>
                <c:formatCode>General</c:formatCode>
                <c:ptCount val="251"/>
                <c:pt idx="29">
                  <c:v>3.7206999999999999</c:v>
                </c:pt>
                <c:pt idx="52">
                  <c:v>3.0510000000000002</c:v>
                </c:pt>
                <c:pt idx="77">
                  <c:v>2.8557999999999999</c:v>
                </c:pt>
                <c:pt idx="91">
                  <c:v>2.2012999999999998</c:v>
                </c:pt>
                <c:pt idx="108">
                  <c:v>1.2272000000000001</c:v>
                </c:pt>
                <c:pt idx="131">
                  <c:v>0.94350000000000001</c:v>
                </c:pt>
                <c:pt idx="152">
                  <c:v>1.2746999999999999</c:v>
                </c:pt>
                <c:pt idx="176">
                  <c:v>1.6492</c:v>
                </c:pt>
                <c:pt idx="195">
                  <c:v>1.8421000000000001</c:v>
                </c:pt>
                <c:pt idx="217">
                  <c:v>2.4015</c:v>
                </c:pt>
                <c:pt idx="223">
                  <c:v>2.8921000000000001</c:v>
                </c:pt>
                <c:pt idx="244">
                  <c:v>3.8879000000000001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56C2-4110-BD50-F4D5132B5AF7}"/>
            </c:ext>
          </c:extLst>
        </c:ser>
        <c:ser>
          <c:idx val="112"/>
          <c:order val="112"/>
          <c:tx>
            <c:strRef>
              <c:f>'CPI Dispersion'!$ED$7:$ED$8</c:f>
              <c:strCache>
                <c:ptCount val="1"/>
                <c:pt idx="0">
                  <c:v>33003</c:v>
                </c:pt>
              </c:strCache>
            </c:strRef>
          </c:tx>
          <c:spPr>
            <a:ln w="19050" cap="rnd">
              <a:solidFill>
                <a:schemeClr val="accent1">
                  <a:shade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Dispersion'!$ED$9:$ED$259</c:f>
              <c:numCache>
                <c:formatCode>General</c:formatCode>
                <c:ptCount val="251"/>
                <c:pt idx="16">
                  <c:v>3.6</c:v>
                </c:pt>
                <c:pt idx="37">
                  <c:v>3</c:v>
                </c:pt>
                <c:pt idx="61">
                  <c:v>3</c:v>
                </c:pt>
                <c:pt idx="91">
                  <c:v>3</c:v>
                </c:pt>
                <c:pt idx="188">
                  <c:v>1.7708999999999999</c:v>
                </c:pt>
                <c:pt idx="229">
                  <c:v>3.1787999999999998</c:v>
                </c:pt>
                <c:pt idx="243">
                  <c:v>3.5484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56C2-4110-BD50-F4D5132B5AF7}"/>
            </c:ext>
          </c:extLst>
        </c:ser>
        <c:ser>
          <c:idx val="113"/>
          <c:order val="113"/>
          <c:tx>
            <c:strRef>
              <c:f>'CPI Dispersion'!$EE$7:$EE$8</c:f>
              <c:strCache>
                <c:ptCount val="1"/>
                <c:pt idx="0">
                  <c:v>33023</c:v>
                </c:pt>
              </c:strCache>
            </c:strRef>
          </c:tx>
          <c:spPr>
            <a:ln w="19050" cap="rnd">
              <a:solidFill>
                <a:schemeClr val="accent1">
                  <a:shade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Dispersion'!$EE$9:$EE$259</c:f>
              <c:numCache>
                <c:formatCode>General</c:formatCode>
                <c:ptCount val="251"/>
                <c:pt idx="0">
                  <c:v>4</c:v>
                </c:pt>
                <c:pt idx="4">
                  <c:v>4</c:v>
                </c:pt>
                <c:pt idx="5">
                  <c:v>4</c:v>
                </c:pt>
                <c:pt idx="8">
                  <c:v>4</c:v>
                </c:pt>
                <c:pt idx="11">
                  <c:v>4</c:v>
                </c:pt>
                <c:pt idx="23">
                  <c:v>4</c:v>
                </c:pt>
                <c:pt idx="25">
                  <c:v>4</c:v>
                </c:pt>
                <c:pt idx="27">
                  <c:v>4</c:v>
                </c:pt>
                <c:pt idx="34">
                  <c:v>3.7</c:v>
                </c:pt>
                <c:pt idx="35">
                  <c:v>3.7</c:v>
                </c:pt>
                <c:pt idx="40">
                  <c:v>3.7</c:v>
                </c:pt>
                <c:pt idx="41">
                  <c:v>3.7</c:v>
                </c:pt>
                <c:pt idx="46">
                  <c:v>3.7</c:v>
                </c:pt>
                <c:pt idx="47">
                  <c:v>3.5</c:v>
                </c:pt>
                <c:pt idx="48">
                  <c:v>3.3</c:v>
                </c:pt>
                <c:pt idx="50">
                  <c:v>3.3</c:v>
                </c:pt>
                <c:pt idx="56">
                  <c:v>3.2</c:v>
                </c:pt>
                <c:pt idx="61">
                  <c:v>3</c:v>
                </c:pt>
                <c:pt idx="66">
                  <c:v>3</c:v>
                </c:pt>
                <c:pt idx="67">
                  <c:v>3</c:v>
                </c:pt>
                <c:pt idx="69">
                  <c:v>3</c:v>
                </c:pt>
                <c:pt idx="75">
                  <c:v>2.8</c:v>
                </c:pt>
                <c:pt idx="85">
                  <c:v>2.8</c:v>
                </c:pt>
                <c:pt idx="89">
                  <c:v>2.5</c:v>
                </c:pt>
                <c:pt idx="90">
                  <c:v>2.1</c:v>
                </c:pt>
                <c:pt idx="91">
                  <c:v>2.1</c:v>
                </c:pt>
                <c:pt idx="95">
                  <c:v>2.1</c:v>
                </c:pt>
                <c:pt idx="103">
                  <c:v>2</c:v>
                </c:pt>
                <c:pt idx="105">
                  <c:v>2</c:v>
                </c:pt>
                <c:pt idx="108">
                  <c:v>1.5</c:v>
                </c:pt>
                <c:pt idx="126">
                  <c:v>1.5</c:v>
                </c:pt>
                <c:pt idx="138">
                  <c:v>1.5</c:v>
                </c:pt>
                <c:pt idx="151">
                  <c:v>1.5074000000000001</c:v>
                </c:pt>
                <c:pt idx="152">
                  <c:v>1.6086</c:v>
                </c:pt>
                <c:pt idx="161">
                  <c:v>1.9027000000000001</c:v>
                </c:pt>
                <c:pt idx="165">
                  <c:v>1.5983000000000001</c:v>
                </c:pt>
                <c:pt idx="172">
                  <c:v>1.6693</c:v>
                </c:pt>
                <c:pt idx="186">
                  <c:v>1.6693</c:v>
                </c:pt>
                <c:pt idx="196">
                  <c:v>1.8319000000000001</c:v>
                </c:pt>
                <c:pt idx="219">
                  <c:v>2.3199000000000001</c:v>
                </c:pt>
                <c:pt idx="224">
                  <c:v>2.7075</c:v>
                </c:pt>
                <c:pt idx="230">
                  <c:v>3.4863</c:v>
                </c:pt>
                <c:pt idx="234">
                  <c:v>3.3429000000000002</c:v>
                </c:pt>
                <c:pt idx="249">
                  <c:v>3.8574999999999999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56C2-4110-BD50-F4D5132B5AF7}"/>
            </c:ext>
          </c:extLst>
        </c:ser>
        <c:ser>
          <c:idx val="114"/>
          <c:order val="114"/>
          <c:tx>
            <c:strRef>
              <c:f>'CPI Dispersion'!$EF$7:$EF$8</c:f>
              <c:strCache>
                <c:ptCount val="1"/>
                <c:pt idx="0">
                  <c:v>33043</c:v>
                </c:pt>
              </c:strCache>
            </c:strRef>
          </c:tx>
          <c:spPr>
            <a:ln w="19050" cap="rnd">
              <a:solidFill>
                <a:schemeClr val="accent1">
                  <a:shade val="4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Dispersion'!$EF$9:$EF$259</c:f>
              <c:numCache>
                <c:formatCode>General</c:formatCode>
                <c:ptCount val="251"/>
                <c:pt idx="4">
                  <c:v>3.3184999999999998</c:v>
                </c:pt>
                <c:pt idx="10">
                  <c:v>3.3184999999999998</c:v>
                </c:pt>
                <c:pt idx="18">
                  <c:v>3.4319999999999999</c:v>
                </c:pt>
                <c:pt idx="23">
                  <c:v>3.4630000000000001</c:v>
                </c:pt>
                <c:pt idx="25">
                  <c:v>3.5558999999999998</c:v>
                </c:pt>
                <c:pt idx="40">
                  <c:v>3.2158000000000002</c:v>
                </c:pt>
                <c:pt idx="49">
                  <c:v>3.0507</c:v>
                </c:pt>
                <c:pt idx="180">
                  <c:v>1.8314999999999999</c:v>
                </c:pt>
                <c:pt idx="185">
                  <c:v>1.8314999999999999</c:v>
                </c:pt>
                <c:pt idx="194">
                  <c:v>2.0041000000000002</c:v>
                </c:pt>
                <c:pt idx="212">
                  <c:v>2.5648</c:v>
                </c:pt>
                <c:pt idx="222">
                  <c:v>2.8509000000000002</c:v>
                </c:pt>
                <c:pt idx="228">
                  <c:v>3.2709999999999999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56C2-4110-BD50-F4D5132B5AF7}"/>
            </c:ext>
          </c:extLst>
        </c:ser>
        <c:ser>
          <c:idx val="115"/>
          <c:order val="115"/>
          <c:tx>
            <c:strRef>
              <c:f>'CPI Dispersion'!$EG$7:$EG$8</c:f>
              <c:strCache>
                <c:ptCount val="1"/>
                <c:pt idx="0">
                  <c:v>33063</c:v>
                </c:pt>
              </c:strCache>
            </c:strRef>
          </c:tx>
          <c:spPr>
            <a:ln w="19050" cap="rnd">
              <a:solidFill>
                <a:schemeClr val="accent1">
                  <a:shade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Dispersion'!$EG$9:$EG$259</c:f>
              <c:numCache>
                <c:formatCode>General</c:formatCode>
                <c:ptCount val="251"/>
                <c:pt idx="147">
                  <c:v>2.073</c:v>
                </c:pt>
                <c:pt idx="161">
                  <c:v>2.2357999999999998</c:v>
                </c:pt>
                <c:pt idx="186">
                  <c:v>1.7807999999999999</c:v>
                </c:pt>
                <c:pt idx="210">
                  <c:v>2.0047000000000001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56C2-4110-BD50-F4D5132B5AF7}"/>
            </c:ext>
          </c:extLst>
        </c:ser>
        <c:ser>
          <c:idx val="116"/>
          <c:order val="116"/>
          <c:tx>
            <c:strRef>
              <c:f>'CPI Dispersion'!$EH$7:$EH$8</c:f>
              <c:strCache>
                <c:ptCount val="1"/>
                <c:pt idx="0">
                  <c:v>33083</c:v>
                </c:pt>
              </c:strCache>
            </c:strRef>
          </c:tx>
          <c:spPr>
            <a:ln w="19050" cap="rnd">
              <a:solidFill>
                <a:schemeClr val="accent1">
                  <a:shade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Dispersion'!$EH$9:$EH$259</c:f>
              <c:numCache>
                <c:formatCode>General</c:formatCode>
                <c:ptCount val="251"/>
                <c:pt idx="15">
                  <c:v>3.7719</c:v>
                </c:pt>
                <c:pt idx="37">
                  <c:v>3.7801999999999998</c:v>
                </c:pt>
                <c:pt idx="57">
                  <c:v>3.2671000000000001</c:v>
                </c:pt>
                <c:pt idx="82">
                  <c:v>2.8485</c:v>
                </c:pt>
                <c:pt idx="102">
                  <c:v>2.1720999999999999</c:v>
                </c:pt>
                <c:pt idx="128">
                  <c:v>1.1783999999999999</c:v>
                </c:pt>
                <c:pt idx="151">
                  <c:v>1.6942999999999999</c:v>
                </c:pt>
                <c:pt idx="176">
                  <c:v>1.7524</c:v>
                </c:pt>
                <c:pt idx="186">
                  <c:v>1.7726999999999999</c:v>
                </c:pt>
                <c:pt idx="195">
                  <c:v>1.9142999999999999</c:v>
                </c:pt>
                <c:pt idx="219">
                  <c:v>2.7256999999999998</c:v>
                </c:pt>
                <c:pt idx="224">
                  <c:v>2.7256999999999998</c:v>
                </c:pt>
                <c:pt idx="248">
                  <c:v>3.5185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56C2-4110-BD50-F4D5132B5AF7}"/>
            </c:ext>
          </c:extLst>
        </c:ser>
        <c:ser>
          <c:idx val="117"/>
          <c:order val="117"/>
          <c:tx>
            <c:strRef>
              <c:f>'CPI Dispersion'!$EI$7:$EI$8</c:f>
              <c:strCache>
                <c:ptCount val="1"/>
                <c:pt idx="0">
                  <c:v>33103</c:v>
                </c:pt>
              </c:strCache>
            </c:strRef>
          </c:tx>
          <c:spPr>
            <a:ln w="19050" cap="rnd">
              <a:solidFill>
                <a:schemeClr val="accent1">
                  <a:shade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Dispersion'!$EI$9:$EI$259</c:f>
              <c:numCache>
                <c:formatCode>General</c:formatCode>
                <c:ptCount val="251"/>
                <c:pt idx="3">
                  <c:v>3.9108999999999998</c:v>
                </c:pt>
                <c:pt idx="4">
                  <c:v>4.0210999999999997</c:v>
                </c:pt>
                <c:pt idx="9">
                  <c:v>4.0210999999999997</c:v>
                </c:pt>
                <c:pt idx="10">
                  <c:v>4.0210999999999997</c:v>
                </c:pt>
                <c:pt idx="13">
                  <c:v>4.0252999999999997</c:v>
                </c:pt>
                <c:pt idx="14">
                  <c:v>4.0252999999999997</c:v>
                </c:pt>
                <c:pt idx="19">
                  <c:v>4.0252999999999997</c:v>
                </c:pt>
                <c:pt idx="33">
                  <c:v>4.0373999999999999</c:v>
                </c:pt>
                <c:pt idx="37">
                  <c:v>4.0395000000000003</c:v>
                </c:pt>
                <c:pt idx="38">
                  <c:v>4.0395000000000003</c:v>
                </c:pt>
                <c:pt idx="40">
                  <c:v>4.0347999999999997</c:v>
                </c:pt>
                <c:pt idx="41">
                  <c:v>4.0347999999999997</c:v>
                </c:pt>
                <c:pt idx="47">
                  <c:v>4.0160999999999998</c:v>
                </c:pt>
                <c:pt idx="52">
                  <c:v>4.0160999999999998</c:v>
                </c:pt>
                <c:pt idx="61">
                  <c:v>3.9413</c:v>
                </c:pt>
                <c:pt idx="66">
                  <c:v>3.9413</c:v>
                </c:pt>
                <c:pt idx="69">
                  <c:v>3.9466999999999999</c:v>
                </c:pt>
                <c:pt idx="74">
                  <c:v>3.9466999999999999</c:v>
                </c:pt>
                <c:pt idx="76">
                  <c:v>3.9466999999999999</c:v>
                </c:pt>
                <c:pt idx="84">
                  <c:v>3.7122000000000002</c:v>
                </c:pt>
                <c:pt idx="89">
                  <c:v>3.7088000000000001</c:v>
                </c:pt>
                <c:pt idx="97">
                  <c:v>3.7088000000000001</c:v>
                </c:pt>
                <c:pt idx="99">
                  <c:v>3.1511999999999998</c:v>
                </c:pt>
                <c:pt idx="104">
                  <c:v>3.0823</c:v>
                </c:pt>
                <c:pt idx="106">
                  <c:v>2.9738000000000002</c:v>
                </c:pt>
                <c:pt idx="107">
                  <c:v>2.637</c:v>
                </c:pt>
                <c:pt idx="112">
                  <c:v>2.6091000000000002</c:v>
                </c:pt>
                <c:pt idx="115">
                  <c:v>2.6147999999999998</c:v>
                </c:pt>
                <c:pt idx="119">
                  <c:v>2.0575999999999999</c:v>
                </c:pt>
                <c:pt idx="122">
                  <c:v>2.0575999999999999</c:v>
                </c:pt>
                <c:pt idx="127">
                  <c:v>2.0575999999999999</c:v>
                </c:pt>
                <c:pt idx="131">
                  <c:v>1.9351</c:v>
                </c:pt>
                <c:pt idx="134">
                  <c:v>2.0026000000000002</c:v>
                </c:pt>
                <c:pt idx="138">
                  <c:v>2.0956999999999999</c:v>
                </c:pt>
                <c:pt idx="142">
                  <c:v>2.0956999999999999</c:v>
                </c:pt>
                <c:pt idx="150">
                  <c:v>2.2707000000000002</c:v>
                </c:pt>
                <c:pt idx="151">
                  <c:v>2.3445999999999998</c:v>
                </c:pt>
                <c:pt idx="158">
                  <c:v>2.4148999999999998</c:v>
                </c:pt>
                <c:pt idx="163">
                  <c:v>2.4148999999999998</c:v>
                </c:pt>
                <c:pt idx="171">
                  <c:v>2.2212999999999998</c:v>
                </c:pt>
                <c:pt idx="172">
                  <c:v>2.3938999999999999</c:v>
                </c:pt>
                <c:pt idx="186">
                  <c:v>2.3938999999999999</c:v>
                </c:pt>
                <c:pt idx="191">
                  <c:v>2.3938999999999999</c:v>
                </c:pt>
                <c:pt idx="193">
                  <c:v>2.3828</c:v>
                </c:pt>
                <c:pt idx="200">
                  <c:v>2.6255000000000002</c:v>
                </c:pt>
                <c:pt idx="203">
                  <c:v>2.6255000000000002</c:v>
                </c:pt>
                <c:pt idx="204">
                  <c:v>2.6255000000000002</c:v>
                </c:pt>
                <c:pt idx="205">
                  <c:v>2.6705000000000001</c:v>
                </c:pt>
                <c:pt idx="215">
                  <c:v>2.8006000000000002</c:v>
                </c:pt>
                <c:pt idx="219">
                  <c:v>2.8824999999999998</c:v>
                </c:pt>
                <c:pt idx="221">
                  <c:v>3.0219</c:v>
                </c:pt>
                <c:pt idx="222">
                  <c:v>3.0219</c:v>
                </c:pt>
                <c:pt idx="225">
                  <c:v>3.1545000000000001</c:v>
                </c:pt>
                <c:pt idx="227">
                  <c:v>3.1545000000000001</c:v>
                </c:pt>
                <c:pt idx="229">
                  <c:v>3.1545000000000001</c:v>
                </c:pt>
                <c:pt idx="233">
                  <c:v>3.1795</c:v>
                </c:pt>
                <c:pt idx="238">
                  <c:v>3.3877999999999999</c:v>
                </c:pt>
                <c:pt idx="243">
                  <c:v>3.5583999999999998</c:v>
                </c:pt>
                <c:pt idx="245">
                  <c:v>3.7126999999999999</c:v>
                </c:pt>
                <c:pt idx="249">
                  <c:v>3.7936000000000001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56C2-4110-BD50-F4D5132B5AF7}"/>
            </c:ext>
          </c:extLst>
        </c:ser>
        <c:ser>
          <c:idx val="118"/>
          <c:order val="118"/>
          <c:tx>
            <c:strRef>
              <c:f>'CPI Dispersion'!$EJ$7:$EJ$8</c:f>
              <c:strCache>
                <c:ptCount val="1"/>
                <c:pt idx="0">
                  <c:v>33123</c:v>
                </c:pt>
              </c:strCache>
            </c:strRef>
          </c:tx>
          <c:spPr>
            <a:ln w="19050" cap="rnd">
              <a:solidFill>
                <a:schemeClr val="accent1">
                  <a:shade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Dispersion'!$EJ$9:$EJ$259</c:f>
              <c:numCache>
                <c:formatCode>General</c:formatCode>
                <c:ptCount val="251"/>
                <c:pt idx="15">
                  <c:v>3.6179999999999999</c:v>
                </c:pt>
                <c:pt idx="37">
                  <c:v>3.5972</c:v>
                </c:pt>
                <c:pt idx="56">
                  <c:v>3.3083999999999998</c:v>
                </c:pt>
                <c:pt idx="186">
                  <c:v>1.7403999999999999</c:v>
                </c:pt>
                <c:pt idx="210">
                  <c:v>2.2284999999999999</c:v>
                </c:pt>
                <c:pt idx="233">
                  <c:v>3.4457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56C2-4110-BD50-F4D5132B5AF7}"/>
            </c:ext>
          </c:extLst>
        </c:ser>
        <c:ser>
          <c:idx val="119"/>
          <c:order val="119"/>
          <c:tx>
            <c:strRef>
              <c:f>'CPI Dispersion'!$EK$7:$EK$8</c:f>
              <c:strCache>
                <c:ptCount val="1"/>
                <c:pt idx="0">
                  <c:v>33125</c:v>
                </c:pt>
              </c:strCache>
            </c:strRef>
          </c:tx>
          <c:spPr>
            <a:ln w="19050" cap="rnd">
              <a:solidFill>
                <a:schemeClr val="accent1">
                  <a:shade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Dispersion'!$EK$9:$EK$259</c:f>
              <c:numCache>
                <c:formatCode>General</c:formatCode>
                <c:ptCount val="251"/>
                <c:pt idx="27">
                  <c:v>3.4529000000000001</c:v>
                </c:pt>
                <c:pt idx="32">
                  <c:v>3.4529000000000001</c:v>
                </c:pt>
                <c:pt idx="41">
                  <c:v>3.1644000000000001</c:v>
                </c:pt>
                <c:pt idx="42">
                  <c:v>3.1128999999999998</c:v>
                </c:pt>
                <c:pt idx="47">
                  <c:v>3.1949000000000001</c:v>
                </c:pt>
                <c:pt idx="52">
                  <c:v>3.0306999999999999</c:v>
                </c:pt>
                <c:pt idx="61">
                  <c:v>2.9384000000000001</c:v>
                </c:pt>
                <c:pt idx="67">
                  <c:v>2.5689000000000002</c:v>
                </c:pt>
                <c:pt idx="71">
                  <c:v>2.7429000000000001</c:v>
                </c:pt>
                <c:pt idx="76">
                  <c:v>2.4253</c:v>
                </c:pt>
                <c:pt idx="81">
                  <c:v>1.9241999999999999</c:v>
                </c:pt>
                <c:pt idx="88">
                  <c:v>1.7008000000000001</c:v>
                </c:pt>
                <c:pt idx="89">
                  <c:v>1.7009000000000001</c:v>
                </c:pt>
                <c:pt idx="94">
                  <c:v>1.7212000000000001</c:v>
                </c:pt>
                <c:pt idx="107">
                  <c:v>2.2780999999999998</c:v>
                </c:pt>
                <c:pt idx="120">
                  <c:v>1.7192000000000001</c:v>
                </c:pt>
                <c:pt idx="135">
                  <c:v>2.0246</c:v>
                </c:pt>
                <c:pt idx="141">
                  <c:v>1.7604</c:v>
                </c:pt>
                <c:pt idx="151">
                  <c:v>1.7196</c:v>
                </c:pt>
                <c:pt idx="161">
                  <c:v>1.6487000000000001</c:v>
                </c:pt>
                <c:pt idx="164">
                  <c:v>1.6286</c:v>
                </c:pt>
                <c:pt idx="166">
                  <c:v>1.5983000000000001</c:v>
                </c:pt>
                <c:pt idx="173">
                  <c:v>1.5983000000000001</c:v>
                </c:pt>
                <c:pt idx="178">
                  <c:v>1.6998</c:v>
                </c:pt>
                <c:pt idx="180">
                  <c:v>1.8826000000000001</c:v>
                </c:pt>
                <c:pt idx="183">
                  <c:v>1.7302</c:v>
                </c:pt>
                <c:pt idx="189">
                  <c:v>1.7302</c:v>
                </c:pt>
                <c:pt idx="193">
                  <c:v>1.9132</c:v>
                </c:pt>
                <c:pt idx="195">
                  <c:v>1.9233</c:v>
                </c:pt>
                <c:pt idx="212">
                  <c:v>2.2791000000000001</c:v>
                </c:pt>
                <c:pt idx="215">
                  <c:v>2.5335999999999999</c:v>
                </c:pt>
                <c:pt idx="221">
                  <c:v>2.6974</c:v>
                </c:pt>
                <c:pt idx="224">
                  <c:v>2.8094999999999999</c:v>
                </c:pt>
                <c:pt idx="226">
                  <c:v>2.8711000000000002</c:v>
                </c:pt>
                <c:pt idx="228">
                  <c:v>3.0350000000000001</c:v>
                </c:pt>
                <c:pt idx="233">
                  <c:v>3.3429000000000002</c:v>
                </c:pt>
                <c:pt idx="242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56C2-4110-BD50-F4D5132B5AF7}"/>
            </c:ext>
          </c:extLst>
        </c:ser>
        <c:ser>
          <c:idx val="120"/>
          <c:order val="120"/>
          <c:tx>
            <c:strRef>
              <c:f>'CPI Dispersion'!$EL$7:$EL$8</c:f>
              <c:strCache>
                <c:ptCount val="1"/>
                <c:pt idx="0">
                  <c:v>33129</c:v>
                </c:pt>
              </c:strCache>
            </c:strRef>
          </c:tx>
          <c:spPr>
            <a:ln w="19050" cap="rnd">
              <a:solidFill>
                <a:schemeClr val="accent1">
                  <a:shade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Dispersion'!$EL$9:$EL$259</c:f>
              <c:numCache>
                <c:formatCode>General</c:formatCode>
                <c:ptCount val="251"/>
                <c:pt idx="62">
                  <c:v>2.9070999999999998</c:v>
                </c:pt>
                <c:pt idx="66">
                  <c:v>2.9070999999999998</c:v>
                </c:pt>
                <c:pt idx="71">
                  <c:v>2.6714000000000002</c:v>
                </c:pt>
                <c:pt idx="76">
                  <c:v>2.4359000000000002</c:v>
                </c:pt>
                <c:pt idx="81">
                  <c:v>1.7527999999999999</c:v>
                </c:pt>
                <c:pt idx="93">
                  <c:v>1.6692</c:v>
                </c:pt>
                <c:pt idx="94">
                  <c:v>1.6588000000000001</c:v>
                </c:pt>
                <c:pt idx="102">
                  <c:v>1.202</c:v>
                </c:pt>
                <c:pt idx="127">
                  <c:v>1.1311</c:v>
                </c:pt>
                <c:pt idx="131">
                  <c:v>1.3956</c:v>
                </c:pt>
                <c:pt idx="160">
                  <c:v>1.5472999999999999</c:v>
                </c:pt>
                <c:pt idx="161">
                  <c:v>1.345</c:v>
                </c:pt>
                <c:pt idx="164">
                  <c:v>1.345</c:v>
                </c:pt>
                <c:pt idx="165">
                  <c:v>1.345</c:v>
                </c:pt>
                <c:pt idx="166">
                  <c:v>1.3554999999999999</c:v>
                </c:pt>
                <c:pt idx="176">
                  <c:v>1.8008999999999999</c:v>
                </c:pt>
                <c:pt idx="185">
                  <c:v>1.8313999999999999</c:v>
                </c:pt>
                <c:pt idx="195">
                  <c:v>2.0348999999999999</c:v>
                </c:pt>
                <c:pt idx="200">
                  <c:v>2.0451000000000001</c:v>
                </c:pt>
                <c:pt idx="204">
                  <c:v>2.2688000000000001</c:v>
                </c:pt>
                <c:pt idx="223">
                  <c:v>2.8712</c:v>
                </c:pt>
                <c:pt idx="224">
                  <c:v>2.9836</c:v>
                </c:pt>
                <c:pt idx="243">
                  <c:v>3.6103999999999998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56C2-4110-BD50-F4D5132B5AF7}"/>
            </c:ext>
          </c:extLst>
        </c:ser>
        <c:ser>
          <c:idx val="121"/>
          <c:order val="121"/>
          <c:tx>
            <c:strRef>
              <c:f>'CPI Dispersion'!$EM$7:$EM$8</c:f>
              <c:strCache>
                <c:ptCount val="1"/>
                <c:pt idx="0">
                  <c:v>33130</c:v>
                </c:pt>
              </c:strCache>
            </c:strRef>
          </c:tx>
          <c:spPr>
            <a:ln w="19050" cap="rnd">
              <a:solidFill>
                <a:schemeClr val="accent1">
                  <a:shade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Dispersion'!$EM$9:$EM$259</c:f>
              <c:numCache>
                <c:formatCode>General</c:formatCode>
                <c:ptCount val="251"/>
                <c:pt idx="71">
                  <c:v>2.7431999999999999</c:v>
                </c:pt>
                <c:pt idx="77">
                  <c:v>2.4357000000000002</c:v>
                </c:pt>
                <c:pt idx="85">
                  <c:v>1.9556</c:v>
                </c:pt>
                <c:pt idx="97">
                  <c:v>1.8733</c:v>
                </c:pt>
                <c:pt idx="106">
                  <c:v>2.1476999999999999</c:v>
                </c:pt>
                <c:pt idx="110">
                  <c:v>1.893</c:v>
                </c:pt>
                <c:pt idx="115">
                  <c:v>1.7199</c:v>
                </c:pt>
                <c:pt idx="124">
                  <c:v>1.4359</c:v>
                </c:pt>
                <c:pt idx="125">
                  <c:v>1.4358</c:v>
                </c:pt>
                <c:pt idx="130">
                  <c:v>1.649</c:v>
                </c:pt>
                <c:pt idx="133">
                  <c:v>1.4464999999999999</c:v>
                </c:pt>
                <c:pt idx="138">
                  <c:v>1.8214999999999999</c:v>
                </c:pt>
                <c:pt idx="141">
                  <c:v>1.5983000000000001</c:v>
                </c:pt>
                <c:pt idx="144">
                  <c:v>1.6487000000000001</c:v>
                </c:pt>
                <c:pt idx="151">
                  <c:v>1.7602</c:v>
                </c:pt>
                <c:pt idx="152">
                  <c:v>1.7907</c:v>
                </c:pt>
                <c:pt idx="156">
                  <c:v>1.8416999999999999</c:v>
                </c:pt>
                <c:pt idx="158">
                  <c:v>1.7806</c:v>
                </c:pt>
                <c:pt idx="160">
                  <c:v>1.8008999999999999</c:v>
                </c:pt>
                <c:pt idx="164">
                  <c:v>1.6388</c:v>
                </c:pt>
                <c:pt idx="168">
                  <c:v>1.5172000000000001</c:v>
                </c:pt>
                <c:pt idx="171">
                  <c:v>1.5475000000000001</c:v>
                </c:pt>
                <c:pt idx="181">
                  <c:v>2.0045999999999999</c:v>
                </c:pt>
                <c:pt idx="183">
                  <c:v>1.8115000000000001</c:v>
                </c:pt>
                <c:pt idx="184">
                  <c:v>1.8520000000000001</c:v>
                </c:pt>
                <c:pt idx="191">
                  <c:v>1.7201</c:v>
                </c:pt>
                <c:pt idx="192">
                  <c:v>1.8216000000000001</c:v>
                </c:pt>
                <c:pt idx="195">
                  <c:v>1.9334</c:v>
                </c:pt>
                <c:pt idx="196">
                  <c:v>1.9435</c:v>
                </c:pt>
                <c:pt idx="200">
                  <c:v>2.2385999999999999</c:v>
                </c:pt>
                <c:pt idx="205">
                  <c:v>2.4016000000000002</c:v>
                </c:pt>
                <c:pt idx="206">
                  <c:v>2.3811</c:v>
                </c:pt>
                <c:pt idx="215">
                  <c:v>2.9533</c:v>
                </c:pt>
                <c:pt idx="220">
                  <c:v>2.9839000000000002</c:v>
                </c:pt>
                <c:pt idx="224">
                  <c:v>3.2604000000000002</c:v>
                </c:pt>
                <c:pt idx="230">
                  <c:v>3.2606999999999999</c:v>
                </c:pt>
                <c:pt idx="239">
                  <c:v>3.5381999999999998</c:v>
                </c:pt>
                <c:pt idx="243">
                  <c:v>3.5589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56C2-4110-BD50-F4D5132B5AF7}"/>
            </c:ext>
          </c:extLst>
        </c:ser>
        <c:ser>
          <c:idx val="122"/>
          <c:order val="122"/>
          <c:tx>
            <c:strRef>
              <c:f>'CPI Dispersion'!$EN$7:$EN$8</c:f>
              <c:strCache>
                <c:ptCount val="1"/>
                <c:pt idx="0">
                  <c:v>33143</c:v>
                </c:pt>
              </c:strCache>
            </c:strRef>
          </c:tx>
          <c:spPr>
            <a:ln w="19050" cap="rnd">
              <a:solidFill>
                <a:schemeClr val="accent1">
                  <a:shade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Dispersion'!$EN$9:$EN$259</c:f>
              <c:numCache>
                <c:formatCode>General</c:formatCode>
                <c:ptCount val="251"/>
                <c:pt idx="44">
                  <c:v>3.5</c:v>
                </c:pt>
                <c:pt idx="65">
                  <c:v>3.6</c:v>
                </c:pt>
                <c:pt idx="86">
                  <c:v>3</c:v>
                </c:pt>
                <c:pt idx="103">
                  <c:v>2.5</c:v>
                </c:pt>
                <c:pt idx="119">
                  <c:v>2</c:v>
                </c:pt>
                <c:pt idx="137">
                  <c:v>1.5</c:v>
                </c:pt>
                <c:pt idx="157">
                  <c:v>1.7</c:v>
                </c:pt>
                <c:pt idx="161">
                  <c:v>1.5</c:v>
                </c:pt>
                <c:pt idx="177">
                  <c:v>1.8</c:v>
                </c:pt>
                <c:pt idx="196">
                  <c:v>1.9</c:v>
                </c:pt>
                <c:pt idx="215">
                  <c:v>2.8</c:v>
                </c:pt>
                <c:pt idx="23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56C2-4110-BD50-F4D5132B5AF7}"/>
            </c:ext>
          </c:extLst>
        </c:ser>
        <c:ser>
          <c:idx val="123"/>
          <c:order val="123"/>
          <c:tx>
            <c:strRef>
              <c:f>'CPI Dispersion'!$EO$7:$EO$8</c:f>
              <c:strCache>
                <c:ptCount val="1"/>
                <c:pt idx="0">
                  <c:v>33164</c:v>
                </c:pt>
              </c:strCache>
            </c:strRef>
          </c:tx>
          <c:spPr>
            <a:ln w="19050" cap="rnd">
              <a:solidFill>
                <a:schemeClr val="accent1">
                  <a:shade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Dispersion'!$EO$9:$EO$259</c:f>
              <c:numCache>
                <c:formatCode>General</c:formatCode>
                <c:ptCount val="251"/>
                <c:pt idx="61">
                  <c:v>2.8250000000000002</c:v>
                </c:pt>
                <c:pt idx="82">
                  <c:v>2.7019000000000002</c:v>
                </c:pt>
                <c:pt idx="100">
                  <c:v>2.2719</c:v>
                </c:pt>
                <c:pt idx="147">
                  <c:v>1.7201</c:v>
                </c:pt>
                <c:pt idx="169">
                  <c:v>1.6693</c:v>
                </c:pt>
                <c:pt idx="192">
                  <c:v>1.9638</c:v>
                </c:pt>
                <c:pt idx="211">
                  <c:v>2.2387000000000001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56C2-4110-BD50-F4D5132B5AF7}"/>
            </c:ext>
          </c:extLst>
        </c:ser>
        <c:ser>
          <c:idx val="124"/>
          <c:order val="124"/>
          <c:tx>
            <c:strRef>
              <c:f>'CPI Dispersion'!$EP$7:$EP$8</c:f>
              <c:strCache>
                <c:ptCount val="1"/>
                <c:pt idx="0">
                  <c:v>33183</c:v>
                </c:pt>
              </c:strCache>
            </c:strRef>
          </c:tx>
          <c:spPr>
            <a:ln w="19050" cap="rnd">
              <a:solidFill>
                <a:schemeClr val="accent1">
                  <a:shade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Dispersion'!$EP$9:$EP$259</c:f>
              <c:numCache>
                <c:formatCode>General</c:formatCode>
                <c:ptCount val="251"/>
                <c:pt idx="97">
                  <c:v>1.6</c:v>
                </c:pt>
                <c:pt idx="102">
                  <c:v>1.4</c:v>
                </c:pt>
                <c:pt idx="103">
                  <c:v>1.4</c:v>
                </c:pt>
                <c:pt idx="131">
                  <c:v>1.4818</c:v>
                </c:pt>
                <c:pt idx="132">
                  <c:v>1.4818</c:v>
                </c:pt>
                <c:pt idx="144">
                  <c:v>1.4818</c:v>
                </c:pt>
                <c:pt idx="161">
                  <c:v>1.411</c:v>
                </c:pt>
                <c:pt idx="162">
                  <c:v>1.411</c:v>
                </c:pt>
                <c:pt idx="166">
                  <c:v>1.3654999999999999</c:v>
                </c:pt>
                <c:pt idx="171">
                  <c:v>1.3705000000000001</c:v>
                </c:pt>
                <c:pt idx="176">
                  <c:v>1.7404999999999999</c:v>
                </c:pt>
                <c:pt idx="184">
                  <c:v>1.6998</c:v>
                </c:pt>
                <c:pt idx="195">
                  <c:v>1.8978999999999999</c:v>
                </c:pt>
                <c:pt idx="220">
                  <c:v>2.8713000000000002</c:v>
                </c:pt>
                <c:pt idx="224">
                  <c:v>3.0278</c:v>
                </c:pt>
                <c:pt idx="233">
                  <c:v>3.2812999999999999</c:v>
                </c:pt>
                <c:pt idx="243">
                  <c:v>3.5203000000000002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56C2-4110-BD50-F4D5132B5AF7}"/>
            </c:ext>
          </c:extLst>
        </c:ser>
        <c:ser>
          <c:idx val="125"/>
          <c:order val="125"/>
          <c:tx>
            <c:strRef>
              <c:f>'CPI Dispersion'!$EQ$7:$EQ$8</c:f>
              <c:strCache>
                <c:ptCount val="1"/>
                <c:pt idx="0">
                  <c:v>33203</c:v>
                </c:pt>
              </c:strCache>
            </c:strRef>
          </c:tx>
          <c:spPr>
            <a:ln w="19050" cap="rnd">
              <a:solidFill>
                <a:schemeClr val="accent1">
                  <a:shade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Dispersion'!$EQ$9:$EQ$259</c:f>
              <c:numCache>
                <c:formatCode>General</c:formatCode>
                <c:ptCount val="251"/>
                <c:pt idx="146">
                  <c:v>1.335</c:v>
                </c:pt>
                <c:pt idx="151">
                  <c:v>1.6692</c:v>
                </c:pt>
                <c:pt idx="152">
                  <c:v>1.6681999999999999</c:v>
                </c:pt>
                <c:pt idx="161">
                  <c:v>1.7949999999999999</c:v>
                </c:pt>
                <c:pt idx="166">
                  <c:v>1.6886000000000001</c:v>
                </c:pt>
                <c:pt idx="171">
                  <c:v>1.6667000000000001</c:v>
                </c:pt>
                <c:pt idx="178">
                  <c:v>1.6338999999999999</c:v>
                </c:pt>
                <c:pt idx="192">
                  <c:v>1.8573999999999999</c:v>
                </c:pt>
                <c:pt idx="205">
                  <c:v>2.2986</c:v>
                </c:pt>
                <c:pt idx="215">
                  <c:v>2.5988000000000002</c:v>
                </c:pt>
                <c:pt idx="219">
                  <c:v>2.9093</c:v>
                </c:pt>
                <c:pt idx="229">
                  <c:v>3.3433999999999999</c:v>
                </c:pt>
                <c:pt idx="238">
                  <c:v>3.4519000000000002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56C2-4110-BD50-F4D5132B5AF7}"/>
            </c:ext>
          </c:extLst>
        </c:ser>
        <c:ser>
          <c:idx val="126"/>
          <c:order val="126"/>
          <c:tx>
            <c:strRef>
              <c:f>'CPI Dispersion'!$ER$7:$ER$8</c:f>
              <c:strCache>
                <c:ptCount val="1"/>
                <c:pt idx="0">
                  <c:v>33223</c:v>
                </c:pt>
              </c:strCache>
            </c:strRef>
          </c:tx>
          <c:spPr>
            <a:ln w="19050" cap="rnd">
              <a:solidFill>
                <a:schemeClr val="accent1">
                  <a:shade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Dispersion'!$ER$9:$ER$259</c:f>
              <c:numCache>
                <c:formatCode>General</c:formatCode>
                <c:ptCount val="251"/>
                <c:pt idx="225">
                  <c:v>2.1568000000000001</c:v>
                </c:pt>
                <c:pt idx="244">
                  <c:v>3.3426999999999998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56C2-4110-BD50-F4D5132B5AF7}"/>
            </c:ext>
          </c:extLst>
        </c:ser>
        <c:ser>
          <c:idx val="127"/>
          <c:order val="127"/>
          <c:tx>
            <c:strRef>
              <c:f>'CPI Dispersion'!$ES$7:$ES$8</c:f>
              <c:strCache>
                <c:ptCount val="1"/>
                <c:pt idx="0">
                  <c:v>33224</c:v>
                </c:pt>
              </c:strCache>
            </c:strRef>
          </c:tx>
          <c:spPr>
            <a:ln w="19050" cap="rnd">
              <a:solidFill>
                <a:schemeClr val="accent1">
                  <a:shade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Dispersion'!$ES$9:$ES$259</c:f>
              <c:numCache>
                <c:formatCode>General</c:formatCode>
                <c:ptCount val="251"/>
                <c:pt idx="222">
                  <c:v>3.4045999999999998</c:v>
                </c:pt>
                <c:pt idx="234">
                  <c:v>3.5897999999999999</c:v>
                </c:pt>
                <c:pt idx="242">
                  <c:v>3.6617999999999999</c:v>
                </c:pt>
                <c:pt idx="243">
                  <c:v>3.6720999999999999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56C2-4110-BD50-F4D5132B5AF7}"/>
            </c:ext>
          </c:extLst>
        </c:ser>
        <c:ser>
          <c:idx val="128"/>
          <c:order val="128"/>
          <c:tx>
            <c:strRef>
              <c:f>'CPI Dispersion'!$ET$7:$ET$8</c:f>
              <c:strCache>
                <c:ptCount val="1"/>
                <c:pt idx="0">
                  <c:v>META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3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hade val="33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hade val="33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shade val="33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>
                      <a:shade val="33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7-56C2-4110-BD50-F4D5132B5AF7}"/>
              </c:ext>
            </c:extLst>
          </c:dPt>
          <c:dPt>
            <c:idx val="250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hade val="33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hade val="33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shade val="33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>
                      <a:shade val="33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8-56C2-4110-BD50-F4D5132B5AF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7-56C2-4110-BD50-F4D5132B5AF7}"/>
                </c:ext>
              </c:extLst>
            </c:dLbl>
            <c:dLbl>
              <c:idx val="2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8-56C2-4110-BD50-F4D5132B5A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Dispersion'!$ET$9:$ET$259</c:f>
              <c:numCache>
                <c:formatCode>General</c:formatCode>
                <c:ptCount val="251"/>
                <c:pt idx="0">
                  <c:v>4</c:v>
                </c:pt>
                <c:pt idx="25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3-56C2-4110-BD50-F4D5132B5AF7}"/>
            </c:ext>
          </c:extLst>
        </c:ser>
        <c:ser>
          <c:idx val="129"/>
          <c:order val="129"/>
          <c:tx>
            <c:strRef>
              <c:f>'CPI Dispersion'!$EU$7:$EU$8</c:f>
              <c:strCache>
                <c:ptCount val="1"/>
                <c:pt idx="0">
                  <c:v>COVID</c:v>
                </c:pt>
              </c:strCache>
            </c:strRef>
          </c:tx>
          <c:spPr>
            <a:ln w="34925" cap="rnd">
              <a:solidFill>
                <a:schemeClr val="bg1"/>
              </a:solidFill>
              <a:prstDash val="sys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3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Dispersion'!$EU$9:$EU$259</c:f>
              <c:numCache>
                <c:formatCode>General</c:formatCode>
                <c:ptCount val="251"/>
                <c:pt idx="0">
                  <c:v>-9999999</c:v>
                </c:pt>
                <c:pt idx="57">
                  <c:v>-9999999</c:v>
                </c:pt>
                <c:pt idx="58">
                  <c:v>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4-56C2-4110-BD50-F4D5132B5AF7}"/>
            </c:ext>
          </c:extLst>
        </c:ser>
        <c:ser>
          <c:idx val="130"/>
          <c:order val="130"/>
          <c:tx>
            <c:strRef>
              <c:f>'CPI Dispersion'!$EV$7:$EV$8</c:f>
              <c:strCache>
                <c:ptCount val="1"/>
                <c:pt idx="0">
                  <c:v>FINAL IPCA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3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Dispersion'!$EV$9:$EV$259</c:f>
              <c:numCache>
                <c:formatCode>General</c:formatCode>
                <c:ptCount val="251"/>
                <c:pt idx="0">
                  <c:v>4.5199999999999996</c:v>
                </c:pt>
                <c:pt idx="250">
                  <c:v>4.5199999999999996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6-56C2-4110-BD50-F4D5132B5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505231"/>
        <c:axId val="749474687"/>
      </c:lineChart>
      <c:dateAx>
        <c:axId val="800505231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9474687"/>
        <c:crosses val="autoZero"/>
        <c:auto val="0"/>
        <c:lblOffset val="100"/>
        <c:baseTimeUnit val="days"/>
        <c:majorUnit val="30"/>
      </c:dateAx>
      <c:valAx>
        <c:axId val="74947468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% yOy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0505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295274</xdr:colOff>
      <xdr:row>6</xdr:row>
      <xdr:rowOff>142875</xdr:rowOff>
    </xdr:from>
    <xdr:to>
      <xdr:col>19</xdr:col>
      <xdr:colOff>381000</xdr:colOff>
      <xdr:row>34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45207D1-B760-4594-AFA5-66C3E6A5E4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200025</xdr:colOff>
      <xdr:row>13</xdr:row>
      <xdr:rowOff>57150</xdr:rowOff>
    </xdr:from>
    <xdr:to>
      <xdr:col>18</xdr:col>
      <xdr:colOff>581025</xdr:colOff>
      <xdr:row>14</xdr:row>
      <xdr:rowOff>114300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2087513-B4DE-4D12-83B4-725A526C0909}"/>
            </a:ext>
          </a:extLst>
        </xdr:cNvPr>
        <xdr:cNvSpPr txBox="1"/>
      </xdr:nvSpPr>
      <xdr:spPr>
        <a:xfrm>
          <a:off x="11029950" y="2428875"/>
          <a:ext cx="17716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chemeClr val="bg1"/>
              </a:solidFill>
            </a:rPr>
            <a:t>CPI</a:t>
          </a:r>
          <a:r>
            <a:rPr lang="pt-BR" sz="1200" baseline="0">
              <a:solidFill>
                <a:schemeClr val="bg1"/>
              </a:solidFill>
            </a:rPr>
            <a:t> midpoint target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200025</xdr:colOff>
      <xdr:row>11</xdr:row>
      <xdr:rowOff>38100</xdr:rowOff>
    </xdr:from>
    <xdr:to>
      <xdr:col>18</xdr:col>
      <xdr:colOff>371474</xdr:colOff>
      <xdr:row>12</xdr:row>
      <xdr:rowOff>95250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6602F65-F849-4F14-B894-A1E7B77CA43D}"/>
            </a:ext>
          </a:extLst>
        </xdr:cNvPr>
        <xdr:cNvSpPr txBox="1"/>
      </xdr:nvSpPr>
      <xdr:spPr>
        <a:xfrm>
          <a:off x="11029950" y="2028825"/>
          <a:ext cx="1562099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chemeClr val="bg1"/>
              </a:solidFill>
            </a:rPr>
            <a:t>FInal CPI</a:t>
          </a:r>
          <a:r>
            <a:rPr lang="pt-BR" sz="1200" baseline="0">
              <a:solidFill>
                <a:schemeClr val="bg1"/>
              </a:solidFill>
            </a:rPr>
            <a:t> at 4.52% YoY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114301</xdr:colOff>
      <xdr:row>10</xdr:row>
      <xdr:rowOff>152400</xdr:rowOff>
    </xdr:from>
    <xdr:to>
      <xdr:col>11</xdr:col>
      <xdr:colOff>409576</xdr:colOff>
      <xdr:row>12</xdr:row>
      <xdr:rowOff>19050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FBE17B12-8D3D-4941-983F-3EFDAEE303D6}"/>
            </a:ext>
          </a:extLst>
        </xdr:cNvPr>
        <xdr:cNvSpPr txBox="1"/>
      </xdr:nvSpPr>
      <xdr:spPr>
        <a:xfrm>
          <a:off x="6772276" y="1590675"/>
          <a:ext cx="9906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chemeClr val="bg1"/>
              </a:solidFill>
            </a:rPr>
            <a:t>COVID</a:t>
          </a:r>
          <a:r>
            <a:rPr lang="pt-BR" sz="1200" baseline="0">
              <a:solidFill>
                <a:schemeClr val="bg1"/>
              </a:solidFill>
            </a:rPr>
            <a:t> shock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0.01601</cdr:x>
      <cdr:y>0.94964</cdr:y>
    </cdr:from>
    <cdr:to>
      <cdr:x>0.61823</cdr:x>
      <cdr:y>0.99281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B621A3EB-4E3A-4642-B45E-91C6ACDE8EEE}"/>
            </a:ext>
          </a:extLst>
        </cdr:cNvPr>
        <cdr:cNvSpPr txBox="1"/>
      </cdr:nvSpPr>
      <cdr:spPr>
        <a:xfrm xmlns:a="http://schemas.openxmlformats.org/drawingml/2006/main">
          <a:off x="123825" y="5029199"/>
          <a:ext cx="4657726" cy="2286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Source: xlFOCUS with data from the BCB's Focus survey available up to Nov-20</a:t>
          </a:r>
        </a:p>
      </cdr:txBody>
    </cdr:sp>
  </cdr:relSizeAnchor>
  <cdr:relSizeAnchor xmlns:cdr="http://schemas.openxmlformats.org/drawingml/2006/chartDrawing">
    <cdr:from>
      <cdr:x>0.68966</cdr:x>
      <cdr:y>0.94964</cdr:y>
    </cdr:from>
    <cdr:to>
      <cdr:x>1</cdr:x>
      <cdr:y>0.99281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BEF6FC8B-B2C4-4826-8B58-B3A487B9AAB5}"/>
            </a:ext>
          </a:extLst>
        </cdr:cNvPr>
        <cdr:cNvSpPr txBox="1"/>
      </cdr:nvSpPr>
      <cdr:spPr>
        <a:xfrm xmlns:a="http://schemas.openxmlformats.org/drawingml/2006/main">
          <a:off x="5334000" y="5029201"/>
          <a:ext cx="2400301" cy="228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" refreshedDate="44549.943830208336" createdVersion="7" refreshedVersion="7" minRefreshableVersion="3" recordCount="3032" xr:uid="{D5CD868A-F150-46E9-82ED-ED84BA487C55}">
  <cacheSource type="worksheet">
    <worksheetSource ref="F7:H3039" sheet="CPI Dispersion"/>
  </cacheSource>
  <cacheFields count="3">
    <cacheField name="Instituicao" numFmtId="0">
      <sharedItems containsBlank="1" containsMixedTypes="1" containsNumber="1" containsInteger="1" minValue="1" maxValue="33224" count="132">
        <n v="49"/>
        <n v="99"/>
        <n v="143"/>
        <n v="2250"/>
        <n v="32401"/>
        <n v="32360"/>
        <n v="147"/>
        <n v="33023"/>
        <n v="176"/>
        <n v="32"/>
        <n v="178"/>
        <n v="32421"/>
        <n v="32963"/>
        <n v="32560"/>
        <n v="23250"/>
        <n v="98"/>
        <n v="90"/>
        <n v="132"/>
        <n v="59"/>
        <n v="77"/>
        <n v="1"/>
        <n v="83"/>
        <n v="115"/>
        <n v="32400"/>
        <n v="32200"/>
        <n v="32823"/>
        <n v="55"/>
        <n v="32843"/>
        <n v="32724"/>
        <n v="32420"/>
        <n v="72"/>
        <n v="53"/>
        <n v="33103"/>
        <n v="34"/>
        <n v="32082"/>
        <n v="32582"/>
        <n v="139"/>
        <n v="24"/>
        <n v="171"/>
        <n v="16"/>
        <n v="30400"/>
        <n v="191"/>
        <n v="32280"/>
        <n v="32603"/>
        <n v="157"/>
        <n v="32863"/>
        <n v="67"/>
        <n v="28"/>
        <n v="31"/>
        <n v="37"/>
        <n v="32923"/>
        <n v="32340"/>
        <n v="196"/>
        <n v="94"/>
        <n v="109"/>
        <n v="32081"/>
        <n v="32502"/>
        <n v="30250"/>
        <n v="146"/>
        <n v="150"/>
        <n v="32803"/>
        <n v="32320"/>
        <n v="9250"/>
        <n v="30300"/>
        <n v="24250"/>
        <n v="33043"/>
        <n v="32180"/>
        <n v="164"/>
        <n v="250"/>
        <n v="102"/>
        <n v="32260"/>
        <n v="187"/>
        <n v="181"/>
        <n v="156"/>
        <n v="117"/>
        <n v="101"/>
        <n v="110"/>
        <n v="81"/>
        <n v="20"/>
        <n v="13250"/>
        <n v="32783"/>
        <n v="78"/>
        <n v="10"/>
        <n v="32480"/>
        <n v="32121"/>
        <n v="30350"/>
        <n v="133"/>
        <n v="32440"/>
        <n v="32380"/>
        <n v="136"/>
        <n v="177"/>
        <n v="32824"/>
        <n v="89"/>
        <n v="32883"/>
        <n v="32583"/>
        <n v="137"/>
        <n v="32040"/>
        <n v="32663"/>
        <n v="32703"/>
        <n v="32222"/>
        <n v="33123"/>
        <n v="184"/>
        <n v="33083"/>
        <n v="33003"/>
        <n v="32964"/>
        <n v="68"/>
        <n v="33125"/>
        <n v="32983"/>
        <n v="32723"/>
        <n v="182"/>
        <n v="12250"/>
        <n v="33143"/>
        <n v="32500"/>
        <n v="153"/>
        <n v="33164"/>
        <n v="33129"/>
        <n v="32521"/>
        <n v="8"/>
        <n v="33130"/>
        <n v="33183"/>
        <n v="33203"/>
        <n v="33063"/>
        <n v="161"/>
        <n v="32501"/>
        <n v="175"/>
        <n v="33224"/>
        <n v="33223"/>
        <n v="32643"/>
        <m/>
        <s v="META"/>
        <s v="COVID"/>
        <s v="FINAL IPCA"/>
      </sharedItems>
    </cacheField>
    <cacheField name="Data" numFmtId="0">
      <sharedItems containsNonDate="0" containsDate="1" containsString="0" containsBlank="1" minDate="2019-12-02T00:00:00" maxDate="2021-01-01T00:00:00" count="252">
        <d v="2019-12-02T00:00:00"/>
        <d v="2019-12-03T00:00:00"/>
        <d v="2019-12-04T00:00:00"/>
        <d v="2019-12-05T00:00:00"/>
        <d v="2019-12-06T00:00:00"/>
        <d v="2019-12-09T00:00:00"/>
        <d v="2019-12-10T00:00:00"/>
        <d v="2019-12-11T00:00:00"/>
        <d v="2019-12-12T00:00:00"/>
        <d v="2019-12-13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6T00:00:00"/>
        <d v="2019-12-27T00:00:00"/>
        <d v="2019-12-30T00:00:00"/>
        <d v="2019-12-31T00:00:00"/>
        <d v="2020-01-02T00:00:00"/>
        <d v="2020-01-03T00:00:00"/>
        <d v="2020-01-06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20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0T00:00:00"/>
        <d v="2020-01-31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6T00:00:00"/>
        <d v="2020-02-27T00:00:00"/>
        <d v="2020-02-28T00:00:00"/>
        <d v="2020-03-02T00:00:00"/>
        <d v="2020-03-03T00:00:00"/>
        <d v="2020-03-04T00:00:00"/>
        <d v="2020-03-05T00:00:00"/>
        <d v="2020-03-06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19T00:00:00"/>
        <d v="2020-03-20T00:00:00"/>
        <d v="2020-03-23T00:00:00"/>
        <d v="2020-03-24T00:00:00"/>
        <d v="2020-03-25T00:00:00"/>
        <d v="2020-03-26T00:00:00"/>
        <d v="2020-03-27T00:00:00"/>
        <d v="2020-03-30T00:00:00"/>
        <d v="2020-03-31T00:00:00"/>
        <d v="2020-04-02T00:00:00"/>
        <d v="2020-04-03T00:00:00"/>
        <d v="2020-04-08T00:00:00"/>
        <d v="2020-04-07T00:00:00"/>
        <d v="2020-04-06T00:00:00"/>
        <d v="2020-04-09T00:00:00"/>
        <d v="2020-04-13T00:00:00"/>
        <d v="2020-04-14T00:00:00"/>
        <d v="2020-04-15T00:00:00"/>
        <d v="2020-04-16T00:00:00"/>
        <d v="2020-04-17T00:00:00"/>
        <d v="2020-04-20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4T00:00:00"/>
        <d v="2020-05-05T00:00:00"/>
        <d v="2020-05-06T00:00:00"/>
        <d v="2020-05-07T00:00:00"/>
        <d v="2020-05-08T00:00:00"/>
        <d v="2020-05-11T00:00:00"/>
        <d v="2020-05-12T00:00:00"/>
        <d v="2020-05-13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5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4T00:00:00"/>
        <d v="2020-06-05T00:00:00"/>
        <d v="2020-06-08T00:00:00"/>
        <d v="2020-06-09T00:00:00"/>
        <d v="2020-06-10T00:00:00"/>
        <d v="2020-06-12T00:00:00"/>
        <d v="2020-06-15T00:00:00"/>
        <d v="2020-06-16T00:00:00"/>
        <d v="2020-06-17T00:00:00"/>
        <d v="2020-06-26T00:00:00"/>
        <d v="2020-06-25T00:00:00"/>
        <d v="2020-06-24T00:00:00"/>
        <d v="2020-06-23T00:00:00"/>
        <d v="2020-06-22T00:00:00"/>
        <d v="2020-06-19T00:00:00"/>
        <d v="2020-06-18T00:00:00"/>
        <d v="2020-06-29T00:00:00"/>
        <d v="2020-07-01T00:00:00"/>
        <d v="2020-06-30T00:00:00"/>
        <d v="2020-07-02T00:00:00"/>
        <d v="2020-07-03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6T00:00:00"/>
        <d v="2020-07-15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8T00:00:00"/>
        <d v="2020-09-09T00:00:00"/>
        <d v="2020-09-10T00:00:00"/>
        <d v="2020-09-11T00:00:00"/>
        <d v="2020-09-14T00:00:00"/>
        <d v="2020-09-15T00:00:00"/>
        <d v="2020-09-16T00:00:00"/>
        <d v="2020-09-17T00:00:00"/>
        <d v="2020-09-18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09-30T00:00:00"/>
        <d v="2020-10-01T00:00:00"/>
        <d v="2020-10-02T00:00:00"/>
        <d v="2020-10-05T00:00:00"/>
        <d v="2020-10-06T00:00:00"/>
        <d v="2020-10-07T00:00:00"/>
        <d v="2020-10-08T00:00:00"/>
        <d v="2020-10-09T00:00:00"/>
        <d v="2020-10-13T00:00:00"/>
        <d v="2020-10-14T00:00:00"/>
        <d v="2020-10-15T00:00:00"/>
        <d v="2020-10-16T00:00:00"/>
        <d v="2020-10-19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0-30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2T00:00:00"/>
        <d v="2020-11-13T00:00:00"/>
        <d v="2020-11-16T00:00:00"/>
        <d v="2020-11-17T00:00:00"/>
        <d v="2020-11-18T00:00:00"/>
        <d v="2020-11-19T00:00:00"/>
        <d v="2020-11-20T00:00:00"/>
        <d v="2020-11-23T00:00:00"/>
        <d v="2020-11-24T00:00:00"/>
        <d v="2020-11-25T00:00:00"/>
        <d v="2020-11-26T00:00:00"/>
        <d v="2020-11-27T00:00:00"/>
        <d v="2020-11-30T00:00:00"/>
        <m/>
        <d v="2020-12-31T00:00:00"/>
        <d v="2020-02-22T00:00:00"/>
      </sharedItems>
    </cacheField>
    <cacheField name="Valor" numFmtId="0">
      <sharedItems containsString="0" containsBlank="1" containsNumber="1" minValue="-9999999" maxValue="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2">
  <r>
    <x v="0"/>
    <x v="0"/>
    <n v="3.4624000000000001"/>
  </r>
  <r>
    <x v="1"/>
    <x v="0"/>
    <n v="3.9802"/>
  </r>
  <r>
    <x v="2"/>
    <x v="0"/>
    <n v="3.5"/>
  </r>
  <r>
    <x v="3"/>
    <x v="0"/>
    <n v="3.3184"/>
  </r>
  <r>
    <x v="4"/>
    <x v="0"/>
    <n v="4.2286999999999999"/>
  </r>
  <r>
    <x v="5"/>
    <x v="0"/>
    <n v="3.5977999999999999"/>
  </r>
  <r>
    <x v="6"/>
    <x v="0"/>
    <n v="3.6585999999999999"/>
  </r>
  <r>
    <x v="7"/>
    <x v="0"/>
    <n v="4"/>
  </r>
  <r>
    <x v="8"/>
    <x v="0"/>
    <n v="3.5564"/>
  </r>
  <r>
    <x v="9"/>
    <x v="0"/>
    <n v="3.5562999999999998"/>
  </r>
  <r>
    <x v="10"/>
    <x v="0"/>
    <n v="3.6078000000000001"/>
  </r>
  <r>
    <x v="11"/>
    <x v="0"/>
    <n v="3.6661000000000001"/>
  </r>
  <r>
    <x v="12"/>
    <x v="0"/>
    <n v="3.8146"/>
  </r>
  <r>
    <x v="13"/>
    <x v="0"/>
    <n v="3.5975000000000001"/>
  </r>
  <r>
    <x v="14"/>
    <x v="0"/>
    <n v="3.7932000000000001"/>
  </r>
  <r>
    <x v="1"/>
    <x v="1"/>
    <n v="3.9802"/>
  </r>
  <r>
    <x v="15"/>
    <x v="1"/>
    <n v="3.4841000000000002"/>
  </r>
  <r>
    <x v="16"/>
    <x v="1"/>
    <n v="3.5870000000000002"/>
  </r>
  <r>
    <x v="17"/>
    <x v="1"/>
    <n v="3.8"/>
  </r>
  <r>
    <x v="18"/>
    <x v="1"/>
    <n v="3.6072000000000002"/>
  </r>
  <r>
    <x v="19"/>
    <x v="1"/>
    <n v="3.7101999999999999"/>
  </r>
  <r>
    <x v="20"/>
    <x v="1"/>
    <n v="3.7006999999999999"/>
  </r>
  <r>
    <x v="21"/>
    <x v="1"/>
    <n v="4"/>
  </r>
  <r>
    <x v="5"/>
    <x v="2"/>
    <n v="3.5977999999999999"/>
  </r>
  <r>
    <x v="22"/>
    <x v="2"/>
    <n v="3.6074999999999999"/>
  </r>
  <r>
    <x v="23"/>
    <x v="2"/>
    <n v="3.6"/>
  </r>
  <r>
    <x v="6"/>
    <x v="2"/>
    <n v="3.6585999999999999"/>
  </r>
  <r>
    <x v="24"/>
    <x v="2"/>
    <n v="3.3801999999999999"/>
  </r>
  <r>
    <x v="25"/>
    <x v="2"/>
    <n v="3.9"/>
  </r>
  <r>
    <x v="20"/>
    <x v="2"/>
    <n v="3.7008999999999999"/>
  </r>
  <r>
    <x v="26"/>
    <x v="2"/>
    <n v="3.55"/>
  </r>
  <r>
    <x v="27"/>
    <x v="2"/>
    <n v="3.7206999999999999"/>
  </r>
  <r>
    <x v="28"/>
    <x v="2"/>
    <n v="3.5047999999999999"/>
  </r>
  <r>
    <x v="29"/>
    <x v="2"/>
    <n v="3.6494"/>
  </r>
  <r>
    <x v="30"/>
    <x v="2"/>
    <n v="3.597"/>
  </r>
  <r>
    <x v="8"/>
    <x v="3"/>
    <n v="3.5564"/>
  </r>
  <r>
    <x v="6"/>
    <x v="3"/>
    <n v="3.6585999999999999"/>
  </r>
  <r>
    <x v="31"/>
    <x v="3"/>
    <n v="3.4319000000000002"/>
  </r>
  <r>
    <x v="32"/>
    <x v="3"/>
    <n v="3.9108999999999998"/>
  </r>
  <r>
    <x v="9"/>
    <x v="3"/>
    <n v="3.5562999999999998"/>
  </r>
  <r>
    <x v="33"/>
    <x v="3"/>
    <n v="3.6076000000000001"/>
  </r>
  <r>
    <x v="34"/>
    <x v="3"/>
    <n v="3.4407999999999999"/>
  </r>
  <r>
    <x v="35"/>
    <x v="3"/>
    <n v="3.6597"/>
  </r>
  <r>
    <x v="36"/>
    <x v="3"/>
    <n v="3.8041999999999998"/>
  </r>
  <r>
    <x v="37"/>
    <x v="3"/>
    <n v="3.8456000000000001"/>
  </r>
  <r>
    <x v="38"/>
    <x v="3"/>
    <n v="3.5144000000000002"/>
  </r>
  <r>
    <x v="39"/>
    <x v="3"/>
    <n v="3.39"/>
  </r>
  <r>
    <x v="40"/>
    <x v="3"/>
    <n v="3.2366000000000001"/>
  </r>
  <r>
    <x v="20"/>
    <x v="3"/>
    <n v="3.7008999999999999"/>
  </r>
  <r>
    <x v="41"/>
    <x v="3"/>
    <n v="3.7418"/>
  </r>
  <r>
    <x v="15"/>
    <x v="3"/>
    <n v="3.4841000000000002"/>
  </r>
  <r>
    <x v="42"/>
    <x v="3"/>
    <n v="3.7"/>
  </r>
  <r>
    <x v="43"/>
    <x v="3"/>
    <n v="3.5243000000000002"/>
  </r>
  <r>
    <x v="44"/>
    <x v="3"/>
    <n v="3.85"/>
  </r>
  <r>
    <x v="30"/>
    <x v="3"/>
    <n v="3.5663"/>
  </r>
  <r>
    <x v="45"/>
    <x v="4"/>
    <n v="3.2658"/>
  </r>
  <r>
    <x v="46"/>
    <x v="4"/>
    <n v="3.4630000000000001"/>
  </r>
  <r>
    <x v="2"/>
    <x v="4"/>
    <n v="3.5"/>
  </r>
  <r>
    <x v="5"/>
    <x v="4"/>
    <n v="3.5977999999999999"/>
  </r>
  <r>
    <x v="32"/>
    <x v="4"/>
    <n v="4.0210999999999997"/>
  </r>
  <r>
    <x v="47"/>
    <x v="4"/>
    <n v="3.5042"/>
  </r>
  <r>
    <x v="48"/>
    <x v="4"/>
    <n v="3.6"/>
  </r>
  <r>
    <x v="7"/>
    <x v="4"/>
    <n v="4"/>
  </r>
  <r>
    <x v="49"/>
    <x v="4"/>
    <n v="3.7734999999999999"/>
  </r>
  <r>
    <x v="1"/>
    <x v="4"/>
    <n v="3.9802"/>
  </r>
  <r>
    <x v="22"/>
    <x v="4"/>
    <n v="3.6177999999999999"/>
  </r>
  <r>
    <x v="37"/>
    <x v="4"/>
    <n v="3.7627000000000002"/>
  </r>
  <r>
    <x v="38"/>
    <x v="4"/>
    <n v="3.5144000000000002"/>
  </r>
  <r>
    <x v="26"/>
    <x v="4"/>
    <n v="3.55"/>
  </r>
  <r>
    <x v="50"/>
    <x v="4"/>
    <n v="4.0633999999999997"/>
  </r>
  <r>
    <x v="9"/>
    <x v="4"/>
    <n v="3.6596000000000002"/>
  </r>
  <r>
    <x v="51"/>
    <x v="4"/>
    <n v="3.5251999999999999"/>
  </r>
  <r>
    <x v="14"/>
    <x v="4"/>
    <n v="3.7932000000000001"/>
  </r>
  <r>
    <x v="52"/>
    <x v="4"/>
    <n v="3.5047000000000001"/>
  </r>
  <r>
    <x v="53"/>
    <x v="4"/>
    <n v="3.8"/>
  </r>
  <r>
    <x v="54"/>
    <x v="4"/>
    <n v="3.8041999999999998"/>
  </r>
  <r>
    <x v="15"/>
    <x v="4"/>
    <n v="3.5345"/>
  </r>
  <r>
    <x v="6"/>
    <x v="4"/>
    <n v="3.6585999999999999"/>
  </r>
  <r>
    <x v="55"/>
    <x v="4"/>
    <n v="3.4527999999999999"/>
  </r>
  <r>
    <x v="56"/>
    <x v="4"/>
    <n v="3.2984"/>
  </r>
  <r>
    <x v="57"/>
    <x v="4"/>
    <n v="3.5045999999999999"/>
  </r>
  <r>
    <x v="58"/>
    <x v="4"/>
    <n v="3.7006999999999999"/>
  </r>
  <r>
    <x v="59"/>
    <x v="4"/>
    <n v="3.8315000000000001"/>
  </r>
  <r>
    <x v="60"/>
    <x v="4"/>
    <n v="3.4628000000000001"/>
  </r>
  <r>
    <x v="61"/>
    <x v="4"/>
    <n v="3.4940000000000002"/>
  </r>
  <r>
    <x v="16"/>
    <x v="4"/>
    <n v="3.3807"/>
  </r>
  <r>
    <x v="62"/>
    <x v="4"/>
    <n v="3.8"/>
  </r>
  <r>
    <x v="63"/>
    <x v="4"/>
    <n v="3.5459999999999998"/>
  </r>
  <r>
    <x v="64"/>
    <x v="4"/>
    <n v="3.5249000000000001"/>
  </r>
  <r>
    <x v="30"/>
    <x v="4"/>
    <n v="3.6076000000000001"/>
  </r>
  <r>
    <x v="65"/>
    <x v="4"/>
    <n v="3.3184999999999998"/>
  </r>
  <r>
    <x v="66"/>
    <x v="4"/>
    <n v="3.6977000000000002"/>
  </r>
  <r>
    <x v="67"/>
    <x v="4"/>
    <n v="3.6903000000000001"/>
  </r>
  <r>
    <x v="68"/>
    <x v="4"/>
    <n v="3.5457999999999998"/>
  </r>
  <r>
    <x v="31"/>
    <x v="4"/>
    <n v="3.3700999999999999"/>
  </r>
  <r>
    <x v="69"/>
    <x v="4"/>
    <n v="3.3393000000000002"/>
  </r>
  <r>
    <x v="70"/>
    <x v="4"/>
    <n v="3.5964"/>
  </r>
  <r>
    <x v="71"/>
    <x v="4"/>
    <n v="3.8866000000000001"/>
  </r>
  <r>
    <x v="72"/>
    <x v="4"/>
    <n v="3.6276000000000002"/>
  </r>
  <r>
    <x v="73"/>
    <x v="4"/>
    <n v="3.4529000000000001"/>
  </r>
  <r>
    <x v="74"/>
    <x v="4"/>
    <n v="3.6594000000000002"/>
  </r>
  <r>
    <x v="41"/>
    <x v="4"/>
    <n v="3.7418"/>
  </r>
  <r>
    <x v="75"/>
    <x v="4"/>
    <n v="3.6613000000000002"/>
  </r>
  <r>
    <x v="76"/>
    <x v="4"/>
    <n v="3.6"/>
  </r>
  <r>
    <x v="36"/>
    <x v="4"/>
    <n v="3.8041999999999998"/>
  </r>
  <r>
    <x v="77"/>
    <x v="4"/>
    <n v="3.5562999999999998"/>
  </r>
  <r>
    <x v="78"/>
    <x v="4"/>
    <n v="4.032"/>
  </r>
  <r>
    <x v="79"/>
    <x v="4"/>
    <n v="3.319"/>
  </r>
  <r>
    <x v="0"/>
    <x v="4"/>
    <n v="3.5962000000000001"/>
  </r>
  <r>
    <x v="18"/>
    <x v="4"/>
    <n v="3.6073"/>
  </r>
  <r>
    <x v="80"/>
    <x v="4"/>
    <n v="3.7111000000000001"/>
  </r>
  <r>
    <x v="20"/>
    <x v="4"/>
    <n v="3.7008999999999999"/>
  </r>
  <r>
    <x v="21"/>
    <x v="4"/>
    <n v="4"/>
  </r>
  <r>
    <x v="81"/>
    <x v="4"/>
    <n v="3.5253999999999999"/>
  </r>
  <r>
    <x v="43"/>
    <x v="4"/>
    <n v="3.5243000000000002"/>
  </r>
  <r>
    <x v="82"/>
    <x v="4"/>
    <n v="3.5045000000000002"/>
  </r>
  <r>
    <x v="13"/>
    <x v="4"/>
    <n v="3.5975000000000001"/>
  </r>
  <r>
    <x v="3"/>
    <x v="4"/>
    <n v="3.2361"/>
  </r>
  <r>
    <x v="20"/>
    <x v="5"/>
    <n v="3.7008999999999999"/>
  </r>
  <r>
    <x v="43"/>
    <x v="5"/>
    <n v="3.5243000000000002"/>
  </r>
  <r>
    <x v="80"/>
    <x v="5"/>
    <n v="3.7111000000000001"/>
  </r>
  <r>
    <x v="81"/>
    <x v="5"/>
    <n v="3.5668000000000002"/>
  </r>
  <r>
    <x v="5"/>
    <x v="5"/>
    <n v="3.5977999999999999"/>
  </r>
  <r>
    <x v="35"/>
    <x v="5"/>
    <n v="3.6597"/>
  </r>
  <r>
    <x v="83"/>
    <x v="5"/>
    <n v="3.2469000000000001"/>
  </r>
  <r>
    <x v="26"/>
    <x v="5"/>
    <n v="3.55"/>
  </r>
  <r>
    <x v="51"/>
    <x v="5"/>
    <n v="3.5251999999999999"/>
  </r>
  <r>
    <x v="7"/>
    <x v="5"/>
    <n v="4"/>
  </r>
  <r>
    <x v="9"/>
    <x v="5"/>
    <n v="3.7008999999999999"/>
  </r>
  <r>
    <x v="19"/>
    <x v="5"/>
    <n v="3.7101999999999999"/>
  </r>
  <r>
    <x v="84"/>
    <x v="5"/>
    <n v="3.7107999999999999"/>
  </r>
  <r>
    <x v="10"/>
    <x v="5"/>
    <n v="3.5973000000000002"/>
  </r>
  <r>
    <x v="8"/>
    <x v="6"/>
    <n v="3.5564"/>
  </r>
  <r>
    <x v="71"/>
    <x v="6"/>
    <n v="3.8866000000000001"/>
  </r>
  <r>
    <x v="42"/>
    <x v="6"/>
    <n v="3.7"/>
  </r>
  <r>
    <x v="69"/>
    <x v="7"/>
    <n v="3.3393000000000002"/>
  </r>
  <r>
    <x v="11"/>
    <x v="7"/>
    <n v="3.6360000000000001"/>
  </r>
  <r>
    <x v="2"/>
    <x v="7"/>
    <n v="3.5"/>
  </r>
  <r>
    <x v="5"/>
    <x v="7"/>
    <n v="3.5977999999999999"/>
  </r>
  <r>
    <x v="85"/>
    <x v="7"/>
    <n v="3.8041999999999998"/>
  </r>
  <r>
    <x v="7"/>
    <x v="8"/>
    <n v="4"/>
  </r>
  <r>
    <x v="28"/>
    <x v="8"/>
    <n v="3.4842"/>
  </r>
  <r>
    <x v="61"/>
    <x v="8"/>
    <n v="3.2363"/>
  </r>
  <r>
    <x v="1"/>
    <x v="9"/>
    <n v="3.8561000000000001"/>
  </r>
  <r>
    <x v="86"/>
    <x v="9"/>
    <n v="3.7"/>
  </r>
  <r>
    <x v="87"/>
    <x v="9"/>
    <n v="4.2294999999999998"/>
  </r>
  <r>
    <x v="46"/>
    <x v="9"/>
    <n v="3.4628999999999999"/>
  </r>
  <r>
    <x v="39"/>
    <x v="9"/>
    <n v="3.39"/>
  </r>
  <r>
    <x v="51"/>
    <x v="9"/>
    <n v="3.5148999999999999"/>
  </r>
  <r>
    <x v="20"/>
    <x v="9"/>
    <n v="3.7008999999999999"/>
  </r>
  <r>
    <x v="59"/>
    <x v="9"/>
    <n v="3.8315000000000001"/>
  </r>
  <r>
    <x v="32"/>
    <x v="9"/>
    <n v="4.0210999999999997"/>
  </r>
  <r>
    <x v="66"/>
    <x v="9"/>
    <n v="3.6032999999999999"/>
  </r>
  <r>
    <x v="77"/>
    <x v="9"/>
    <n v="3.5562999999999998"/>
  </r>
  <r>
    <x v="71"/>
    <x v="9"/>
    <n v="3.8866000000000001"/>
  </r>
  <r>
    <x v="31"/>
    <x v="9"/>
    <n v="3.3908999999999998"/>
  </r>
  <r>
    <x v="82"/>
    <x v="10"/>
    <n v="3.4630000000000001"/>
  </r>
  <r>
    <x v="79"/>
    <x v="10"/>
    <n v="2.8151999999999999"/>
  </r>
  <r>
    <x v="4"/>
    <x v="10"/>
    <n v="4.2286999999999999"/>
  </r>
  <r>
    <x v="34"/>
    <x v="10"/>
    <n v="3.4405000000000001"/>
  </r>
  <r>
    <x v="70"/>
    <x v="10"/>
    <n v="3.5552000000000001"/>
  </r>
  <r>
    <x v="65"/>
    <x v="10"/>
    <n v="3.3184999999999998"/>
  </r>
  <r>
    <x v="11"/>
    <x v="10"/>
    <n v="3.6878000000000002"/>
  </r>
  <r>
    <x v="20"/>
    <x v="10"/>
    <n v="3.7008999999999999"/>
  </r>
  <r>
    <x v="2"/>
    <x v="10"/>
    <n v="3.5"/>
  </r>
  <r>
    <x v="42"/>
    <x v="10"/>
    <n v="3.7"/>
  </r>
  <r>
    <x v="32"/>
    <x v="10"/>
    <n v="4.0210999999999997"/>
  </r>
  <r>
    <x v="49"/>
    <x v="10"/>
    <n v="3.7839"/>
  </r>
  <r>
    <x v="38"/>
    <x v="10"/>
    <n v="3.4628000000000001"/>
  </r>
  <r>
    <x v="88"/>
    <x v="10"/>
    <n v="3.5912999999999999"/>
  </r>
  <r>
    <x v="10"/>
    <x v="10"/>
    <n v="3.5663999999999998"/>
  </r>
  <r>
    <x v="7"/>
    <x v="11"/>
    <n v="4"/>
  </r>
  <r>
    <x v="20"/>
    <x v="11"/>
    <n v="3.7008999999999999"/>
  </r>
  <r>
    <x v="89"/>
    <x v="11"/>
    <n v="3.4009999999999998"/>
  </r>
  <r>
    <x v="16"/>
    <x v="12"/>
    <n v="3.4428000000000001"/>
  </r>
  <r>
    <x v="38"/>
    <x v="12"/>
    <n v="3.4628000000000001"/>
  </r>
  <r>
    <x v="42"/>
    <x v="12"/>
    <n v="3.7"/>
  </r>
  <r>
    <x v="90"/>
    <x v="12"/>
    <n v="3.6798000000000002"/>
  </r>
  <r>
    <x v="29"/>
    <x v="12"/>
    <n v="3.7574999999999998"/>
  </r>
  <r>
    <x v="91"/>
    <x v="12"/>
    <n v="3.5562999999999998"/>
  </r>
  <r>
    <x v="9"/>
    <x v="12"/>
    <n v="3.7008999999999999"/>
  </r>
  <r>
    <x v="44"/>
    <x v="12"/>
    <n v="3.85"/>
  </r>
  <r>
    <x v="24"/>
    <x v="12"/>
    <n v="3.1536"/>
  </r>
  <r>
    <x v="35"/>
    <x v="13"/>
    <n v="3.6597"/>
  </r>
  <r>
    <x v="92"/>
    <x v="13"/>
    <n v="3.3605"/>
  </r>
  <r>
    <x v="32"/>
    <x v="13"/>
    <n v="4.0252999999999997"/>
  </r>
  <r>
    <x v="21"/>
    <x v="13"/>
    <n v="4"/>
  </r>
  <r>
    <x v="36"/>
    <x v="13"/>
    <n v="3.8041999999999998"/>
  </r>
  <r>
    <x v="86"/>
    <x v="13"/>
    <n v="3.7"/>
  </r>
  <r>
    <x v="26"/>
    <x v="13"/>
    <n v="3.55"/>
  </r>
  <r>
    <x v="22"/>
    <x v="14"/>
    <n v="3.6177999999999999"/>
  </r>
  <r>
    <x v="80"/>
    <x v="14"/>
    <n v="3.7111000000000001"/>
  </r>
  <r>
    <x v="3"/>
    <x v="14"/>
    <n v="3.2669000000000001"/>
  </r>
  <r>
    <x v="9"/>
    <x v="14"/>
    <n v="3.6181999999999999"/>
  </r>
  <r>
    <x v="32"/>
    <x v="14"/>
    <n v="4.0252999999999997"/>
  </r>
  <r>
    <x v="70"/>
    <x v="14"/>
    <n v="3.5552000000000001"/>
  </r>
  <r>
    <x v="93"/>
    <x v="14"/>
    <n v="3.6583999999999999"/>
  </r>
  <r>
    <x v="5"/>
    <x v="14"/>
    <n v="3.3086000000000002"/>
  </r>
  <r>
    <x v="20"/>
    <x v="14"/>
    <n v="3.7008999999999999"/>
  </r>
  <r>
    <x v="54"/>
    <x v="14"/>
    <n v="3.8351999999999999"/>
  </r>
  <r>
    <x v="90"/>
    <x v="14"/>
    <n v="3.6798000000000002"/>
  </r>
  <r>
    <x v="66"/>
    <x v="14"/>
    <n v="3.6991999999999998"/>
  </r>
  <r>
    <x v="79"/>
    <x v="14"/>
    <n v="2.8765999999999998"/>
  </r>
  <r>
    <x v="76"/>
    <x v="14"/>
    <n v="3.6"/>
  </r>
  <r>
    <x v="48"/>
    <x v="14"/>
    <n v="3.6"/>
  </r>
  <r>
    <x v="39"/>
    <x v="14"/>
    <n v="3.39"/>
  </r>
  <r>
    <x v="1"/>
    <x v="14"/>
    <n v="3.7526999999999999"/>
  </r>
  <r>
    <x v="68"/>
    <x v="14"/>
    <n v="3.5354000000000001"/>
  </r>
  <r>
    <x v="94"/>
    <x v="14"/>
    <n v="3.5"/>
  </r>
  <r>
    <x v="38"/>
    <x v="14"/>
    <n v="3.6071"/>
  </r>
  <r>
    <x v="77"/>
    <x v="14"/>
    <n v="3.5562999999999998"/>
  </r>
  <r>
    <x v="82"/>
    <x v="14"/>
    <n v="3.4426000000000001"/>
  </r>
  <r>
    <x v="36"/>
    <x v="14"/>
    <n v="3.8147000000000002"/>
  </r>
  <r>
    <x v="16"/>
    <x v="14"/>
    <n v="3.4944000000000002"/>
  </r>
  <r>
    <x v="57"/>
    <x v="14"/>
    <n v="3.6594000000000002"/>
  </r>
  <r>
    <x v="56"/>
    <x v="14"/>
    <n v="3.4529999999999998"/>
  </r>
  <r>
    <x v="69"/>
    <x v="15"/>
    <n v="3.3393000000000002"/>
  </r>
  <r>
    <x v="64"/>
    <x v="15"/>
    <n v="3.4836"/>
  </r>
  <r>
    <x v="31"/>
    <x v="15"/>
    <n v="3.3805000000000001"/>
  </r>
  <r>
    <x v="40"/>
    <x v="15"/>
    <n v="3.0310000000000001"/>
  </r>
  <r>
    <x v="4"/>
    <x v="15"/>
    <n v="4.2286999999999999"/>
  </r>
  <r>
    <x v="35"/>
    <x v="15"/>
    <n v="3.6597"/>
  </r>
  <r>
    <x v="18"/>
    <x v="15"/>
    <n v="3.6073"/>
  </r>
  <r>
    <x v="95"/>
    <x v="15"/>
    <n v="3.3088000000000002"/>
  </r>
  <r>
    <x v="28"/>
    <x v="15"/>
    <n v="3.4842"/>
  </r>
  <r>
    <x v="96"/>
    <x v="15"/>
    <n v="3.5964999999999998"/>
  </r>
  <r>
    <x v="97"/>
    <x v="15"/>
    <n v="3.7012"/>
  </r>
  <r>
    <x v="98"/>
    <x v="15"/>
    <n v="3.5554999999999999"/>
  </r>
  <r>
    <x v="10"/>
    <x v="15"/>
    <n v="3.5663999999999998"/>
  </r>
  <r>
    <x v="99"/>
    <x v="15"/>
    <n v="3.3186"/>
  </r>
  <r>
    <x v="100"/>
    <x v="15"/>
    <n v="3.6179999999999999"/>
  </r>
  <r>
    <x v="101"/>
    <x v="15"/>
    <n v="3.3184999999999998"/>
  </r>
  <r>
    <x v="58"/>
    <x v="15"/>
    <n v="3.7006999999999999"/>
  </r>
  <r>
    <x v="102"/>
    <x v="15"/>
    <n v="3.7719"/>
  </r>
  <r>
    <x v="103"/>
    <x v="16"/>
    <n v="3.6"/>
  </r>
  <r>
    <x v="20"/>
    <x v="16"/>
    <n v="3.7010000000000001"/>
  </r>
  <r>
    <x v="28"/>
    <x v="17"/>
    <n v="3.4636"/>
  </r>
  <r>
    <x v="104"/>
    <x v="17"/>
    <n v="3.5272999999999999"/>
  </r>
  <r>
    <x v="105"/>
    <x v="18"/>
    <n v="3.5041000000000002"/>
  </r>
  <r>
    <x v="73"/>
    <x v="18"/>
    <n v="3.7315"/>
  </r>
  <r>
    <x v="79"/>
    <x v="18"/>
    <n v="2.7945000000000002"/>
  </r>
  <r>
    <x v="39"/>
    <x v="18"/>
    <n v="3.39"/>
  </r>
  <r>
    <x v="65"/>
    <x v="18"/>
    <n v="3.4319999999999999"/>
  </r>
  <r>
    <x v="20"/>
    <x v="18"/>
    <n v="3.6080000000000001"/>
  </r>
  <r>
    <x v="59"/>
    <x v="18"/>
    <n v="3.8315000000000001"/>
  </r>
  <r>
    <x v="71"/>
    <x v="18"/>
    <n v="3.8866000000000001"/>
  </r>
  <r>
    <x v="86"/>
    <x v="18"/>
    <n v="3.7"/>
  </r>
  <r>
    <x v="28"/>
    <x v="18"/>
    <n v="3.4842"/>
  </r>
  <r>
    <x v="4"/>
    <x v="18"/>
    <n v="4.2286999999999999"/>
  </r>
  <r>
    <x v="82"/>
    <x v="18"/>
    <n v="3.4013"/>
  </r>
  <r>
    <x v="38"/>
    <x v="18"/>
    <n v="3.5661"/>
  </r>
  <r>
    <x v="32"/>
    <x v="19"/>
    <n v="4.0252999999999997"/>
  </r>
  <r>
    <x v="0"/>
    <x v="19"/>
    <n v="3.6168"/>
  </r>
  <r>
    <x v="34"/>
    <x v="19"/>
    <n v="3.5956999999999999"/>
  </r>
  <r>
    <x v="16"/>
    <x v="19"/>
    <n v="3.5047000000000001"/>
  </r>
  <r>
    <x v="74"/>
    <x v="19"/>
    <n v="3.6076999999999999"/>
  </r>
  <r>
    <x v="47"/>
    <x v="19"/>
    <n v="3.5042"/>
  </r>
  <r>
    <x v="11"/>
    <x v="19"/>
    <n v="3.6817000000000002"/>
  </r>
  <r>
    <x v="51"/>
    <x v="20"/>
    <n v="3.5047000000000001"/>
  </r>
  <r>
    <x v="31"/>
    <x v="20"/>
    <n v="3.3803999999999998"/>
  </r>
  <r>
    <x v="45"/>
    <x v="20"/>
    <n v="3.3178999999999998"/>
  </r>
  <r>
    <x v="37"/>
    <x v="21"/>
    <n v="3.7627000000000002"/>
  </r>
  <r>
    <x v="21"/>
    <x v="21"/>
    <n v="4"/>
  </r>
  <r>
    <x v="83"/>
    <x v="21"/>
    <n v="3.2469000000000001"/>
  </r>
  <r>
    <x v="59"/>
    <x v="21"/>
    <n v="3.8315000000000001"/>
  </r>
  <r>
    <x v="20"/>
    <x v="21"/>
    <n v="3.6080000000000001"/>
  </r>
  <r>
    <x v="27"/>
    <x v="21"/>
    <n v="3.4422999999999999"/>
  </r>
  <r>
    <x v="12"/>
    <x v="22"/>
    <n v="3.8146"/>
  </r>
  <r>
    <x v="53"/>
    <x v="22"/>
    <n v="3.8"/>
  </r>
  <r>
    <x v="96"/>
    <x v="22"/>
    <n v="3.5964"/>
  </r>
  <r>
    <x v="6"/>
    <x v="22"/>
    <n v="3.7204999999999999"/>
  </r>
  <r>
    <x v="39"/>
    <x v="22"/>
    <n v="3.39"/>
  </r>
  <r>
    <x v="79"/>
    <x v="22"/>
    <n v="2.7945000000000002"/>
  </r>
  <r>
    <x v="5"/>
    <x v="22"/>
    <n v="3.3086000000000002"/>
  </r>
  <r>
    <x v="63"/>
    <x v="22"/>
    <n v="3.5769000000000002"/>
  </r>
  <r>
    <x v="24"/>
    <x v="22"/>
    <n v="3.1536"/>
  </r>
  <r>
    <x v="18"/>
    <x v="22"/>
    <n v="3.5969000000000002"/>
  </r>
  <r>
    <x v="70"/>
    <x v="22"/>
    <n v="3.5036"/>
  </r>
  <r>
    <x v="28"/>
    <x v="22"/>
    <n v="3.4944999999999999"/>
  </r>
  <r>
    <x v="80"/>
    <x v="22"/>
    <n v="3.7833999999999999"/>
  </r>
  <r>
    <x v="77"/>
    <x v="22"/>
    <n v="3.5562999999999998"/>
  </r>
  <r>
    <x v="64"/>
    <x v="22"/>
    <n v="3.5044"/>
  </r>
  <r>
    <x v="82"/>
    <x v="22"/>
    <n v="3.3702999999999999"/>
  </r>
  <r>
    <x v="2"/>
    <x v="23"/>
    <n v="3.5"/>
  </r>
  <r>
    <x v="31"/>
    <x v="23"/>
    <n v="3.4628999999999999"/>
  </r>
  <r>
    <x v="65"/>
    <x v="23"/>
    <n v="3.4630000000000001"/>
  </r>
  <r>
    <x v="7"/>
    <x v="23"/>
    <n v="4"/>
  </r>
  <r>
    <x v="13"/>
    <x v="23"/>
    <n v="3.5975000000000001"/>
  </r>
  <r>
    <x v="48"/>
    <x v="23"/>
    <n v="3.6"/>
  </r>
  <r>
    <x v="55"/>
    <x v="23"/>
    <n v="3.4630999999999998"/>
  </r>
  <r>
    <x v="12"/>
    <x v="23"/>
    <n v="3.8146"/>
  </r>
  <r>
    <x v="10"/>
    <x v="23"/>
    <n v="3.3188"/>
  </r>
  <r>
    <x v="30"/>
    <x v="24"/>
    <n v="3.6076000000000001"/>
  </r>
  <r>
    <x v="72"/>
    <x v="24"/>
    <n v="3.5857000000000001"/>
  </r>
  <r>
    <x v="67"/>
    <x v="24"/>
    <n v="3.7313999999999998"/>
  </r>
  <r>
    <x v="33"/>
    <x v="24"/>
    <n v="3.3910999999999998"/>
  </r>
  <r>
    <x v="44"/>
    <x v="24"/>
    <n v="3.81"/>
  </r>
  <r>
    <x v="6"/>
    <x v="25"/>
    <n v="3.6173999999999999"/>
  </r>
  <r>
    <x v="24"/>
    <x v="25"/>
    <n v="3.02"/>
  </r>
  <r>
    <x v="7"/>
    <x v="25"/>
    <n v="4"/>
  </r>
  <r>
    <x v="87"/>
    <x v="25"/>
    <n v="4.2191000000000001"/>
  </r>
  <r>
    <x v="65"/>
    <x v="25"/>
    <n v="3.5558999999999998"/>
  </r>
  <r>
    <x v="30"/>
    <x v="25"/>
    <n v="3.6381000000000001"/>
  </r>
  <r>
    <x v="26"/>
    <x v="25"/>
    <n v="3.4841000000000002"/>
  </r>
  <r>
    <x v="35"/>
    <x v="26"/>
    <n v="3.5047999999999999"/>
  </r>
  <r>
    <x v="53"/>
    <x v="26"/>
    <n v="3.8"/>
  </r>
  <r>
    <x v="71"/>
    <x v="26"/>
    <n v="3.6385000000000001"/>
  </r>
  <r>
    <x v="46"/>
    <x v="26"/>
    <n v="3.4628999999999999"/>
  </r>
  <r>
    <x v="75"/>
    <x v="26"/>
    <n v="3.4155000000000002"/>
  </r>
  <r>
    <x v="95"/>
    <x v="26"/>
    <n v="3.3088000000000002"/>
  </r>
  <r>
    <x v="39"/>
    <x v="27"/>
    <n v="3.39"/>
  </r>
  <r>
    <x v="7"/>
    <x v="27"/>
    <n v="4"/>
  </r>
  <r>
    <x v="84"/>
    <x v="27"/>
    <n v="3.7107999999999999"/>
  </r>
  <r>
    <x v="6"/>
    <x v="27"/>
    <n v="3.5760999999999998"/>
  </r>
  <r>
    <x v="23"/>
    <x v="27"/>
    <n v="3.6"/>
  </r>
  <r>
    <x v="106"/>
    <x v="27"/>
    <n v="3.4529000000000001"/>
  </r>
  <r>
    <x v="1"/>
    <x v="27"/>
    <n v="3.504"/>
  </r>
  <r>
    <x v="41"/>
    <x v="27"/>
    <n v="3.4525000000000001"/>
  </r>
  <r>
    <x v="26"/>
    <x v="27"/>
    <n v="3.3397999999999999"/>
  </r>
  <r>
    <x v="59"/>
    <x v="27"/>
    <n v="4.1417999999999999"/>
  </r>
  <r>
    <x v="79"/>
    <x v="27"/>
    <n v="2.7740999999999998"/>
  </r>
  <r>
    <x v="36"/>
    <x v="27"/>
    <n v="3.8353999999999999"/>
  </r>
  <r>
    <x v="30"/>
    <x v="27"/>
    <n v="3.5762"/>
  </r>
  <r>
    <x v="89"/>
    <x v="27"/>
    <n v="3.4944999999999999"/>
  </r>
  <r>
    <x v="4"/>
    <x v="27"/>
    <n v="4.2286999999999999"/>
  </r>
  <r>
    <x v="77"/>
    <x v="27"/>
    <n v="3.5562999999999998"/>
  </r>
  <r>
    <x v="51"/>
    <x v="27"/>
    <n v="3.4325999999999999"/>
  </r>
  <r>
    <x v="82"/>
    <x v="27"/>
    <n v="3.3601999999999999"/>
  </r>
  <r>
    <x v="70"/>
    <x v="27"/>
    <n v="3.5034999999999998"/>
  </r>
  <r>
    <x v="28"/>
    <x v="27"/>
    <n v="3.5047999999999999"/>
  </r>
  <r>
    <x v="83"/>
    <x v="27"/>
    <n v="3.2469000000000001"/>
  </r>
  <r>
    <x v="60"/>
    <x v="28"/>
    <n v="3.2879999999999998"/>
  </r>
  <r>
    <x v="5"/>
    <x v="28"/>
    <n v="3.7233999999999998"/>
  </r>
  <r>
    <x v="35"/>
    <x v="28"/>
    <n v="3.5047999999999999"/>
  </r>
  <r>
    <x v="69"/>
    <x v="28"/>
    <n v="3.2671999999999999"/>
  </r>
  <r>
    <x v="81"/>
    <x v="28"/>
    <n v="3.5874000000000001"/>
  </r>
  <r>
    <x v="66"/>
    <x v="28"/>
    <n v="3.8203"/>
  </r>
  <r>
    <x v="54"/>
    <x v="28"/>
    <n v="3.7105999999999999"/>
  </r>
  <r>
    <x v="38"/>
    <x v="28"/>
    <n v="3.4426999999999999"/>
  </r>
  <r>
    <x v="96"/>
    <x v="28"/>
    <n v="3.4519000000000002"/>
  </r>
  <r>
    <x v="75"/>
    <x v="28"/>
    <n v="3.6696"/>
  </r>
  <r>
    <x v="33"/>
    <x v="28"/>
    <n v="3.0926"/>
  </r>
  <r>
    <x v="80"/>
    <x v="28"/>
    <n v="3.8041999999999998"/>
  </r>
  <r>
    <x v="6"/>
    <x v="28"/>
    <n v="3.5451999999999999"/>
  </r>
  <r>
    <x v="17"/>
    <x v="28"/>
    <n v="3.5975999999999999"/>
  </r>
  <r>
    <x v="10"/>
    <x v="28"/>
    <n v="3.35"/>
  </r>
  <r>
    <x v="61"/>
    <x v="28"/>
    <n v="3.4014000000000002"/>
  </r>
  <r>
    <x v="71"/>
    <x v="28"/>
    <n v="3.6282999999999999"/>
  </r>
  <r>
    <x v="88"/>
    <x v="28"/>
    <n v="3.6223000000000001"/>
  </r>
  <r>
    <x v="15"/>
    <x v="29"/>
    <n v="3.5036"/>
  </r>
  <r>
    <x v="6"/>
    <x v="29"/>
    <n v="3.4626999999999999"/>
  </r>
  <r>
    <x v="28"/>
    <x v="29"/>
    <n v="3.4327000000000001"/>
  </r>
  <r>
    <x v="44"/>
    <x v="29"/>
    <n v="3.81"/>
  </r>
  <r>
    <x v="107"/>
    <x v="29"/>
    <n v="3.7206999999999999"/>
  </r>
  <r>
    <x v="20"/>
    <x v="29"/>
    <n v="3.5874000000000001"/>
  </r>
  <r>
    <x v="16"/>
    <x v="30"/>
    <n v="3.4634"/>
  </r>
  <r>
    <x v="34"/>
    <x v="30"/>
    <n v="3.4310999999999998"/>
  </r>
  <r>
    <x v="20"/>
    <x v="30"/>
    <n v="3.7010999999999998"/>
  </r>
  <r>
    <x v="3"/>
    <x v="30"/>
    <n v="3.1023000000000001"/>
  </r>
  <r>
    <x v="6"/>
    <x v="30"/>
    <n v="3.4214000000000002"/>
  </r>
  <r>
    <x v="25"/>
    <x v="30"/>
    <n v="4.4000000000000004"/>
  </r>
  <r>
    <x v="22"/>
    <x v="31"/>
    <n v="3.6177999999999999"/>
  </r>
  <r>
    <x v="108"/>
    <x v="31"/>
    <n v="3.4809000000000001"/>
  </r>
  <r>
    <x v="6"/>
    <x v="31"/>
    <n v="3.4525000000000001"/>
  </r>
  <r>
    <x v="20"/>
    <x v="31"/>
    <n v="3.6701000000000001"/>
  </r>
  <r>
    <x v="30"/>
    <x v="31"/>
    <n v="3.4011"/>
  </r>
  <r>
    <x v="11"/>
    <x v="31"/>
    <n v="3.5440999999999998"/>
  </r>
  <r>
    <x v="59"/>
    <x v="32"/>
    <n v="4.1417999999999999"/>
  </r>
  <r>
    <x v="46"/>
    <x v="32"/>
    <n v="3.3289"/>
  </r>
  <r>
    <x v="39"/>
    <x v="32"/>
    <n v="3.39"/>
  </r>
  <r>
    <x v="27"/>
    <x v="32"/>
    <n v="3.2978000000000001"/>
  </r>
  <r>
    <x v="1"/>
    <x v="32"/>
    <n v="3.4424999999999999"/>
  </r>
  <r>
    <x v="70"/>
    <x v="32"/>
    <n v="3.4007999999999998"/>
  </r>
  <r>
    <x v="29"/>
    <x v="32"/>
    <n v="3.7574999999999998"/>
  </r>
  <r>
    <x v="51"/>
    <x v="32"/>
    <n v="3.4011"/>
  </r>
  <r>
    <x v="9"/>
    <x v="32"/>
    <n v="3.7010000000000001"/>
  </r>
  <r>
    <x v="2"/>
    <x v="32"/>
    <n v="3.5"/>
  </r>
  <r>
    <x v="106"/>
    <x v="32"/>
    <n v="3.4529000000000001"/>
  </r>
  <r>
    <x v="66"/>
    <x v="32"/>
    <n v="3.4434999999999998"/>
  </r>
  <r>
    <x v="79"/>
    <x v="32"/>
    <n v="2.8050999999999999"/>
  </r>
  <r>
    <x v="77"/>
    <x v="32"/>
    <n v="3.5562999999999998"/>
  </r>
  <r>
    <x v="71"/>
    <x v="32"/>
    <n v="3.7109999999999999"/>
  </r>
  <r>
    <x v="69"/>
    <x v="32"/>
    <n v="3.2054999999999998"/>
  </r>
  <r>
    <x v="82"/>
    <x v="32"/>
    <n v="3.2366000000000001"/>
  </r>
  <r>
    <x v="3"/>
    <x v="32"/>
    <n v="3.1023000000000001"/>
  </r>
  <r>
    <x v="51"/>
    <x v="33"/>
    <n v="3.4319999999999999"/>
  </r>
  <r>
    <x v="6"/>
    <x v="33"/>
    <n v="3.4216000000000002"/>
  </r>
  <r>
    <x v="43"/>
    <x v="33"/>
    <n v="3.3081"/>
  </r>
  <r>
    <x v="42"/>
    <x v="33"/>
    <n v="3.7"/>
  </r>
  <r>
    <x v="26"/>
    <x v="33"/>
    <n v="3.3603000000000001"/>
  </r>
  <r>
    <x v="60"/>
    <x v="33"/>
    <n v="3.1953999999999998"/>
  </r>
  <r>
    <x v="19"/>
    <x v="33"/>
    <n v="3.5657999999999999"/>
  </r>
  <r>
    <x v="92"/>
    <x v="33"/>
    <n v="3.4533"/>
  </r>
  <r>
    <x v="32"/>
    <x v="33"/>
    <n v="4.0373999999999999"/>
  </r>
  <r>
    <x v="11"/>
    <x v="33"/>
    <n v="3.4125999999999999"/>
  </r>
  <r>
    <x v="72"/>
    <x v="33"/>
    <n v="3.5146999999999999"/>
  </r>
  <r>
    <x v="10"/>
    <x v="33"/>
    <n v="3.4117999999999999"/>
  </r>
  <r>
    <x v="14"/>
    <x v="34"/>
    <n v="3.4015"/>
  </r>
  <r>
    <x v="71"/>
    <x v="34"/>
    <n v="3.6593"/>
  </r>
  <r>
    <x v="57"/>
    <x v="34"/>
    <n v="3.2982999999999998"/>
  </r>
  <r>
    <x v="7"/>
    <x v="34"/>
    <n v="3.7"/>
  </r>
  <r>
    <x v="28"/>
    <x v="34"/>
    <n v="3.3605"/>
  </r>
  <r>
    <x v="93"/>
    <x v="34"/>
    <n v="3.4319000000000002"/>
  </r>
  <r>
    <x v="40"/>
    <x v="34"/>
    <n v="3.0310000000000001"/>
  </r>
  <r>
    <x v="8"/>
    <x v="34"/>
    <n v="3.5253000000000001"/>
  </r>
  <r>
    <x v="104"/>
    <x v="34"/>
    <n v="3.5272999999999999"/>
  </r>
  <r>
    <x v="20"/>
    <x v="34"/>
    <n v="3.6598000000000002"/>
  </r>
  <r>
    <x v="6"/>
    <x v="35"/>
    <n v="3.3388"/>
  </r>
  <r>
    <x v="7"/>
    <x v="35"/>
    <n v="3.7"/>
  </r>
  <r>
    <x v="31"/>
    <x v="35"/>
    <n v="3.3289"/>
  </r>
  <r>
    <x v="33"/>
    <x v="35"/>
    <n v="3.0926"/>
  </r>
  <r>
    <x v="104"/>
    <x v="35"/>
    <n v="3.3420000000000001"/>
  </r>
  <r>
    <x v="40"/>
    <x v="35"/>
    <n v="3.2155999999999998"/>
  </r>
  <r>
    <x v="30"/>
    <x v="35"/>
    <n v="3.4117999999999999"/>
  </r>
  <r>
    <x v="86"/>
    <x v="35"/>
    <n v="3.7115999999999998"/>
  </r>
  <r>
    <x v="101"/>
    <x v="36"/>
    <n v="3.4056000000000002"/>
  </r>
  <r>
    <x v="42"/>
    <x v="36"/>
    <n v="3.7"/>
  </r>
  <r>
    <x v="68"/>
    <x v="36"/>
    <n v="3.4015"/>
  </r>
  <r>
    <x v="99"/>
    <x v="36"/>
    <n v="3.1951000000000001"/>
  </r>
  <r>
    <x v="5"/>
    <x v="36"/>
    <n v="3.7233999999999998"/>
  </r>
  <r>
    <x v="6"/>
    <x v="36"/>
    <n v="3.3902999999999999"/>
  </r>
  <r>
    <x v="30"/>
    <x v="36"/>
    <n v="3.4016000000000002"/>
  </r>
  <r>
    <x v="16"/>
    <x v="36"/>
    <n v="3.5562999999999998"/>
  </r>
  <r>
    <x v="21"/>
    <x v="36"/>
    <n v="4.0004"/>
  </r>
  <r>
    <x v="55"/>
    <x v="36"/>
    <n v="3.4211999999999998"/>
  </r>
  <r>
    <x v="8"/>
    <x v="36"/>
    <n v="3.5562999999999998"/>
  </r>
  <r>
    <x v="13"/>
    <x v="36"/>
    <n v="3.4531000000000001"/>
  </r>
  <r>
    <x v="22"/>
    <x v="36"/>
    <n v="3.4942000000000002"/>
  </r>
  <r>
    <x v="41"/>
    <x v="37"/>
    <n v="3.4525000000000001"/>
  </r>
  <r>
    <x v="2"/>
    <x v="37"/>
    <n v="3.0407000000000002"/>
  </r>
  <r>
    <x v="64"/>
    <x v="37"/>
    <n v="3.4630000000000001"/>
  </r>
  <r>
    <x v="6"/>
    <x v="37"/>
    <n v="3.4007999999999998"/>
  </r>
  <r>
    <x v="38"/>
    <x v="37"/>
    <n v="3.2159"/>
  </r>
  <r>
    <x v="39"/>
    <x v="37"/>
    <n v="3.39"/>
  </r>
  <r>
    <x v="57"/>
    <x v="37"/>
    <n v="3.2467000000000001"/>
  </r>
  <r>
    <x v="34"/>
    <x v="37"/>
    <n v="3.3898000000000001"/>
  </r>
  <r>
    <x v="47"/>
    <x v="37"/>
    <n v="3.3805000000000001"/>
  </r>
  <r>
    <x v="46"/>
    <x v="37"/>
    <n v="3.3289"/>
  </r>
  <r>
    <x v="75"/>
    <x v="37"/>
    <n v="3.6591999999999998"/>
  </r>
  <r>
    <x v="49"/>
    <x v="37"/>
    <n v="3.7526999999999999"/>
  </r>
  <r>
    <x v="69"/>
    <x v="37"/>
    <n v="3.3496000000000001"/>
  </r>
  <r>
    <x v="97"/>
    <x v="37"/>
    <n v="3.4740000000000002"/>
  </r>
  <r>
    <x v="5"/>
    <x v="37"/>
    <n v="3.5836999999999999"/>
  </r>
  <r>
    <x v="37"/>
    <x v="37"/>
    <n v="3.5667"/>
  </r>
  <r>
    <x v="32"/>
    <x v="37"/>
    <n v="4.0395000000000003"/>
  </r>
  <r>
    <x v="30"/>
    <x v="37"/>
    <n v="3.2366999999999999"/>
  </r>
  <r>
    <x v="54"/>
    <x v="37"/>
    <n v="3.7105999999999999"/>
  </r>
  <r>
    <x v="62"/>
    <x v="37"/>
    <n v="3.65"/>
  </r>
  <r>
    <x v="80"/>
    <x v="37"/>
    <n v="3.6076999999999999"/>
  </r>
  <r>
    <x v="55"/>
    <x v="37"/>
    <n v="3.4211999999999998"/>
  </r>
  <r>
    <x v="89"/>
    <x v="37"/>
    <n v="3.5667"/>
  </r>
  <r>
    <x v="84"/>
    <x v="37"/>
    <n v="3.4624999999999999"/>
  </r>
  <r>
    <x v="0"/>
    <x v="37"/>
    <n v="2.8454000000000002"/>
  </r>
  <r>
    <x v="40"/>
    <x v="37"/>
    <n v="3.1766000000000001"/>
  </r>
  <r>
    <x v="9"/>
    <x v="37"/>
    <n v="3.4634"/>
  </r>
  <r>
    <x v="52"/>
    <x v="37"/>
    <n v="3.3912"/>
  </r>
  <r>
    <x v="70"/>
    <x v="37"/>
    <n v="3.4011"/>
  </r>
  <r>
    <x v="18"/>
    <x v="37"/>
    <n v="3.3595999999999999"/>
  </r>
  <r>
    <x v="36"/>
    <x v="37"/>
    <n v="3.8043"/>
  </r>
  <r>
    <x v="48"/>
    <x v="37"/>
    <n v="3.4"/>
  </r>
  <r>
    <x v="20"/>
    <x v="37"/>
    <n v="3.6080999999999999"/>
  </r>
  <r>
    <x v="59"/>
    <x v="37"/>
    <n v="4.1417999999999999"/>
  </r>
  <r>
    <x v="103"/>
    <x v="37"/>
    <n v="3"/>
  </r>
  <r>
    <x v="63"/>
    <x v="37"/>
    <n v="3.5663999999999998"/>
  </r>
  <r>
    <x v="79"/>
    <x v="37"/>
    <n v="2.8359000000000001"/>
  </r>
  <r>
    <x v="71"/>
    <x v="37"/>
    <n v="3.5457999999999998"/>
  </r>
  <r>
    <x v="58"/>
    <x v="37"/>
    <n v="3.5457999999999998"/>
  </r>
  <r>
    <x v="24"/>
    <x v="37"/>
    <n v="3.0196000000000001"/>
  </r>
  <r>
    <x v="102"/>
    <x v="37"/>
    <n v="3.7801999999999998"/>
  </r>
  <r>
    <x v="76"/>
    <x v="37"/>
    <n v="3.5"/>
  </r>
  <r>
    <x v="53"/>
    <x v="37"/>
    <n v="3.8"/>
  </r>
  <r>
    <x v="15"/>
    <x v="37"/>
    <n v="3.3180999999999998"/>
  </r>
  <r>
    <x v="94"/>
    <x v="37"/>
    <n v="3.5"/>
  </r>
  <r>
    <x v="78"/>
    <x v="37"/>
    <n v="3.5666000000000002"/>
  </r>
  <r>
    <x v="8"/>
    <x v="37"/>
    <n v="3.4321000000000002"/>
  </r>
  <r>
    <x v="81"/>
    <x v="37"/>
    <n v="3.5047000000000001"/>
  </r>
  <r>
    <x v="100"/>
    <x v="37"/>
    <n v="3.5972"/>
  </r>
  <r>
    <x v="77"/>
    <x v="37"/>
    <n v="3.6183999999999998"/>
  </r>
  <r>
    <x v="0"/>
    <x v="38"/>
    <n v="2.8043"/>
  </r>
  <r>
    <x v="6"/>
    <x v="38"/>
    <n v="3.4007999999999998"/>
  </r>
  <r>
    <x v="20"/>
    <x v="38"/>
    <n v="3.5043000000000002"/>
  </r>
  <r>
    <x v="66"/>
    <x v="38"/>
    <n v="3.4085999999999999"/>
  </r>
  <r>
    <x v="8"/>
    <x v="38"/>
    <n v="3.4321000000000002"/>
  </r>
  <r>
    <x v="45"/>
    <x v="38"/>
    <n v="3.3178999999999998"/>
  </r>
  <r>
    <x v="73"/>
    <x v="38"/>
    <n v="3.7315"/>
  </r>
  <r>
    <x v="32"/>
    <x v="38"/>
    <n v="4.0395000000000003"/>
  </r>
  <r>
    <x v="2"/>
    <x v="38"/>
    <n v="2.9790000000000001"/>
  </r>
  <r>
    <x v="35"/>
    <x v="38"/>
    <n v="3.4842"/>
  </r>
  <r>
    <x v="28"/>
    <x v="38"/>
    <n v="3.3708"/>
  </r>
  <r>
    <x v="99"/>
    <x v="38"/>
    <n v="3.2050999999999998"/>
  </r>
  <r>
    <x v="90"/>
    <x v="38"/>
    <n v="3.7315999999999998"/>
  </r>
  <r>
    <x v="44"/>
    <x v="38"/>
    <n v="3.7"/>
  </r>
  <r>
    <x v="17"/>
    <x v="38"/>
    <n v="3.1539999999999999"/>
  </r>
  <r>
    <x v="11"/>
    <x v="38"/>
    <n v="3.3893"/>
  </r>
  <r>
    <x v="10"/>
    <x v="38"/>
    <n v="3.4641999999999999"/>
  </r>
  <r>
    <x v="109"/>
    <x v="39"/>
    <n v="3.6385000000000001"/>
  </r>
  <r>
    <x v="29"/>
    <x v="39"/>
    <n v="4.0377000000000001"/>
  </r>
  <r>
    <x v="8"/>
    <x v="39"/>
    <n v="3.3"/>
  </r>
  <r>
    <x v="84"/>
    <x v="39"/>
    <n v="3.7827000000000002"/>
  </r>
  <r>
    <x v="20"/>
    <x v="39"/>
    <n v="3.5044"/>
  </r>
  <r>
    <x v="35"/>
    <x v="39"/>
    <n v="3.4842"/>
  </r>
  <r>
    <x v="110"/>
    <x v="39"/>
    <n v="3.5"/>
  </r>
  <r>
    <x v="45"/>
    <x v="40"/>
    <n v="3.3178999999999998"/>
  </r>
  <r>
    <x v="61"/>
    <x v="40"/>
    <n v="3.4014000000000002"/>
  </r>
  <r>
    <x v="32"/>
    <x v="40"/>
    <n v="4.0347999999999997"/>
  </r>
  <r>
    <x v="6"/>
    <x v="40"/>
    <n v="3.4007999999999998"/>
  </r>
  <r>
    <x v="96"/>
    <x v="40"/>
    <n v="3.4106000000000001"/>
  </r>
  <r>
    <x v="60"/>
    <x v="40"/>
    <n v="3.0718000000000001"/>
  </r>
  <r>
    <x v="30"/>
    <x v="40"/>
    <n v="3.1337000000000002"/>
  </r>
  <r>
    <x v="7"/>
    <x v="40"/>
    <n v="3.7"/>
  </r>
  <r>
    <x v="28"/>
    <x v="40"/>
    <n v="3.5668000000000002"/>
  </r>
  <r>
    <x v="65"/>
    <x v="40"/>
    <n v="3.2158000000000002"/>
  </r>
  <r>
    <x v="6"/>
    <x v="41"/>
    <n v="3.37"/>
  </r>
  <r>
    <x v="22"/>
    <x v="41"/>
    <n v="3.3908999999999998"/>
  </r>
  <r>
    <x v="7"/>
    <x v="41"/>
    <n v="3.7"/>
  </r>
  <r>
    <x v="26"/>
    <x v="41"/>
    <n v="3.3294000000000001"/>
  </r>
  <r>
    <x v="32"/>
    <x v="41"/>
    <n v="4.0347999999999997"/>
  </r>
  <r>
    <x v="46"/>
    <x v="41"/>
    <n v="3.3289"/>
  </r>
  <r>
    <x v="106"/>
    <x v="41"/>
    <n v="3.1644000000000001"/>
  </r>
  <r>
    <x v="34"/>
    <x v="41"/>
    <n v="3.431"/>
  </r>
  <r>
    <x v="80"/>
    <x v="41"/>
    <n v="3.6697000000000002"/>
  </r>
  <r>
    <x v="20"/>
    <x v="41"/>
    <n v="3.5044"/>
  </r>
  <r>
    <x v="40"/>
    <x v="41"/>
    <n v="3.1331000000000002"/>
  </r>
  <r>
    <x v="59"/>
    <x v="41"/>
    <n v="4.0384000000000002"/>
  </r>
  <r>
    <x v="70"/>
    <x v="41"/>
    <n v="3.4114"/>
  </r>
  <r>
    <x v="30"/>
    <x v="41"/>
    <n v="3.1027999999999998"/>
  </r>
  <r>
    <x v="36"/>
    <x v="41"/>
    <n v="3.6181999999999999"/>
  </r>
  <r>
    <x v="24"/>
    <x v="41"/>
    <n v="2.7732000000000001"/>
  </r>
  <r>
    <x v="20"/>
    <x v="42"/>
    <n v="3.5044"/>
  </r>
  <r>
    <x v="46"/>
    <x v="42"/>
    <n v="3.2875000000000001"/>
  </r>
  <r>
    <x v="41"/>
    <x v="42"/>
    <n v="3.2360000000000002"/>
  </r>
  <r>
    <x v="9"/>
    <x v="42"/>
    <n v="3.4994999999999998"/>
  </r>
  <r>
    <x v="39"/>
    <x v="42"/>
    <n v="3.39"/>
  </r>
  <r>
    <x v="83"/>
    <x v="42"/>
    <n v="3.0310999999999999"/>
  </r>
  <r>
    <x v="6"/>
    <x v="42"/>
    <n v="3.2564000000000002"/>
  </r>
  <r>
    <x v="69"/>
    <x v="42"/>
    <n v="3.1747000000000001"/>
  </r>
  <r>
    <x v="28"/>
    <x v="42"/>
    <n v="3.3502000000000001"/>
  </r>
  <r>
    <x v="55"/>
    <x v="42"/>
    <n v="3.3079000000000001"/>
  </r>
  <r>
    <x v="70"/>
    <x v="42"/>
    <n v="3.3496999999999999"/>
  </r>
  <r>
    <x v="79"/>
    <x v="42"/>
    <n v="2.7538"/>
  </r>
  <r>
    <x v="93"/>
    <x v="42"/>
    <n v="3.3593000000000002"/>
  </r>
  <r>
    <x v="73"/>
    <x v="42"/>
    <n v="3.5768"/>
  </r>
  <r>
    <x v="48"/>
    <x v="42"/>
    <n v="3.4"/>
  </r>
  <r>
    <x v="38"/>
    <x v="42"/>
    <n v="3.1953"/>
  </r>
  <r>
    <x v="37"/>
    <x v="42"/>
    <n v="3.4220999999999999"/>
  </r>
  <r>
    <x v="49"/>
    <x v="42"/>
    <n v="3.7526999999999999"/>
  </r>
  <r>
    <x v="30"/>
    <x v="42"/>
    <n v="3.2056"/>
  </r>
  <r>
    <x v="40"/>
    <x v="42"/>
    <n v="3.1671999999999998"/>
  </r>
  <r>
    <x v="45"/>
    <x v="42"/>
    <n v="3.3178999999999998"/>
  </r>
  <r>
    <x v="78"/>
    <x v="42"/>
    <n v="2.9998"/>
  </r>
  <r>
    <x v="82"/>
    <x v="42"/>
    <n v="3.2570000000000001"/>
  </r>
  <r>
    <x v="54"/>
    <x v="42"/>
    <n v="3.3498000000000001"/>
  </r>
  <r>
    <x v="57"/>
    <x v="42"/>
    <n v="3.1023999999999998"/>
  </r>
  <r>
    <x v="80"/>
    <x v="42"/>
    <n v="3.6698"/>
  </r>
  <r>
    <x v="0"/>
    <x v="42"/>
    <n v="2.9173"/>
  </r>
  <r>
    <x v="1"/>
    <x v="42"/>
    <n v="3.4424999999999999"/>
  </r>
  <r>
    <x v="18"/>
    <x v="42"/>
    <n v="3.1949999999999998"/>
  </r>
  <r>
    <x v="105"/>
    <x v="42"/>
    <n v="3.1124999999999998"/>
  </r>
  <r>
    <x v="53"/>
    <x v="42"/>
    <n v="3.8"/>
  </r>
  <r>
    <x v="52"/>
    <x v="42"/>
    <n v="3.2469000000000001"/>
  </r>
  <r>
    <x v="84"/>
    <x v="42"/>
    <n v="3.1530999999999998"/>
  </r>
  <r>
    <x v="35"/>
    <x v="42"/>
    <n v="3.2469999999999999"/>
  </r>
  <r>
    <x v="34"/>
    <x v="42"/>
    <n v="3.431"/>
  </r>
  <r>
    <x v="16"/>
    <x v="42"/>
    <n v="3.5666000000000002"/>
  </r>
  <r>
    <x v="66"/>
    <x v="42"/>
    <n v="3.2486000000000002"/>
  </r>
  <r>
    <x v="89"/>
    <x v="42"/>
    <n v="3.3292999999999999"/>
  </r>
  <r>
    <x v="106"/>
    <x v="42"/>
    <n v="3.1128999999999998"/>
  </r>
  <r>
    <x v="94"/>
    <x v="42"/>
    <n v="3.4"/>
  </r>
  <r>
    <x v="15"/>
    <x v="42"/>
    <n v="3.2153999999999998"/>
  </r>
  <r>
    <x v="75"/>
    <x v="42"/>
    <n v="3.6777000000000002"/>
  </r>
  <r>
    <x v="31"/>
    <x v="42"/>
    <n v="3.2464"/>
  </r>
  <r>
    <x v="63"/>
    <x v="42"/>
    <n v="3.3083"/>
  </r>
  <r>
    <x v="81"/>
    <x v="42"/>
    <n v="3.4428000000000001"/>
  </r>
  <r>
    <x v="51"/>
    <x v="42"/>
    <n v="3.2667999999999999"/>
  </r>
  <r>
    <x v="58"/>
    <x v="42"/>
    <n v="3.4013"/>
  </r>
  <r>
    <x v="71"/>
    <x v="42"/>
    <n v="3.6802000000000001"/>
  </r>
  <r>
    <x v="6"/>
    <x v="43"/>
    <n v="3.2254"/>
  </r>
  <r>
    <x v="77"/>
    <x v="43"/>
    <n v="3.6389999999999998"/>
  </r>
  <r>
    <x v="76"/>
    <x v="43"/>
    <n v="3.5"/>
  </r>
  <r>
    <x v="45"/>
    <x v="43"/>
    <n v="3.2355"/>
  </r>
  <r>
    <x v="3"/>
    <x v="43"/>
    <n v="3.1023000000000001"/>
  </r>
  <r>
    <x v="12"/>
    <x v="43"/>
    <n v="3.7113"/>
  </r>
  <r>
    <x v="60"/>
    <x v="43"/>
    <n v="3.0306999999999999"/>
  </r>
  <r>
    <x v="28"/>
    <x v="43"/>
    <n v="3.3089"/>
  </r>
  <r>
    <x v="64"/>
    <x v="43"/>
    <n v="3.4630000000000001"/>
  </r>
  <r>
    <x v="10"/>
    <x v="43"/>
    <n v="3.407"/>
  </r>
  <r>
    <x v="11"/>
    <x v="44"/>
    <n v="3.3372999999999999"/>
  </r>
  <r>
    <x v="28"/>
    <x v="44"/>
    <n v="3.2883"/>
  </r>
  <r>
    <x v="95"/>
    <x v="44"/>
    <n v="3.1543999999999999"/>
  </r>
  <r>
    <x v="55"/>
    <x v="44"/>
    <n v="3.3079000000000001"/>
  </r>
  <r>
    <x v="111"/>
    <x v="44"/>
    <n v="3.5"/>
  </r>
  <r>
    <x v="56"/>
    <x v="44"/>
    <n v="3.2774999999999999"/>
  </r>
  <r>
    <x v="71"/>
    <x v="45"/>
    <n v="3.5457000000000001"/>
  </r>
  <r>
    <x v="22"/>
    <x v="45"/>
    <n v="3.3908999999999998"/>
  </r>
  <r>
    <x v="9"/>
    <x v="45"/>
    <n v="3.4683999999999999"/>
  </r>
  <r>
    <x v="72"/>
    <x v="45"/>
    <n v="3.3803999999999998"/>
  </r>
  <r>
    <x v="19"/>
    <x v="45"/>
    <n v="3.5451999999999999"/>
  </r>
  <r>
    <x v="38"/>
    <x v="45"/>
    <n v="3.1848999999999998"/>
  </r>
  <r>
    <x v="43"/>
    <x v="46"/>
    <n v="3.2875000000000001"/>
  </r>
  <r>
    <x v="7"/>
    <x v="46"/>
    <n v="3.7"/>
  </r>
  <r>
    <x v="38"/>
    <x v="46"/>
    <n v="3.1848999999999998"/>
  </r>
  <r>
    <x v="36"/>
    <x v="46"/>
    <n v="3.6181999999999999"/>
  </r>
  <r>
    <x v="28"/>
    <x v="46"/>
    <n v="3.3913000000000002"/>
  </r>
  <r>
    <x v="23"/>
    <x v="47"/>
    <n v="3.5"/>
  </r>
  <r>
    <x v="32"/>
    <x v="47"/>
    <n v="4.0160999999999998"/>
  </r>
  <r>
    <x v="7"/>
    <x v="47"/>
    <n v="3.5"/>
  </r>
  <r>
    <x v="83"/>
    <x v="47"/>
    <n v="2.8872"/>
  </r>
  <r>
    <x v="1"/>
    <x v="47"/>
    <n v="3.3502000000000001"/>
  </r>
  <r>
    <x v="39"/>
    <x v="47"/>
    <n v="3.2149000000000001"/>
  </r>
  <r>
    <x v="9"/>
    <x v="47"/>
    <n v="3.3241000000000001"/>
  </r>
  <r>
    <x v="106"/>
    <x v="47"/>
    <n v="3.1949000000000001"/>
  </r>
  <r>
    <x v="59"/>
    <x v="47"/>
    <n v="3.6432000000000002"/>
  </r>
  <r>
    <x v="45"/>
    <x v="47"/>
    <n v="2.9988000000000001"/>
  </r>
  <r>
    <x v="0"/>
    <x v="47"/>
    <n v="2.8862999999999999"/>
  </r>
  <r>
    <x v="77"/>
    <x v="47"/>
    <n v="3.2469000000000001"/>
  </r>
  <r>
    <x v="70"/>
    <x v="47"/>
    <n v="3.0609999999999999"/>
  </r>
  <r>
    <x v="57"/>
    <x v="47"/>
    <n v="3.0510000000000002"/>
  </r>
  <r>
    <x v="22"/>
    <x v="47"/>
    <n v="3.3702999999999999"/>
  </r>
  <r>
    <x v="26"/>
    <x v="47"/>
    <n v="3.1747999999999998"/>
  </r>
  <r>
    <x v="73"/>
    <x v="47"/>
    <n v="3.4944000000000002"/>
  </r>
  <r>
    <x v="75"/>
    <x v="47"/>
    <n v="3.6898"/>
  </r>
  <r>
    <x v="24"/>
    <x v="47"/>
    <n v="2.6604000000000001"/>
  </r>
  <r>
    <x v="79"/>
    <x v="47"/>
    <n v="2.6717"/>
  </r>
  <r>
    <x v="82"/>
    <x v="48"/>
    <n v="3.2158000000000002"/>
  </r>
  <r>
    <x v="31"/>
    <x v="48"/>
    <n v="3.0815000000000001"/>
  </r>
  <r>
    <x v="38"/>
    <x v="48"/>
    <n v="3.0306000000000002"/>
  </r>
  <r>
    <x v="91"/>
    <x v="48"/>
    <n v="3.4428000000000001"/>
  </r>
  <r>
    <x v="44"/>
    <x v="48"/>
    <n v="3.5"/>
  </r>
  <r>
    <x v="7"/>
    <x v="48"/>
    <n v="3.3"/>
  </r>
  <r>
    <x v="11"/>
    <x v="48"/>
    <n v="3.1337000000000002"/>
  </r>
  <r>
    <x v="28"/>
    <x v="48"/>
    <n v="3.2881999999999998"/>
  </r>
  <r>
    <x v="99"/>
    <x v="48"/>
    <n v="2.9072"/>
  </r>
  <r>
    <x v="10"/>
    <x v="48"/>
    <n v="3.1959"/>
  </r>
  <r>
    <x v="88"/>
    <x v="48"/>
    <n v="3.3538999999999999"/>
  </r>
  <r>
    <x v="4"/>
    <x v="49"/>
    <n v="3.9695999999999998"/>
  </r>
  <r>
    <x v="65"/>
    <x v="49"/>
    <n v="3.0507"/>
  </r>
  <r>
    <x v="16"/>
    <x v="49"/>
    <n v="3.2056"/>
  </r>
  <r>
    <x v="35"/>
    <x v="49"/>
    <n v="3.2161"/>
  </r>
  <r>
    <x v="45"/>
    <x v="50"/>
    <n v="3.0609000000000002"/>
  </r>
  <r>
    <x v="7"/>
    <x v="50"/>
    <n v="3.3"/>
  </r>
  <r>
    <x v="28"/>
    <x v="50"/>
    <n v="3.3089"/>
  </r>
  <r>
    <x v="27"/>
    <x v="50"/>
    <n v="3.1353"/>
  </r>
  <r>
    <x v="50"/>
    <x v="50"/>
    <n v="4.0526"/>
  </r>
  <r>
    <x v="25"/>
    <x v="51"/>
    <n v="3.7"/>
  </r>
  <r>
    <x v="71"/>
    <x v="51"/>
    <n v="3.2980999999999998"/>
  </r>
  <r>
    <x v="18"/>
    <x v="52"/>
    <n v="3.1745000000000001"/>
  </r>
  <r>
    <x v="9"/>
    <x v="52"/>
    <n v="3.4735999999999998"/>
  </r>
  <r>
    <x v="32"/>
    <x v="52"/>
    <n v="4.0160999999999998"/>
  </r>
  <r>
    <x v="69"/>
    <x v="52"/>
    <n v="3.1949999999999998"/>
  </r>
  <r>
    <x v="0"/>
    <x v="52"/>
    <n v="2.9994999999999998"/>
  </r>
  <r>
    <x v="1"/>
    <x v="52"/>
    <n v="3.3502000000000001"/>
  </r>
  <r>
    <x v="39"/>
    <x v="52"/>
    <n v="3.2149000000000001"/>
  </r>
  <r>
    <x v="72"/>
    <x v="52"/>
    <n v="3.0510000000000002"/>
  </r>
  <r>
    <x v="66"/>
    <x v="52"/>
    <n v="3.1034000000000002"/>
  </r>
  <r>
    <x v="26"/>
    <x v="52"/>
    <n v="3.2160000000000002"/>
  </r>
  <r>
    <x v="73"/>
    <x v="52"/>
    <n v="3.4944000000000002"/>
  </r>
  <r>
    <x v="38"/>
    <x v="52"/>
    <n v="3.0306000000000002"/>
  </r>
  <r>
    <x v="107"/>
    <x v="52"/>
    <n v="3.0510000000000002"/>
  </r>
  <r>
    <x v="67"/>
    <x v="52"/>
    <n v="3.5457000000000001"/>
  </r>
  <r>
    <x v="59"/>
    <x v="52"/>
    <n v="3.6432000000000002"/>
  </r>
  <r>
    <x v="80"/>
    <x v="52"/>
    <n v="3.5560999999999998"/>
  </r>
  <r>
    <x v="51"/>
    <x v="52"/>
    <n v="3.1741999999999999"/>
  </r>
  <r>
    <x v="77"/>
    <x v="52"/>
    <n v="3.2469000000000001"/>
  </r>
  <r>
    <x v="90"/>
    <x v="52"/>
    <n v="3.5663"/>
  </r>
  <r>
    <x v="3"/>
    <x v="52"/>
    <n v="2.9685999999999999"/>
  </r>
  <r>
    <x v="75"/>
    <x v="52"/>
    <n v="3.597"/>
  </r>
  <r>
    <x v="29"/>
    <x v="52"/>
    <n v="3.0594999999999999"/>
  </r>
  <r>
    <x v="112"/>
    <x v="52"/>
    <n v="3.1646999999999998"/>
  </r>
  <r>
    <x v="106"/>
    <x v="52"/>
    <n v="3.0306999999999999"/>
  </r>
  <r>
    <x v="68"/>
    <x v="53"/>
    <n v="3.0202"/>
  </r>
  <r>
    <x v="82"/>
    <x v="53"/>
    <n v="3.1951999999999998"/>
  </r>
  <r>
    <x v="53"/>
    <x v="53"/>
    <n v="3.35"/>
  </r>
  <r>
    <x v="23"/>
    <x v="53"/>
    <n v="3.5"/>
  </r>
  <r>
    <x v="55"/>
    <x v="53"/>
    <n v="3.1637"/>
  </r>
  <r>
    <x v="8"/>
    <x v="53"/>
    <n v="3.1436999999999999"/>
  </r>
  <r>
    <x v="9"/>
    <x v="53"/>
    <n v="3.4424999999999999"/>
  </r>
  <r>
    <x v="44"/>
    <x v="53"/>
    <n v="3.5"/>
  </r>
  <r>
    <x v="11"/>
    <x v="53"/>
    <n v="3.1644999999999999"/>
  </r>
  <r>
    <x v="20"/>
    <x v="53"/>
    <n v="3.2056"/>
  </r>
  <r>
    <x v="19"/>
    <x v="53"/>
    <n v="3.2158000000000002"/>
  </r>
  <r>
    <x v="37"/>
    <x v="53"/>
    <n v="3.2366000000000001"/>
  </r>
  <r>
    <x v="10"/>
    <x v="53"/>
    <n v="3.2357"/>
  </r>
  <r>
    <x v="13"/>
    <x v="54"/>
    <n v="3.2568000000000001"/>
  </r>
  <r>
    <x v="21"/>
    <x v="54"/>
    <n v="3.1027999999999998"/>
  </r>
  <r>
    <x v="92"/>
    <x v="55"/>
    <n v="2.9794999999999998"/>
  </r>
  <r>
    <x v="60"/>
    <x v="55"/>
    <n v="3.1337000000000002"/>
  </r>
  <r>
    <x v="0"/>
    <x v="55"/>
    <n v="3.1230000000000002"/>
  </r>
  <r>
    <x v="9"/>
    <x v="55"/>
    <n v="3.5249999999999999"/>
  </r>
  <r>
    <x v="28"/>
    <x v="55"/>
    <n v="3.2161"/>
  </r>
  <r>
    <x v="2"/>
    <x v="55"/>
    <n v="2.5994000000000002"/>
  </r>
  <r>
    <x v="104"/>
    <x v="55"/>
    <n v="3.0562999999999998"/>
  </r>
  <r>
    <x v="70"/>
    <x v="55"/>
    <n v="3.0609999999999999"/>
  </r>
  <r>
    <x v="86"/>
    <x v="55"/>
    <n v="3.3601000000000001"/>
  </r>
  <r>
    <x v="83"/>
    <x v="55"/>
    <n v="2.8872"/>
  </r>
  <r>
    <x v="25"/>
    <x v="56"/>
    <n v="3.6"/>
  </r>
  <r>
    <x v="7"/>
    <x v="56"/>
    <n v="3.2"/>
  </r>
  <r>
    <x v="43"/>
    <x v="56"/>
    <n v="2.9276"/>
  </r>
  <r>
    <x v="100"/>
    <x v="56"/>
    <n v="3.3083999999999998"/>
  </r>
  <r>
    <x v="22"/>
    <x v="57"/>
    <n v="3.4424999999999999"/>
  </r>
  <r>
    <x v="2"/>
    <x v="57"/>
    <n v="2.8864999999999998"/>
  </r>
  <r>
    <x v="9"/>
    <x v="57"/>
    <n v="3.5249999999999999"/>
  </r>
  <r>
    <x v="80"/>
    <x v="57"/>
    <n v="3.4218000000000002"/>
  </r>
  <r>
    <x v="45"/>
    <x v="57"/>
    <n v="2.9887000000000001"/>
  </r>
  <r>
    <x v="34"/>
    <x v="57"/>
    <n v="3.2042000000000002"/>
  </r>
  <r>
    <x v="16"/>
    <x v="57"/>
    <n v="3.298"/>
  </r>
  <r>
    <x v="46"/>
    <x v="57"/>
    <n v="3.1949000000000001"/>
  </r>
  <r>
    <x v="69"/>
    <x v="57"/>
    <n v="3.1438999999999999"/>
  </r>
  <r>
    <x v="109"/>
    <x v="57"/>
    <n v="3.3188"/>
  </r>
  <r>
    <x v="49"/>
    <x v="57"/>
    <n v="3.4525000000000001"/>
  </r>
  <r>
    <x v="39"/>
    <x v="57"/>
    <n v="3.2149000000000001"/>
  </r>
  <r>
    <x v="59"/>
    <x v="57"/>
    <n v="3.6429999999999998"/>
  </r>
  <r>
    <x v="3"/>
    <x v="57"/>
    <n v="2.9174000000000002"/>
  </r>
  <r>
    <x v="62"/>
    <x v="57"/>
    <n v="3.63"/>
  </r>
  <r>
    <x v="40"/>
    <x v="57"/>
    <n v="3.1023999999999998"/>
  </r>
  <r>
    <x v="60"/>
    <x v="57"/>
    <n v="3.1850999999999998"/>
  </r>
  <r>
    <x v="8"/>
    <x v="57"/>
    <n v="3.1539999999999999"/>
  </r>
  <r>
    <x v="82"/>
    <x v="57"/>
    <n v="3.2776999999999998"/>
  </r>
  <r>
    <x v="48"/>
    <x v="57"/>
    <n v="3.4"/>
  </r>
  <r>
    <x v="26"/>
    <x v="57"/>
    <n v="3.2160000000000002"/>
  </r>
  <r>
    <x v="1"/>
    <x v="57"/>
    <n v="3.4026000000000001"/>
  </r>
  <r>
    <x v="38"/>
    <x v="57"/>
    <n v="3.0716999999999999"/>
  </r>
  <r>
    <x v="36"/>
    <x v="57"/>
    <n v="3.4529000000000001"/>
  </r>
  <r>
    <x v="54"/>
    <x v="57"/>
    <n v="2.8974000000000002"/>
  </r>
  <r>
    <x v="28"/>
    <x v="57"/>
    <n v="3.2572999999999999"/>
  </r>
  <r>
    <x v="50"/>
    <x v="57"/>
    <n v="4.0526"/>
  </r>
  <r>
    <x v="0"/>
    <x v="57"/>
    <n v="2.9895999999999998"/>
  </r>
  <r>
    <x v="31"/>
    <x v="57"/>
    <n v="3.1432000000000002"/>
  </r>
  <r>
    <x v="79"/>
    <x v="57"/>
    <n v="2.6815000000000002"/>
  </r>
  <r>
    <x v="102"/>
    <x v="57"/>
    <n v="3.2671000000000001"/>
  </r>
  <r>
    <x v="71"/>
    <x v="57"/>
    <n v="3.1949000000000001"/>
  </r>
  <r>
    <x v="58"/>
    <x v="57"/>
    <n v="3.2467000000000001"/>
  </r>
  <r>
    <x v="64"/>
    <x v="57"/>
    <n v="3.2155"/>
  </r>
  <r>
    <x v="113"/>
    <x v="58"/>
    <n v="3.3603999999999998"/>
  </r>
  <r>
    <x v="47"/>
    <x v="58"/>
    <n v="3.0204"/>
  </r>
  <r>
    <x v="28"/>
    <x v="58"/>
    <n v="3.2366999999999999"/>
  </r>
  <r>
    <x v="17"/>
    <x v="58"/>
    <n v="3.0409000000000002"/>
  </r>
  <r>
    <x v="47"/>
    <x v="59"/>
    <n v="3"/>
  </r>
  <r>
    <x v="16"/>
    <x v="59"/>
    <n v="3.3908999999999998"/>
  </r>
  <r>
    <x v="33"/>
    <x v="59"/>
    <n v="3.2265000000000001"/>
  </r>
  <r>
    <x v="85"/>
    <x v="59"/>
    <n v="3.4014000000000002"/>
  </r>
  <r>
    <x v="22"/>
    <x v="59"/>
    <n v="3.4424999999999999"/>
  </r>
  <r>
    <x v="99"/>
    <x v="59"/>
    <n v="2.9072"/>
  </r>
  <r>
    <x v="98"/>
    <x v="59"/>
    <n v="3.5143"/>
  </r>
  <r>
    <x v="19"/>
    <x v="59"/>
    <n v="3.2158000000000002"/>
  </r>
  <r>
    <x v="11"/>
    <x v="59"/>
    <n v="3.1492"/>
  </r>
  <r>
    <x v="39"/>
    <x v="60"/>
    <n v="3.2149000000000001"/>
  </r>
  <r>
    <x v="109"/>
    <x v="60"/>
    <n v="3.3188"/>
  </r>
  <r>
    <x v="32"/>
    <x v="60"/>
    <n v="3.9413"/>
  </r>
  <r>
    <x v="28"/>
    <x v="60"/>
    <n v="3.1440000000000001"/>
  </r>
  <r>
    <x v="103"/>
    <x v="60"/>
    <n v="3"/>
  </r>
  <r>
    <x v="6"/>
    <x v="60"/>
    <n v="2.9379"/>
  </r>
  <r>
    <x v="1"/>
    <x v="60"/>
    <n v="3.4013"/>
  </r>
  <r>
    <x v="45"/>
    <x v="60"/>
    <n v="3.0295999999999998"/>
  </r>
  <r>
    <x v="77"/>
    <x v="60"/>
    <n v="3.2469000000000001"/>
  </r>
  <r>
    <x v="73"/>
    <x v="60"/>
    <n v="3.5047999999999999"/>
  </r>
  <r>
    <x v="38"/>
    <x v="60"/>
    <n v="3.0512999999999999"/>
  </r>
  <r>
    <x v="8"/>
    <x v="60"/>
    <n v="3.1128"/>
  </r>
  <r>
    <x v="7"/>
    <x v="60"/>
    <n v="3"/>
  </r>
  <r>
    <x v="0"/>
    <x v="60"/>
    <n v="2.8868999999999998"/>
  </r>
  <r>
    <x v="70"/>
    <x v="60"/>
    <n v="3.1844000000000001"/>
  </r>
  <r>
    <x v="106"/>
    <x v="60"/>
    <n v="2.9384000000000001"/>
  </r>
  <r>
    <x v="86"/>
    <x v="60"/>
    <n v="3.2568999999999999"/>
  </r>
  <r>
    <x v="59"/>
    <x v="60"/>
    <n v="3.6429999999999998"/>
  </r>
  <r>
    <x v="71"/>
    <x v="60"/>
    <n v="3.133"/>
  </r>
  <r>
    <x v="50"/>
    <x v="60"/>
    <n v="4.1565000000000003"/>
  </r>
  <r>
    <x v="114"/>
    <x v="60"/>
    <n v="2.8250000000000002"/>
  </r>
  <r>
    <x v="54"/>
    <x v="60"/>
    <n v="3.0514000000000001"/>
  </r>
  <r>
    <x v="72"/>
    <x v="60"/>
    <n v="3.0823"/>
  </r>
  <r>
    <x v="3"/>
    <x v="60"/>
    <n v="2.9171999999999998"/>
  </r>
  <r>
    <x v="82"/>
    <x v="60"/>
    <n v="3.3290999999999999"/>
  </r>
  <r>
    <x v="101"/>
    <x v="60"/>
    <n v="3.1884000000000001"/>
  </r>
  <r>
    <x v="101"/>
    <x v="61"/>
    <n v="3.0188000000000001"/>
  </r>
  <r>
    <x v="42"/>
    <x v="61"/>
    <n v="3.2"/>
  </r>
  <r>
    <x v="11"/>
    <x v="61"/>
    <n v="3.0442"/>
  </r>
  <r>
    <x v="115"/>
    <x v="61"/>
    <n v="2.9070999999999998"/>
  </r>
  <r>
    <x v="97"/>
    <x v="61"/>
    <n v="3.4636999999999998"/>
  </r>
  <r>
    <x v="78"/>
    <x v="61"/>
    <n v="3.2980999999999998"/>
  </r>
  <r>
    <x v="10"/>
    <x v="61"/>
    <n v="3.2589999999999999"/>
  </r>
  <r>
    <x v="0"/>
    <x v="61"/>
    <n v="2.8252000000000002"/>
  </r>
  <r>
    <x v="95"/>
    <x v="62"/>
    <n v="3.0411000000000001"/>
  </r>
  <r>
    <x v="34"/>
    <x v="62"/>
    <n v="3.2665999999999999"/>
  </r>
  <r>
    <x v="24"/>
    <x v="62"/>
    <n v="2.6604000000000001"/>
  </r>
  <r>
    <x v="0"/>
    <x v="63"/>
    <n v="2.7330000000000001"/>
  </r>
  <r>
    <x v="99"/>
    <x v="63"/>
    <n v="2.7530000000000001"/>
  </r>
  <r>
    <x v="3"/>
    <x v="63"/>
    <n v="2.9171999999999998"/>
  </r>
  <r>
    <x v="75"/>
    <x v="63"/>
    <n v="3.3187000000000002"/>
  </r>
  <r>
    <x v="67"/>
    <x v="63"/>
    <n v="3.5457000000000001"/>
  </r>
  <r>
    <x v="60"/>
    <x v="63"/>
    <n v="3.0203000000000002"/>
  </r>
  <r>
    <x v="22"/>
    <x v="64"/>
    <n v="3.4424999999999999"/>
  </r>
  <r>
    <x v="6"/>
    <x v="64"/>
    <n v="2.61"/>
  </r>
  <r>
    <x v="9"/>
    <x v="64"/>
    <n v="3.4014000000000002"/>
  </r>
  <r>
    <x v="112"/>
    <x v="64"/>
    <n v="3.1646999999999998"/>
  </r>
  <r>
    <x v="46"/>
    <x v="64"/>
    <n v="3.3290999999999999"/>
  </r>
  <r>
    <x v="57"/>
    <x v="64"/>
    <n v="2.9998"/>
  </r>
  <r>
    <x v="36"/>
    <x v="64"/>
    <n v="3.4426000000000001"/>
  </r>
  <r>
    <x v="13"/>
    <x v="64"/>
    <n v="3.2052999999999998"/>
  </r>
  <r>
    <x v="93"/>
    <x v="64"/>
    <n v="2.9272"/>
  </r>
  <r>
    <x v="71"/>
    <x v="64"/>
    <n v="3.133"/>
  </r>
  <r>
    <x v="28"/>
    <x v="64"/>
    <n v="3.1440000000000001"/>
  </r>
  <r>
    <x v="111"/>
    <x v="64"/>
    <n v="3.6"/>
  </r>
  <r>
    <x v="23"/>
    <x v="65"/>
    <n v="3.5"/>
  </r>
  <r>
    <x v="8"/>
    <x v="65"/>
    <n v="3.1128"/>
  </r>
  <r>
    <x v="46"/>
    <x v="65"/>
    <n v="3.2568999999999999"/>
  </r>
  <r>
    <x v="115"/>
    <x v="65"/>
    <n v="2.9070999999999998"/>
  </r>
  <r>
    <x v="7"/>
    <x v="65"/>
    <n v="3"/>
  </r>
  <r>
    <x v="59"/>
    <x v="65"/>
    <n v="3.6429999999999998"/>
  </r>
  <r>
    <x v="109"/>
    <x v="65"/>
    <n v="3.2467999999999999"/>
  </r>
  <r>
    <x v="5"/>
    <x v="65"/>
    <n v="3.1644000000000001"/>
  </r>
  <r>
    <x v="1"/>
    <x v="65"/>
    <n v="3.5045999999999999"/>
  </r>
  <r>
    <x v="77"/>
    <x v="65"/>
    <n v="3.1953999999999998"/>
  </r>
  <r>
    <x v="30"/>
    <x v="65"/>
    <n v="2.9897999999999998"/>
  </r>
  <r>
    <x v="60"/>
    <x v="65"/>
    <n v="2.9382000000000001"/>
  </r>
  <r>
    <x v="41"/>
    <x v="65"/>
    <n v="3.1640999999999999"/>
  </r>
  <r>
    <x v="32"/>
    <x v="65"/>
    <n v="3.9413"/>
  </r>
  <r>
    <x v="69"/>
    <x v="65"/>
    <n v="3.0821000000000001"/>
  </r>
  <r>
    <x v="81"/>
    <x v="65"/>
    <n v="3.2982999999999998"/>
  </r>
  <r>
    <x v="45"/>
    <x v="65"/>
    <n v="2.8864000000000001"/>
  </r>
  <r>
    <x v="3"/>
    <x v="65"/>
    <n v="2.8456000000000001"/>
  </r>
  <r>
    <x v="73"/>
    <x v="65"/>
    <n v="3.3088000000000002"/>
  </r>
  <r>
    <x v="90"/>
    <x v="65"/>
    <n v="3.3184999999999998"/>
  </r>
  <r>
    <x v="0"/>
    <x v="65"/>
    <n v="2.8151000000000002"/>
  </r>
  <r>
    <x v="94"/>
    <x v="65"/>
    <n v="3.05"/>
  </r>
  <r>
    <x v="8"/>
    <x v="66"/>
    <n v="3.1231"/>
  </r>
  <r>
    <x v="82"/>
    <x v="66"/>
    <n v="3.2158000000000002"/>
  </r>
  <r>
    <x v="16"/>
    <x v="66"/>
    <n v="3.298"/>
  </r>
  <r>
    <x v="53"/>
    <x v="66"/>
    <n v="3.35"/>
  </r>
  <r>
    <x v="5"/>
    <x v="66"/>
    <n v="2.7534999999999998"/>
  </r>
  <r>
    <x v="7"/>
    <x v="66"/>
    <n v="3"/>
  </r>
  <r>
    <x v="28"/>
    <x v="66"/>
    <n v="2.9178999999999999"/>
  </r>
  <r>
    <x v="31"/>
    <x v="66"/>
    <n v="3.1844999999999999"/>
  </r>
  <r>
    <x v="11"/>
    <x v="66"/>
    <n v="3.0293000000000001"/>
  </r>
  <r>
    <x v="44"/>
    <x v="66"/>
    <n v="3.3"/>
  </r>
  <r>
    <x v="17"/>
    <x v="66"/>
    <n v="2.6614"/>
  </r>
  <r>
    <x v="6"/>
    <x v="66"/>
    <n v="2.4567000000000001"/>
  </r>
  <r>
    <x v="106"/>
    <x v="66"/>
    <n v="2.5689000000000002"/>
  </r>
  <r>
    <x v="55"/>
    <x v="66"/>
    <n v="2.4666999999999999"/>
  </r>
  <r>
    <x v="4"/>
    <x v="67"/>
    <n v="3.5041000000000002"/>
  </r>
  <r>
    <x v="3"/>
    <x v="67"/>
    <n v="2.5994000000000002"/>
  </r>
  <r>
    <x v="10"/>
    <x v="67"/>
    <n v="3.2644000000000002"/>
  </r>
  <r>
    <x v="116"/>
    <x v="67"/>
    <n v="3.7"/>
  </r>
  <r>
    <x v="0"/>
    <x v="67"/>
    <n v="2.8151000000000002"/>
  </r>
  <r>
    <x v="56"/>
    <x v="67"/>
    <n v="3.0409999999999999"/>
  </r>
  <r>
    <x v="5"/>
    <x v="68"/>
    <n v="2.5922000000000001"/>
  </r>
  <r>
    <x v="36"/>
    <x v="68"/>
    <n v="3.2052999999999998"/>
  </r>
  <r>
    <x v="17"/>
    <x v="68"/>
    <n v="2.6922000000000001"/>
  </r>
  <r>
    <x v="84"/>
    <x v="68"/>
    <n v="2.7734999999999999"/>
  </r>
  <r>
    <x v="50"/>
    <x v="68"/>
    <n v="3.794"/>
  </r>
  <r>
    <x v="14"/>
    <x v="68"/>
    <n v="2.9998999999999998"/>
  </r>
  <r>
    <x v="7"/>
    <x v="68"/>
    <n v="3"/>
  </r>
  <r>
    <x v="51"/>
    <x v="68"/>
    <n v="3.0406"/>
  </r>
  <r>
    <x v="55"/>
    <x v="68"/>
    <n v="2.4771000000000001"/>
  </r>
  <r>
    <x v="6"/>
    <x v="68"/>
    <n v="2.5589"/>
  </r>
  <r>
    <x v="9"/>
    <x v="68"/>
    <n v="3.4788999999999999"/>
  </r>
  <r>
    <x v="60"/>
    <x v="68"/>
    <n v="2.7124999999999999"/>
  </r>
  <r>
    <x v="30"/>
    <x v="68"/>
    <n v="3.0306999999999999"/>
  </r>
  <r>
    <x v="32"/>
    <x v="68"/>
    <n v="3.9466999999999999"/>
  </r>
  <r>
    <x v="96"/>
    <x v="68"/>
    <n v="3.0091000000000001"/>
  </r>
  <r>
    <x v="0"/>
    <x v="68"/>
    <n v="2.9590000000000001"/>
  </r>
  <r>
    <x v="71"/>
    <x v="68"/>
    <n v="2.7635000000000001"/>
  </r>
  <r>
    <x v="117"/>
    <x v="68"/>
    <n v="3.3189000000000002"/>
  </r>
  <r>
    <x v="27"/>
    <x v="69"/>
    <n v="2.9483999999999999"/>
  </r>
  <r>
    <x v="16"/>
    <x v="69"/>
    <n v="3.4117999999999999"/>
  </r>
  <r>
    <x v="46"/>
    <x v="69"/>
    <n v="3.2980999999999998"/>
  </r>
  <r>
    <x v="85"/>
    <x v="69"/>
    <n v="3.4013"/>
  </r>
  <r>
    <x v="41"/>
    <x v="69"/>
    <n v="3.0918000000000001"/>
  </r>
  <r>
    <x v="40"/>
    <x v="69"/>
    <n v="3.2155999999999998"/>
  </r>
  <r>
    <x v="68"/>
    <x v="69"/>
    <n v="3.2778999999999998"/>
  </r>
  <r>
    <x v="88"/>
    <x v="69"/>
    <n v="3.2818999999999998"/>
  </r>
  <r>
    <x v="28"/>
    <x v="69"/>
    <n v="3.0617999999999999"/>
  </r>
  <r>
    <x v="21"/>
    <x v="69"/>
    <n v="3.1027"/>
  </r>
  <r>
    <x v="60"/>
    <x v="69"/>
    <n v="2.5179999999999998"/>
  </r>
  <r>
    <x v="63"/>
    <x v="69"/>
    <n v="3.3010999999999999"/>
  </r>
  <r>
    <x v="8"/>
    <x v="70"/>
    <n v="3.4220000000000002"/>
  </r>
  <r>
    <x v="4"/>
    <x v="70"/>
    <n v="3.5249000000000001"/>
  </r>
  <r>
    <x v="71"/>
    <x v="70"/>
    <n v="3.0102000000000002"/>
  </r>
  <r>
    <x v="63"/>
    <x v="70"/>
    <n v="3.226"/>
  </r>
  <r>
    <x v="80"/>
    <x v="70"/>
    <n v="3.3494999999999999"/>
  </r>
  <r>
    <x v="38"/>
    <x v="70"/>
    <n v="2.6305000000000001"/>
  </r>
  <r>
    <x v="46"/>
    <x v="70"/>
    <n v="3.0507"/>
  </r>
  <r>
    <x v="39"/>
    <x v="70"/>
    <n v="3.3393999999999999"/>
  </r>
  <r>
    <x v="20"/>
    <x v="70"/>
    <n v="3.2056"/>
  </r>
  <r>
    <x v="79"/>
    <x v="70"/>
    <n v="2.5282"/>
  </r>
  <r>
    <x v="30"/>
    <x v="70"/>
    <n v="3.1027"/>
  </r>
  <r>
    <x v="26"/>
    <x v="70"/>
    <n v="2.7845"/>
  </r>
  <r>
    <x v="52"/>
    <x v="70"/>
    <n v="2.5895000000000001"/>
  </r>
  <r>
    <x v="59"/>
    <x v="70"/>
    <n v="3.5943000000000001"/>
  </r>
  <r>
    <x v="49"/>
    <x v="70"/>
    <n v="3.5972"/>
  </r>
  <r>
    <x v="118"/>
    <x v="70"/>
    <n v="2.7431999999999999"/>
  </r>
  <r>
    <x v="115"/>
    <x v="70"/>
    <n v="2.6714000000000002"/>
  </r>
  <r>
    <x v="54"/>
    <x v="70"/>
    <n v="2.9693999999999998"/>
  </r>
  <r>
    <x v="112"/>
    <x v="70"/>
    <n v="2.8972000000000002"/>
  </r>
  <r>
    <x v="62"/>
    <x v="70"/>
    <n v="3.04"/>
  </r>
  <r>
    <x v="1"/>
    <x v="70"/>
    <n v="3.6080000000000001"/>
  </r>
  <r>
    <x v="37"/>
    <x v="70"/>
    <n v="3.2471000000000001"/>
  </r>
  <r>
    <x v="64"/>
    <x v="70"/>
    <n v="3.0202"/>
  </r>
  <r>
    <x v="66"/>
    <x v="70"/>
    <n v="2.3986999999999998"/>
  </r>
  <r>
    <x v="33"/>
    <x v="70"/>
    <n v="2.8767999999999998"/>
  </r>
  <r>
    <x v="69"/>
    <x v="70"/>
    <n v="3.0716999999999999"/>
  </r>
  <r>
    <x v="40"/>
    <x v="70"/>
    <n v="2.4872999999999998"/>
  </r>
  <r>
    <x v="5"/>
    <x v="70"/>
    <n v="2.4121999999999999"/>
  </r>
  <r>
    <x v="93"/>
    <x v="70"/>
    <n v="3.04"/>
  </r>
  <r>
    <x v="15"/>
    <x v="70"/>
    <n v="3.2258"/>
  </r>
  <r>
    <x v="70"/>
    <x v="70"/>
    <n v="3.2978999999999998"/>
  </r>
  <r>
    <x v="76"/>
    <x v="70"/>
    <n v="3.1"/>
  </r>
  <r>
    <x v="6"/>
    <x v="70"/>
    <n v="2.9586000000000001"/>
  </r>
  <r>
    <x v="0"/>
    <x v="70"/>
    <n v="2.9076"/>
  </r>
  <r>
    <x v="94"/>
    <x v="70"/>
    <n v="2.7"/>
  </r>
  <r>
    <x v="45"/>
    <x v="70"/>
    <n v="2.5377000000000001"/>
  </r>
  <r>
    <x v="43"/>
    <x v="70"/>
    <n v="2.9382000000000001"/>
  </r>
  <r>
    <x v="51"/>
    <x v="70"/>
    <n v="2.9891999999999999"/>
  </r>
  <r>
    <x v="84"/>
    <x v="70"/>
    <n v="2.7530000000000001"/>
  </r>
  <r>
    <x v="13"/>
    <x v="70"/>
    <n v="2.9586999999999999"/>
  </r>
  <r>
    <x v="48"/>
    <x v="70"/>
    <n v="2.9"/>
  </r>
  <r>
    <x v="55"/>
    <x v="70"/>
    <n v="2.5998000000000001"/>
  </r>
  <r>
    <x v="36"/>
    <x v="70"/>
    <n v="3.2982"/>
  </r>
  <r>
    <x v="89"/>
    <x v="70"/>
    <n v="2.9277000000000002"/>
  </r>
  <r>
    <x v="16"/>
    <x v="70"/>
    <n v="3.4426999999999999"/>
  </r>
  <r>
    <x v="106"/>
    <x v="70"/>
    <n v="2.7429000000000001"/>
  </r>
  <r>
    <x v="81"/>
    <x v="70"/>
    <n v="3.113"/>
  </r>
  <r>
    <x v="9"/>
    <x v="70"/>
    <n v="3.4788999999999999"/>
  </r>
  <r>
    <x v="58"/>
    <x v="70"/>
    <n v="2.9382999999999999"/>
  </r>
  <r>
    <x v="35"/>
    <x v="70"/>
    <n v="2.62"/>
  </r>
  <r>
    <x v="75"/>
    <x v="70"/>
    <n v="3.0411000000000001"/>
  </r>
  <r>
    <x v="73"/>
    <x v="70"/>
    <n v="3.2366999999999999"/>
  </r>
  <r>
    <x v="57"/>
    <x v="70"/>
    <n v="2.7738"/>
  </r>
  <r>
    <x v="78"/>
    <x v="70"/>
    <n v="3.2984"/>
  </r>
  <r>
    <x v="18"/>
    <x v="70"/>
    <n v="2.8355000000000001"/>
  </r>
  <r>
    <x v="3"/>
    <x v="70"/>
    <n v="2.5891999999999999"/>
  </r>
  <r>
    <x v="82"/>
    <x v="70"/>
    <n v="3.1230000000000002"/>
  </r>
  <r>
    <x v="2"/>
    <x v="70"/>
    <n v="2.589"/>
  </r>
  <r>
    <x v="56"/>
    <x v="70"/>
    <n v="2.9279999999999999"/>
  </r>
  <r>
    <x v="31"/>
    <x v="71"/>
    <n v="2.7738"/>
  </r>
  <r>
    <x v="45"/>
    <x v="71"/>
    <n v="2.4455"/>
  </r>
  <r>
    <x v="77"/>
    <x v="71"/>
    <n v="3.2467999999999999"/>
  </r>
  <r>
    <x v="28"/>
    <x v="71"/>
    <n v="3.2057000000000002"/>
  </r>
  <r>
    <x v="59"/>
    <x v="71"/>
    <n v="3.5943000000000001"/>
  </r>
  <r>
    <x v="83"/>
    <x v="71"/>
    <n v="2.6821000000000002"/>
  </r>
  <r>
    <x v="10"/>
    <x v="71"/>
    <n v="3.1753"/>
  </r>
  <r>
    <x v="96"/>
    <x v="72"/>
    <n v="2.9519000000000002"/>
  </r>
  <r>
    <x v="11"/>
    <x v="72"/>
    <n v="2.9658000000000002"/>
  </r>
  <r>
    <x v="5"/>
    <x v="72"/>
    <n v="2.4121999999999999"/>
  </r>
  <r>
    <x v="0"/>
    <x v="72"/>
    <n v="2.6406000000000001"/>
  </r>
  <r>
    <x v="22"/>
    <x v="72"/>
    <n v="3.4630999999999998"/>
  </r>
  <r>
    <x v="60"/>
    <x v="73"/>
    <n v="2.2827999999999999"/>
  </r>
  <r>
    <x v="5"/>
    <x v="73"/>
    <n v="2.4121999999999999"/>
  </r>
  <r>
    <x v="19"/>
    <x v="73"/>
    <n v="3.0615999999999999"/>
  </r>
  <r>
    <x v="21"/>
    <x v="73"/>
    <n v="2.7021999999999999"/>
  </r>
  <r>
    <x v="32"/>
    <x v="73"/>
    <n v="3.9466999999999999"/>
  </r>
  <r>
    <x v="45"/>
    <x v="74"/>
    <n v="2.4142999999999999"/>
  </r>
  <r>
    <x v="7"/>
    <x v="74"/>
    <n v="2.8"/>
  </r>
  <r>
    <x v="88"/>
    <x v="74"/>
    <n v="3.2818999999999998"/>
  </r>
  <r>
    <x v="68"/>
    <x v="74"/>
    <n v="2.9929000000000001"/>
  </r>
  <r>
    <x v="75"/>
    <x v="75"/>
    <n v="2.5078999999999998"/>
  </r>
  <r>
    <x v="41"/>
    <x v="75"/>
    <n v="2.8140000000000001"/>
  </r>
  <r>
    <x v="20"/>
    <x v="75"/>
    <n v="3"/>
  </r>
  <r>
    <x v="80"/>
    <x v="75"/>
    <n v="3.0407999999999999"/>
  </r>
  <r>
    <x v="26"/>
    <x v="75"/>
    <n v="2.6092"/>
  </r>
  <r>
    <x v="1"/>
    <x v="75"/>
    <n v="3.3088000000000002"/>
  </r>
  <r>
    <x v="68"/>
    <x v="75"/>
    <n v="2.4977999999999998"/>
  </r>
  <r>
    <x v="51"/>
    <x v="75"/>
    <n v="2.5787"/>
  </r>
  <r>
    <x v="18"/>
    <x v="75"/>
    <n v="2.8355000000000001"/>
  </r>
  <r>
    <x v="69"/>
    <x v="75"/>
    <n v="2.8458999999999999"/>
  </r>
  <r>
    <x v="73"/>
    <x v="75"/>
    <n v="3.2366999999999999"/>
  </r>
  <r>
    <x v="46"/>
    <x v="75"/>
    <n v="2.9377"/>
  </r>
  <r>
    <x v="115"/>
    <x v="75"/>
    <n v="2.4359000000000002"/>
  </r>
  <r>
    <x v="28"/>
    <x v="75"/>
    <n v="2.3338999999999999"/>
  </r>
  <r>
    <x v="32"/>
    <x v="75"/>
    <n v="3.9466999999999999"/>
  </r>
  <r>
    <x v="77"/>
    <x v="75"/>
    <n v="3.2467999999999999"/>
  </r>
  <r>
    <x v="3"/>
    <x v="75"/>
    <n v="1.9967999999999999"/>
  </r>
  <r>
    <x v="29"/>
    <x v="75"/>
    <n v="3.2121"/>
  </r>
  <r>
    <x v="71"/>
    <x v="75"/>
    <n v="2.9070999999999998"/>
  </r>
  <r>
    <x v="106"/>
    <x v="75"/>
    <n v="2.4253"/>
  </r>
  <r>
    <x v="22"/>
    <x v="75"/>
    <n v="3.1642999999999999"/>
  </r>
  <r>
    <x v="33"/>
    <x v="75"/>
    <n v="2.5688"/>
  </r>
  <r>
    <x v="75"/>
    <x v="76"/>
    <n v="2.5179999999999998"/>
  </r>
  <r>
    <x v="118"/>
    <x v="76"/>
    <n v="2.4357000000000002"/>
  </r>
  <r>
    <x v="12"/>
    <x v="76"/>
    <n v="2.9885000000000002"/>
  </r>
  <r>
    <x v="20"/>
    <x v="76"/>
    <n v="2.8048000000000002"/>
  </r>
  <r>
    <x v="33"/>
    <x v="76"/>
    <n v="2.5688"/>
  </r>
  <r>
    <x v="107"/>
    <x v="76"/>
    <n v="2.8557999999999999"/>
  </r>
  <r>
    <x v="28"/>
    <x v="76"/>
    <n v="2.3953000000000002"/>
  </r>
  <r>
    <x v="53"/>
    <x v="76"/>
    <n v="3.1"/>
  </r>
  <r>
    <x v="11"/>
    <x v="76"/>
    <n v="2.7130000000000001"/>
  </r>
  <r>
    <x v="10"/>
    <x v="76"/>
    <n v="3.0785"/>
  </r>
  <r>
    <x v="24"/>
    <x v="77"/>
    <n v="1.5689"/>
  </r>
  <r>
    <x v="60"/>
    <x v="77"/>
    <n v="1.1739999999999999"/>
  </r>
  <r>
    <x v="86"/>
    <x v="77"/>
    <n v="2.6707000000000001"/>
  </r>
  <r>
    <x v="71"/>
    <x v="77"/>
    <n v="2.7219000000000002"/>
  </r>
  <r>
    <x v="14"/>
    <x v="77"/>
    <n v="2.7742"/>
  </r>
  <r>
    <x v="80"/>
    <x v="77"/>
    <n v="2.9588000000000001"/>
  </r>
  <r>
    <x v="23"/>
    <x v="77"/>
    <n v="2.2000000000000002"/>
  </r>
  <r>
    <x v="57"/>
    <x v="78"/>
    <n v="1.8439000000000001"/>
  </r>
  <r>
    <x v="0"/>
    <x v="78"/>
    <n v="2.6715"/>
  </r>
  <r>
    <x v="14"/>
    <x v="78"/>
    <n v="2.3538999999999999"/>
  </r>
  <r>
    <x v="8"/>
    <x v="78"/>
    <n v="2.8353999999999999"/>
  </r>
  <r>
    <x v="1"/>
    <x v="78"/>
    <n v="3.3089"/>
  </r>
  <r>
    <x v="99"/>
    <x v="79"/>
    <n v="1.3140000000000001"/>
  </r>
  <r>
    <x v="20"/>
    <x v="79"/>
    <n v="2.7633999999999999"/>
  </r>
  <r>
    <x v="93"/>
    <x v="79"/>
    <n v="2.7216"/>
  </r>
  <r>
    <x v="113"/>
    <x v="79"/>
    <n v="2.5385"/>
  </r>
  <r>
    <x v="78"/>
    <x v="79"/>
    <n v="3"/>
  </r>
  <r>
    <x v="40"/>
    <x v="80"/>
    <n v="1.6095999999999999"/>
  </r>
  <r>
    <x v="115"/>
    <x v="80"/>
    <n v="1.7527999999999999"/>
  </r>
  <r>
    <x v="69"/>
    <x v="80"/>
    <n v="2.3338000000000001"/>
  </r>
  <r>
    <x v="49"/>
    <x v="80"/>
    <n v="3.1749999999999998"/>
  </r>
  <r>
    <x v="37"/>
    <x v="80"/>
    <n v="2.9085999999999999"/>
  </r>
  <r>
    <x v="48"/>
    <x v="80"/>
    <n v="2.9"/>
  </r>
  <r>
    <x v="58"/>
    <x v="80"/>
    <n v="2.5282"/>
  </r>
  <r>
    <x v="106"/>
    <x v="80"/>
    <n v="1.9241999999999999"/>
  </r>
  <r>
    <x v="71"/>
    <x v="80"/>
    <n v="2.5369999999999999"/>
  </r>
  <r>
    <x v="88"/>
    <x v="80"/>
    <n v="2.9257"/>
  </r>
  <r>
    <x v="35"/>
    <x v="80"/>
    <n v="1.9452"/>
  </r>
  <r>
    <x v="64"/>
    <x v="80"/>
    <n v="2.3134000000000001"/>
  </r>
  <r>
    <x v="51"/>
    <x v="80"/>
    <n v="2.4039000000000001"/>
  </r>
  <r>
    <x v="39"/>
    <x v="80"/>
    <n v="3.3393999999999999"/>
  </r>
  <r>
    <x v="94"/>
    <x v="80"/>
    <n v="2.2000000000000002"/>
  </r>
  <r>
    <x v="79"/>
    <x v="80"/>
    <n v="1.4447000000000001"/>
  </r>
  <r>
    <x v="20"/>
    <x v="80"/>
    <n v="2.7019000000000002"/>
  </r>
  <r>
    <x v="3"/>
    <x v="80"/>
    <n v="1.4883999999999999"/>
  </r>
  <r>
    <x v="29"/>
    <x v="80"/>
    <n v="2.9937999999999998"/>
  </r>
  <r>
    <x v="77"/>
    <x v="80"/>
    <n v="3.1642999999999999"/>
  </r>
  <r>
    <x v="73"/>
    <x v="80"/>
    <n v="3.1436999999999999"/>
  </r>
  <r>
    <x v="54"/>
    <x v="80"/>
    <n v="2.7948"/>
  </r>
  <r>
    <x v="82"/>
    <x v="81"/>
    <n v="2.3224999999999998"/>
  </r>
  <r>
    <x v="102"/>
    <x v="81"/>
    <n v="2.8485"/>
  </r>
  <r>
    <x v="9"/>
    <x v="81"/>
    <n v="2.4605999999999999"/>
  </r>
  <r>
    <x v="5"/>
    <x v="81"/>
    <n v="2.4121999999999999"/>
  </r>
  <r>
    <x v="0"/>
    <x v="81"/>
    <n v="2.7227000000000001"/>
  </r>
  <r>
    <x v="84"/>
    <x v="81"/>
    <n v="2.7530000000000001"/>
  </r>
  <r>
    <x v="1"/>
    <x v="81"/>
    <n v="3.3089"/>
  </r>
  <r>
    <x v="42"/>
    <x v="81"/>
    <n v="1.8527"/>
  </r>
  <r>
    <x v="33"/>
    <x v="81"/>
    <n v="2.2513000000000001"/>
  </r>
  <r>
    <x v="47"/>
    <x v="81"/>
    <n v="2.8144999999999998"/>
  </r>
  <r>
    <x v="72"/>
    <x v="81"/>
    <n v="2.1696"/>
  </r>
  <r>
    <x v="114"/>
    <x v="81"/>
    <n v="2.7019000000000002"/>
  </r>
  <r>
    <x v="10"/>
    <x v="81"/>
    <n v="2.7294999999999998"/>
  </r>
  <r>
    <x v="96"/>
    <x v="82"/>
    <n v="2.4908000000000001"/>
  </r>
  <r>
    <x v="83"/>
    <x v="82"/>
    <n v="1.9968999999999999"/>
  </r>
  <r>
    <x v="26"/>
    <x v="82"/>
    <n v="2.1084999999999998"/>
  </r>
  <r>
    <x v="68"/>
    <x v="83"/>
    <n v="2.4977999999999998"/>
  </r>
  <r>
    <x v="32"/>
    <x v="83"/>
    <n v="3.7122000000000002"/>
  </r>
  <r>
    <x v="22"/>
    <x v="83"/>
    <n v="2.5981000000000001"/>
  </r>
  <r>
    <x v="13"/>
    <x v="83"/>
    <n v="2.5992999999999999"/>
  </r>
  <r>
    <x v="20"/>
    <x v="84"/>
    <n v="2.5577999999999999"/>
  </r>
  <r>
    <x v="61"/>
    <x v="84"/>
    <n v="1.9665999999999999"/>
  </r>
  <r>
    <x v="79"/>
    <x v="84"/>
    <n v="1.8340000000000001"/>
  </r>
  <r>
    <x v="17"/>
    <x v="84"/>
    <n v="1.7229000000000001"/>
  </r>
  <r>
    <x v="11"/>
    <x v="84"/>
    <n v="2.4060999999999999"/>
  </r>
  <r>
    <x v="7"/>
    <x v="84"/>
    <n v="2.8"/>
  </r>
  <r>
    <x v="77"/>
    <x v="84"/>
    <n v="2.4655"/>
  </r>
  <r>
    <x v="27"/>
    <x v="84"/>
    <n v="2.2416"/>
  </r>
  <r>
    <x v="70"/>
    <x v="84"/>
    <n v="2.5369999999999999"/>
  </r>
  <r>
    <x v="75"/>
    <x v="84"/>
    <n v="2.1800999999999999"/>
  </r>
  <r>
    <x v="66"/>
    <x v="84"/>
    <n v="1.8204"/>
  </r>
  <r>
    <x v="63"/>
    <x v="84"/>
    <n v="2.3126000000000002"/>
  </r>
  <r>
    <x v="1"/>
    <x v="84"/>
    <n v="2.9485000000000001"/>
  </r>
  <r>
    <x v="51"/>
    <x v="84"/>
    <n v="2.3730000000000002"/>
  </r>
  <r>
    <x v="71"/>
    <x v="84"/>
    <n v="2.5369999999999999"/>
  </r>
  <r>
    <x v="93"/>
    <x v="84"/>
    <n v="2.3125"/>
  </r>
  <r>
    <x v="69"/>
    <x v="84"/>
    <n v="2.2416"/>
  </r>
  <r>
    <x v="0"/>
    <x v="84"/>
    <n v="2.3340000000000001"/>
  </r>
  <r>
    <x v="29"/>
    <x v="84"/>
    <n v="3.2570000000000001"/>
  </r>
  <r>
    <x v="104"/>
    <x v="84"/>
    <n v="2.3500999999999999"/>
  </r>
  <r>
    <x v="56"/>
    <x v="84"/>
    <n v="2.4965999999999999"/>
  </r>
  <r>
    <x v="3"/>
    <x v="84"/>
    <n v="1.5085999999999999"/>
  </r>
  <r>
    <x v="118"/>
    <x v="84"/>
    <n v="1.9556"/>
  </r>
  <r>
    <x v="106"/>
    <x v="85"/>
    <n v="1.7008000000000001"/>
  </r>
  <r>
    <x v="59"/>
    <x v="85"/>
    <n v="3.5943000000000001"/>
  </r>
  <r>
    <x v="46"/>
    <x v="85"/>
    <n v="2.6598999999999999"/>
  </r>
  <r>
    <x v="6"/>
    <x v="85"/>
    <n v="1.8130999999999999"/>
  </r>
  <r>
    <x v="23"/>
    <x v="86"/>
    <n v="2.2000000000000002"/>
  </r>
  <r>
    <x v="72"/>
    <x v="86"/>
    <n v="2.3188"/>
  </r>
  <r>
    <x v="39"/>
    <x v="86"/>
    <n v="2.8149000000000002"/>
  </r>
  <r>
    <x v="31"/>
    <x v="86"/>
    <n v="1.528"/>
  </r>
  <r>
    <x v="42"/>
    <x v="86"/>
    <n v="1.6093999999999999"/>
  </r>
  <r>
    <x v="8"/>
    <x v="86"/>
    <n v="2.6817000000000002"/>
  </r>
  <r>
    <x v="22"/>
    <x v="86"/>
    <n v="2.5167000000000002"/>
  </r>
  <r>
    <x v="43"/>
    <x v="86"/>
    <n v="2.9485000000000001"/>
  </r>
  <r>
    <x v="116"/>
    <x v="86"/>
    <n v="3"/>
  </r>
  <r>
    <x v="97"/>
    <x v="87"/>
    <n v="3.0310999999999999"/>
  </r>
  <r>
    <x v="36"/>
    <x v="87"/>
    <n v="2.0379"/>
  </r>
  <r>
    <x v="31"/>
    <x v="87"/>
    <n v="2.4146999999999998"/>
  </r>
  <r>
    <x v="44"/>
    <x v="87"/>
    <n v="3.1"/>
  </r>
  <r>
    <x v="109"/>
    <x v="87"/>
    <n v="3.0306000000000002"/>
  </r>
  <r>
    <x v="28"/>
    <x v="87"/>
    <n v="2.3439999999999999"/>
  </r>
  <r>
    <x v="111"/>
    <x v="87"/>
    <n v="3"/>
  </r>
  <r>
    <x v="11"/>
    <x v="87"/>
    <n v="2.3056999999999999"/>
  </r>
  <r>
    <x v="37"/>
    <x v="87"/>
    <n v="2.9691999999999998"/>
  </r>
  <r>
    <x v="10"/>
    <x v="87"/>
    <n v="2.7202000000000002"/>
  </r>
  <r>
    <x v="19"/>
    <x v="87"/>
    <n v="2.3136999999999999"/>
  </r>
  <r>
    <x v="7"/>
    <x v="88"/>
    <n v="2.5"/>
  </r>
  <r>
    <x v="112"/>
    <x v="88"/>
    <n v="1.6006"/>
  </r>
  <r>
    <x v="69"/>
    <x v="88"/>
    <n v="2.0375999999999999"/>
  </r>
  <r>
    <x v="60"/>
    <x v="88"/>
    <n v="1.0727"/>
  </r>
  <r>
    <x v="38"/>
    <x v="88"/>
    <n v="1.6901999999999999"/>
  </r>
  <r>
    <x v="32"/>
    <x v="88"/>
    <n v="3.7088000000000001"/>
  </r>
  <r>
    <x v="26"/>
    <x v="88"/>
    <n v="2.0876999999999999"/>
  </r>
  <r>
    <x v="20"/>
    <x v="88"/>
    <n v="2.3531"/>
  </r>
  <r>
    <x v="90"/>
    <x v="88"/>
    <n v="2.9055"/>
  </r>
  <r>
    <x v="2"/>
    <x v="88"/>
    <n v="1.9746999999999999"/>
  </r>
  <r>
    <x v="80"/>
    <x v="88"/>
    <n v="2.7216"/>
  </r>
  <r>
    <x v="1"/>
    <x v="88"/>
    <n v="2.9380999999999999"/>
  </r>
  <r>
    <x v="96"/>
    <x v="88"/>
    <n v="2.1566000000000001"/>
  </r>
  <r>
    <x v="3"/>
    <x v="88"/>
    <n v="1.468"/>
  </r>
  <r>
    <x v="106"/>
    <x v="88"/>
    <n v="1.7009000000000001"/>
  </r>
  <r>
    <x v="0"/>
    <x v="88"/>
    <n v="1.8846000000000001"/>
  </r>
  <r>
    <x v="85"/>
    <x v="89"/>
    <n v="3.0613000000000001"/>
  </r>
  <r>
    <x v="82"/>
    <x v="89"/>
    <n v="1.8541000000000001"/>
  </r>
  <r>
    <x v="77"/>
    <x v="89"/>
    <n v="2.4552"/>
  </r>
  <r>
    <x v="71"/>
    <x v="89"/>
    <n v="2.4716999999999998"/>
  </r>
  <r>
    <x v="7"/>
    <x v="89"/>
    <n v="2.1"/>
  </r>
  <r>
    <x v="21"/>
    <x v="89"/>
    <n v="2.5064000000000002"/>
  </r>
  <r>
    <x v="28"/>
    <x v="89"/>
    <n v="2.1293000000000002"/>
  </r>
  <r>
    <x v="11"/>
    <x v="89"/>
    <n v="2.3018999999999998"/>
  </r>
  <r>
    <x v="87"/>
    <x v="89"/>
    <n v="2.9998999999999998"/>
  </r>
  <r>
    <x v="4"/>
    <x v="90"/>
    <n v="2.4866000000000001"/>
  </r>
  <r>
    <x v="10"/>
    <x v="90"/>
    <n v="2.33"/>
  </r>
  <r>
    <x v="14"/>
    <x v="90"/>
    <n v="2.2107000000000001"/>
  </r>
  <r>
    <x v="8"/>
    <x v="90"/>
    <n v="2.2621000000000002"/>
  </r>
  <r>
    <x v="31"/>
    <x v="90"/>
    <n v="1.5075000000000001"/>
  </r>
  <r>
    <x v="60"/>
    <x v="90"/>
    <n v="1.2245999999999999"/>
  </r>
  <r>
    <x v="107"/>
    <x v="90"/>
    <n v="2.2012999999999998"/>
  </r>
  <r>
    <x v="7"/>
    <x v="90"/>
    <n v="2.1"/>
  </r>
  <r>
    <x v="103"/>
    <x v="90"/>
    <n v="3"/>
  </r>
  <r>
    <x v="75"/>
    <x v="90"/>
    <n v="1.9142999999999999"/>
  </r>
  <r>
    <x v="20"/>
    <x v="91"/>
    <n v="2.2507999999999999"/>
  </r>
  <r>
    <x v="45"/>
    <x v="91"/>
    <n v="1.3248"/>
  </r>
  <r>
    <x v="71"/>
    <x v="91"/>
    <n v="2.4443999999999999"/>
  </r>
  <r>
    <x v="9"/>
    <x v="91"/>
    <n v="1.8331"/>
  </r>
  <r>
    <x v="37"/>
    <x v="91"/>
    <n v="2.6301999999999999"/>
  </r>
  <r>
    <x v="49"/>
    <x v="91"/>
    <n v="2.3742999999999999"/>
  </r>
  <r>
    <x v="12"/>
    <x v="91"/>
    <n v="2.8856999999999999"/>
  </r>
  <r>
    <x v="113"/>
    <x v="91"/>
    <n v="2.3536000000000001"/>
  </r>
  <r>
    <x v="117"/>
    <x v="91"/>
    <n v="1.7024999999999999"/>
  </r>
  <r>
    <x v="6"/>
    <x v="91"/>
    <n v="1.8019000000000001"/>
  </r>
  <r>
    <x v="16"/>
    <x v="92"/>
    <n v="2.3313999999999999"/>
  </r>
  <r>
    <x v="5"/>
    <x v="92"/>
    <n v="2.3815"/>
  </r>
  <r>
    <x v="68"/>
    <x v="92"/>
    <n v="2.2925"/>
  </r>
  <r>
    <x v="63"/>
    <x v="92"/>
    <n v="1.9444999999999999"/>
  </r>
  <r>
    <x v="115"/>
    <x v="92"/>
    <n v="1.6692"/>
  </r>
  <r>
    <x v="41"/>
    <x v="92"/>
    <n v="2.1280000000000001"/>
  </r>
  <r>
    <x v="40"/>
    <x v="92"/>
    <n v="1.3554999999999999"/>
  </r>
  <r>
    <x v="0"/>
    <x v="93"/>
    <n v="1.6395"/>
  </r>
  <r>
    <x v="9"/>
    <x v="93"/>
    <n v="1.8224"/>
  </r>
  <r>
    <x v="18"/>
    <x v="93"/>
    <n v="1.5893999999999999"/>
  </r>
  <r>
    <x v="28"/>
    <x v="93"/>
    <n v="2.1804000000000001"/>
  </r>
  <r>
    <x v="49"/>
    <x v="93"/>
    <n v="2.3742999999999999"/>
  </r>
  <r>
    <x v="55"/>
    <x v="93"/>
    <n v="1.3751"/>
  </r>
  <r>
    <x v="54"/>
    <x v="93"/>
    <n v="2.4565000000000001"/>
  </r>
  <r>
    <x v="109"/>
    <x v="93"/>
    <n v="2.7942999999999998"/>
  </r>
  <r>
    <x v="106"/>
    <x v="93"/>
    <n v="1.7212000000000001"/>
  </r>
  <r>
    <x v="37"/>
    <x v="93"/>
    <n v="2.4466000000000001"/>
  </r>
  <r>
    <x v="5"/>
    <x v="93"/>
    <n v="2.1092"/>
  </r>
  <r>
    <x v="13"/>
    <x v="93"/>
    <n v="2.0167000000000002"/>
  </r>
  <r>
    <x v="59"/>
    <x v="93"/>
    <n v="2.5305"/>
  </r>
  <r>
    <x v="1"/>
    <x v="93"/>
    <n v="2.9380999999999999"/>
  </r>
  <r>
    <x v="20"/>
    <x v="93"/>
    <n v="2.2917999999999998"/>
  </r>
  <r>
    <x v="62"/>
    <x v="93"/>
    <n v="2.09"/>
  </r>
  <r>
    <x v="81"/>
    <x v="93"/>
    <n v="2.3018000000000001"/>
  </r>
  <r>
    <x v="115"/>
    <x v="93"/>
    <n v="1.6588000000000001"/>
  </r>
  <r>
    <x v="93"/>
    <x v="93"/>
    <n v="2.6040999999999999"/>
  </r>
  <r>
    <x v="51"/>
    <x v="93"/>
    <n v="2.1888000000000001"/>
  </r>
  <r>
    <x v="69"/>
    <x v="93"/>
    <n v="1.9446000000000001"/>
  </r>
  <r>
    <x v="60"/>
    <x v="93"/>
    <n v="1.1738"/>
  </r>
  <r>
    <x v="57"/>
    <x v="93"/>
    <n v="1.5075000000000001"/>
  </r>
  <r>
    <x v="84"/>
    <x v="93"/>
    <n v="2.2603"/>
  </r>
  <r>
    <x v="48"/>
    <x v="93"/>
    <n v="2.25"/>
  </r>
  <r>
    <x v="26"/>
    <x v="93"/>
    <n v="1.9139999999999999"/>
  </r>
  <r>
    <x v="70"/>
    <x v="93"/>
    <n v="2.1798000000000002"/>
  </r>
  <r>
    <x v="30"/>
    <x v="93"/>
    <n v="1.7547999999999999"/>
  </r>
  <r>
    <x v="71"/>
    <x v="93"/>
    <n v="2.4234"/>
  </r>
  <r>
    <x v="47"/>
    <x v="93"/>
    <n v="2.1179999999999999"/>
  </r>
  <r>
    <x v="66"/>
    <x v="93"/>
    <n v="2.2258"/>
  </r>
  <r>
    <x v="33"/>
    <x v="93"/>
    <n v="2.2399"/>
  </r>
  <r>
    <x v="77"/>
    <x v="93"/>
    <n v="2.4552"/>
  </r>
  <r>
    <x v="36"/>
    <x v="93"/>
    <n v="1.8331"/>
  </r>
  <r>
    <x v="40"/>
    <x v="93"/>
    <n v="1.264"/>
  </r>
  <r>
    <x v="80"/>
    <x v="93"/>
    <n v="2.3933"/>
  </r>
  <r>
    <x v="45"/>
    <x v="93"/>
    <n v="1.1324000000000001"/>
  </r>
  <r>
    <x v="39"/>
    <x v="93"/>
    <n v="2.5893000000000002"/>
  </r>
  <r>
    <x v="46"/>
    <x v="93"/>
    <n v="2.2804000000000002"/>
  </r>
  <r>
    <x v="78"/>
    <x v="93"/>
    <n v="2.4409999999999998"/>
  </r>
  <r>
    <x v="76"/>
    <x v="93"/>
    <n v="2.2000000000000002"/>
  </r>
  <r>
    <x v="64"/>
    <x v="93"/>
    <n v="1.7623"/>
  </r>
  <r>
    <x v="58"/>
    <x v="93"/>
    <n v="1.8728"/>
  </r>
  <r>
    <x v="52"/>
    <x v="93"/>
    <n v="1.5588"/>
  </r>
  <r>
    <x v="56"/>
    <x v="93"/>
    <n v="1.8734999999999999"/>
  </r>
  <r>
    <x v="63"/>
    <x v="93"/>
    <n v="2.0568"/>
  </r>
  <r>
    <x v="3"/>
    <x v="93"/>
    <n v="1.3960999999999999"/>
  </r>
  <r>
    <x v="38"/>
    <x v="93"/>
    <n v="1.6088"/>
  </r>
  <r>
    <x v="89"/>
    <x v="93"/>
    <n v="1.7722"/>
  </r>
  <r>
    <x v="58"/>
    <x v="94"/>
    <n v="1.8728"/>
  </r>
  <r>
    <x v="24"/>
    <x v="94"/>
    <n v="1.3635999999999999"/>
  </r>
  <r>
    <x v="82"/>
    <x v="94"/>
    <n v="1.722"/>
  </r>
  <r>
    <x v="7"/>
    <x v="94"/>
    <n v="2.1"/>
  </r>
  <r>
    <x v="31"/>
    <x v="94"/>
    <n v="1.4871000000000001"/>
  </r>
  <r>
    <x v="8"/>
    <x v="94"/>
    <n v="1.9248000000000001"/>
  </r>
  <r>
    <x v="22"/>
    <x v="94"/>
    <n v="2.4451000000000001"/>
  </r>
  <r>
    <x v="53"/>
    <x v="94"/>
    <n v="2.48"/>
  </r>
  <r>
    <x v="86"/>
    <x v="94"/>
    <n v="2.4651000000000001"/>
  </r>
  <r>
    <x v="34"/>
    <x v="95"/>
    <n v="1.9039999999999999"/>
  </r>
  <r>
    <x v="117"/>
    <x v="95"/>
    <n v="0.95279999999999998"/>
  </r>
  <r>
    <x v="28"/>
    <x v="95"/>
    <n v="2.0985999999999998"/>
  </r>
  <r>
    <x v="20"/>
    <x v="95"/>
    <n v="2.1585000000000001"/>
  </r>
  <r>
    <x v="3"/>
    <x v="95"/>
    <n v="1.2844"/>
  </r>
  <r>
    <x v="118"/>
    <x v="96"/>
    <n v="1.8733"/>
  </r>
  <r>
    <x v="79"/>
    <x v="96"/>
    <n v="1.4155"/>
  </r>
  <r>
    <x v="32"/>
    <x v="96"/>
    <n v="3.7088000000000001"/>
  </r>
  <r>
    <x v="31"/>
    <x v="96"/>
    <n v="1.3027"/>
  </r>
  <r>
    <x v="71"/>
    <x v="96"/>
    <n v="2.2496999999999998"/>
  </r>
  <r>
    <x v="10"/>
    <x v="96"/>
    <n v="2.2555999999999998"/>
  </r>
  <r>
    <x v="73"/>
    <x v="96"/>
    <n v="2.4857"/>
  </r>
  <r>
    <x v="72"/>
    <x v="96"/>
    <n v="2.2715000000000001"/>
  </r>
  <r>
    <x v="119"/>
    <x v="96"/>
    <n v="1.6"/>
  </r>
  <r>
    <x v="19"/>
    <x v="97"/>
    <n v="2.2932999999999999"/>
  </r>
  <r>
    <x v="39"/>
    <x v="97"/>
    <n v="2.5893000000000002"/>
  </r>
  <r>
    <x v="77"/>
    <x v="97"/>
    <n v="2.4552"/>
  </r>
  <r>
    <x v="66"/>
    <x v="97"/>
    <n v="1.8976"/>
  </r>
  <r>
    <x v="1"/>
    <x v="97"/>
    <n v="2.9380999999999999"/>
  </r>
  <r>
    <x v="29"/>
    <x v="97"/>
    <n v="2.4355000000000002"/>
  </r>
  <r>
    <x v="59"/>
    <x v="97"/>
    <n v="2.5"/>
  </r>
  <r>
    <x v="71"/>
    <x v="97"/>
    <n v="2.2496999999999998"/>
  </r>
  <r>
    <x v="3"/>
    <x v="97"/>
    <n v="1.2844"/>
  </r>
  <r>
    <x v="75"/>
    <x v="97"/>
    <n v="1.8628"/>
  </r>
  <r>
    <x v="82"/>
    <x v="98"/>
    <n v="1.6405000000000001"/>
  </r>
  <r>
    <x v="8"/>
    <x v="98"/>
    <n v="1.9238999999999999"/>
  </r>
  <r>
    <x v="6"/>
    <x v="98"/>
    <n v="1.8019000000000001"/>
  </r>
  <r>
    <x v="99"/>
    <x v="98"/>
    <n v="1.4046000000000001"/>
  </r>
  <r>
    <x v="32"/>
    <x v="98"/>
    <n v="3.1511999999999998"/>
  </r>
  <r>
    <x v="96"/>
    <x v="98"/>
    <n v="1.5598000000000001"/>
  </r>
  <r>
    <x v="47"/>
    <x v="98"/>
    <n v="1.9959"/>
  </r>
  <r>
    <x v="11"/>
    <x v="98"/>
    <n v="1.897"/>
  </r>
  <r>
    <x v="10"/>
    <x v="98"/>
    <n v="2.1640000000000001"/>
  </r>
  <r>
    <x v="92"/>
    <x v="98"/>
    <n v="1.2746"/>
  </r>
  <r>
    <x v="53"/>
    <x v="99"/>
    <n v="2.48"/>
  </r>
  <r>
    <x v="28"/>
    <x v="99"/>
    <n v="2.0169999999999999"/>
  </r>
  <r>
    <x v="44"/>
    <x v="99"/>
    <n v="2.5"/>
  </r>
  <r>
    <x v="114"/>
    <x v="99"/>
    <n v="2.2719"/>
  </r>
  <r>
    <x v="20"/>
    <x v="99"/>
    <n v="1.9033"/>
  </r>
  <r>
    <x v="6"/>
    <x v="99"/>
    <n v="1.7597"/>
  </r>
  <r>
    <x v="72"/>
    <x v="99"/>
    <n v="2.1488"/>
  </r>
  <r>
    <x v="73"/>
    <x v="99"/>
    <n v="2.5880999999999998"/>
  </r>
  <r>
    <x v="20"/>
    <x v="100"/>
    <n v="1.6997"/>
  </r>
  <r>
    <x v="31"/>
    <x v="100"/>
    <n v="1.181"/>
  </r>
  <r>
    <x v="5"/>
    <x v="100"/>
    <n v="1.0295000000000001"/>
  </r>
  <r>
    <x v="35"/>
    <x v="100"/>
    <n v="1.4271"/>
  </r>
  <r>
    <x v="55"/>
    <x v="100"/>
    <n v="0.66659999999999997"/>
  </r>
  <r>
    <x v="79"/>
    <x v="100"/>
    <n v="1.3442000000000001"/>
  </r>
  <r>
    <x v="12"/>
    <x v="100"/>
    <n v="1.9746999999999999"/>
  </r>
  <r>
    <x v="26"/>
    <x v="100"/>
    <n v="1.3243"/>
  </r>
  <r>
    <x v="24"/>
    <x v="100"/>
    <n v="1.1408"/>
  </r>
  <r>
    <x v="0"/>
    <x v="100"/>
    <n v="1.5264"/>
  </r>
  <r>
    <x v="9"/>
    <x v="100"/>
    <n v="1.7693000000000001"/>
  </r>
  <r>
    <x v="22"/>
    <x v="101"/>
    <n v="2.1678999999999999"/>
  </r>
  <r>
    <x v="51"/>
    <x v="101"/>
    <n v="1.9224000000000001"/>
  </r>
  <r>
    <x v="9"/>
    <x v="101"/>
    <n v="1.6876"/>
  </r>
  <r>
    <x v="85"/>
    <x v="101"/>
    <n v="2.2787000000000002"/>
  </r>
  <r>
    <x v="5"/>
    <x v="101"/>
    <n v="1.0295000000000001"/>
  </r>
  <r>
    <x v="115"/>
    <x v="101"/>
    <n v="1.202"/>
  </r>
  <r>
    <x v="99"/>
    <x v="101"/>
    <n v="1.181"/>
  </r>
  <r>
    <x v="28"/>
    <x v="101"/>
    <n v="1.9455"/>
  </r>
  <r>
    <x v="69"/>
    <x v="101"/>
    <n v="1.3413999999999999"/>
  </r>
  <r>
    <x v="37"/>
    <x v="101"/>
    <n v="2.1981000000000002"/>
  </r>
  <r>
    <x v="41"/>
    <x v="101"/>
    <n v="1.8413999999999999"/>
  </r>
  <r>
    <x v="70"/>
    <x v="101"/>
    <n v="1.8211999999999999"/>
  </r>
  <r>
    <x v="29"/>
    <x v="101"/>
    <n v="1.6432"/>
  </r>
  <r>
    <x v="48"/>
    <x v="101"/>
    <n v="2"/>
  </r>
  <r>
    <x v="63"/>
    <x v="101"/>
    <n v="1.9941"/>
  </r>
  <r>
    <x v="60"/>
    <x v="101"/>
    <n v="1.2736000000000001"/>
  </r>
  <r>
    <x v="46"/>
    <x v="101"/>
    <n v="1.9634"/>
  </r>
  <r>
    <x v="94"/>
    <x v="101"/>
    <n v="1.4"/>
  </r>
  <r>
    <x v="49"/>
    <x v="101"/>
    <n v="2.3618000000000001"/>
  </r>
  <r>
    <x v="55"/>
    <x v="101"/>
    <n v="0.67669999999999997"/>
  </r>
  <r>
    <x v="20"/>
    <x v="101"/>
    <n v="1.5670999999999999"/>
  </r>
  <r>
    <x v="35"/>
    <x v="101"/>
    <n v="1.5585"/>
  </r>
  <r>
    <x v="76"/>
    <x v="101"/>
    <n v="2.16"/>
  </r>
  <r>
    <x v="78"/>
    <x v="101"/>
    <n v="2.2151000000000001"/>
  </r>
  <r>
    <x v="93"/>
    <x v="101"/>
    <n v="2.6088"/>
  </r>
  <r>
    <x v="36"/>
    <x v="101"/>
    <n v="1.5474000000000001"/>
  </r>
  <r>
    <x v="64"/>
    <x v="101"/>
    <n v="1.4970000000000001"/>
  </r>
  <r>
    <x v="119"/>
    <x v="101"/>
    <n v="1.4"/>
  </r>
  <r>
    <x v="75"/>
    <x v="101"/>
    <n v="1.7302999999999999"/>
  </r>
  <r>
    <x v="84"/>
    <x v="101"/>
    <n v="1.6375"/>
  </r>
  <r>
    <x v="45"/>
    <x v="101"/>
    <n v="1.2622"/>
  </r>
  <r>
    <x v="30"/>
    <x v="101"/>
    <n v="1.4257"/>
  </r>
  <r>
    <x v="52"/>
    <x v="101"/>
    <n v="1.3554999999999999"/>
  </r>
  <r>
    <x v="40"/>
    <x v="101"/>
    <n v="0.8891"/>
  </r>
  <r>
    <x v="50"/>
    <x v="101"/>
    <n v="2.7738"/>
  </r>
  <r>
    <x v="56"/>
    <x v="101"/>
    <n v="1.4765999999999999"/>
  </r>
  <r>
    <x v="58"/>
    <x v="101"/>
    <n v="1.8821000000000001"/>
  </r>
  <r>
    <x v="81"/>
    <x v="101"/>
    <n v="2.1574"/>
  </r>
  <r>
    <x v="16"/>
    <x v="101"/>
    <n v="1.7995000000000001"/>
  </r>
  <r>
    <x v="57"/>
    <x v="101"/>
    <n v="0.98"/>
  </r>
  <r>
    <x v="54"/>
    <x v="101"/>
    <n v="2.3536000000000001"/>
  </r>
  <r>
    <x v="0"/>
    <x v="101"/>
    <n v="1.5971"/>
  </r>
  <r>
    <x v="18"/>
    <x v="101"/>
    <n v="1.1938"/>
  </r>
  <r>
    <x v="89"/>
    <x v="101"/>
    <n v="1.5777000000000001"/>
  </r>
  <r>
    <x v="38"/>
    <x v="101"/>
    <n v="1.4458"/>
  </r>
  <r>
    <x v="8"/>
    <x v="101"/>
    <n v="1.8935999999999999"/>
  </r>
  <r>
    <x v="80"/>
    <x v="101"/>
    <n v="2.2494000000000001"/>
  </r>
  <r>
    <x v="102"/>
    <x v="101"/>
    <n v="2.1720999999999999"/>
  </r>
  <r>
    <x v="14"/>
    <x v="102"/>
    <n v="1.8024"/>
  </r>
  <r>
    <x v="7"/>
    <x v="102"/>
    <n v="2"/>
  </r>
  <r>
    <x v="119"/>
    <x v="102"/>
    <n v="1.4"/>
  </r>
  <r>
    <x v="82"/>
    <x v="102"/>
    <n v="1.5382"/>
  </r>
  <r>
    <x v="33"/>
    <x v="102"/>
    <n v="1.8512"/>
  </r>
  <r>
    <x v="111"/>
    <x v="102"/>
    <n v="2.5"/>
  </r>
  <r>
    <x v="88"/>
    <x v="102"/>
    <n v="2.3365999999999998"/>
  </r>
  <r>
    <x v="109"/>
    <x v="102"/>
    <n v="2.5888"/>
  </r>
  <r>
    <x v="11"/>
    <x v="102"/>
    <n v="1.6357999999999999"/>
  </r>
  <r>
    <x v="86"/>
    <x v="102"/>
    <n v="2.1884999999999999"/>
  </r>
  <r>
    <x v="21"/>
    <x v="102"/>
    <n v="2.25"/>
  </r>
  <r>
    <x v="10"/>
    <x v="102"/>
    <n v="1.8420000000000001"/>
  </r>
  <r>
    <x v="32"/>
    <x v="103"/>
    <n v="3.0823"/>
  </r>
  <r>
    <x v="116"/>
    <x v="103"/>
    <n v="2.57"/>
  </r>
  <r>
    <x v="17"/>
    <x v="103"/>
    <n v="0.97250000000000003"/>
  </r>
  <r>
    <x v="27"/>
    <x v="104"/>
    <n v="1.0719000000000001"/>
  </r>
  <r>
    <x v="44"/>
    <x v="104"/>
    <n v="2.5"/>
  </r>
  <r>
    <x v="7"/>
    <x v="104"/>
    <n v="2"/>
  </r>
  <r>
    <x v="6"/>
    <x v="104"/>
    <n v="1.1021000000000001"/>
  </r>
  <r>
    <x v="118"/>
    <x v="105"/>
    <n v="2.1476999999999999"/>
  </r>
  <r>
    <x v="83"/>
    <x v="105"/>
    <n v="1.6812"/>
  </r>
  <r>
    <x v="32"/>
    <x v="105"/>
    <n v="2.9738000000000002"/>
  </r>
  <r>
    <x v="42"/>
    <x v="105"/>
    <n v="1.3244"/>
  </r>
  <r>
    <x v="21"/>
    <x v="105"/>
    <n v="1.7101"/>
  </r>
  <r>
    <x v="109"/>
    <x v="106"/>
    <n v="2.5888"/>
  </r>
  <r>
    <x v="2"/>
    <x v="106"/>
    <n v="1.9742999999999999"/>
  </r>
  <r>
    <x v="86"/>
    <x v="106"/>
    <n v="1.9735"/>
  </r>
  <r>
    <x v="71"/>
    <x v="106"/>
    <n v="1.3759999999999999"/>
  </r>
  <r>
    <x v="13"/>
    <x v="106"/>
    <n v="1.4766999999999999"/>
  </r>
  <r>
    <x v="28"/>
    <x v="106"/>
    <n v="0.84989999999999999"/>
  </r>
  <r>
    <x v="14"/>
    <x v="106"/>
    <n v="1.3039000000000001"/>
  </r>
  <r>
    <x v="20"/>
    <x v="106"/>
    <n v="1.5168999999999999"/>
  </r>
  <r>
    <x v="66"/>
    <x v="106"/>
    <n v="1.8625"/>
  </r>
  <r>
    <x v="59"/>
    <x v="106"/>
    <n v="1.6933"/>
  </r>
  <r>
    <x v="77"/>
    <x v="106"/>
    <n v="1.9843999999999999"/>
  </r>
  <r>
    <x v="0"/>
    <x v="106"/>
    <n v="1.1830000000000001"/>
  </r>
  <r>
    <x v="32"/>
    <x v="106"/>
    <n v="2.637"/>
  </r>
  <r>
    <x v="80"/>
    <x v="106"/>
    <n v="2.2595999999999998"/>
  </r>
  <r>
    <x v="38"/>
    <x v="106"/>
    <n v="1.4155"/>
  </r>
  <r>
    <x v="90"/>
    <x v="106"/>
    <n v="2.0047000000000001"/>
  </r>
  <r>
    <x v="73"/>
    <x v="106"/>
    <n v="2.0350999999999999"/>
  </r>
  <r>
    <x v="75"/>
    <x v="106"/>
    <n v="1.6082000000000001"/>
  </r>
  <r>
    <x v="46"/>
    <x v="106"/>
    <n v="1.9424999999999999"/>
  </r>
  <r>
    <x v="56"/>
    <x v="106"/>
    <n v="1.6392"/>
  </r>
  <r>
    <x v="26"/>
    <x v="106"/>
    <n v="1.2939000000000001"/>
  </r>
  <r>
    <x v="3"/>
    <x v="106"/>
    <n v="0.49730000000000002"/>
  </r>
  <r>
    <x v="94"/>
    <x v="106"/>
    <n v="1.4"/>
  </r>
  <r>
    <x v="69"/>
    <x v="106"/>
    <n v="1.5469999999999999"/>
  </r>
  <r>
    <x v="106"/>
    <x v="106"/>
    <n v="2.2780999999999998"/>
  </r>
  <r>
    <x v="39"/>
    <x v="107"/>
    <n v="1.3873"/>
  </r>
  <r>
    <x v="70"/>
    <x v="107"/>
    <n v="1.6997"/>
  </r>
  <r>
    <x v="107"/>
    <x v="107"/>
    <n v="1.2272000000000001"/>
  </r>
  <r>
    <x v="79"/>
    <x v="107"/>
    <n v="1.2325999999999999"/>
  </r>
  <r>
    <x v="18"/>
    <x v="107"/>
    <n v="1.204"/>
  </r>
  <r>
    <x v="44"/>
    <x v="107"/>
    <n v="2"/>
  </r>
  <r>
    <x v="12"/>
    <x v="107"/>
    <n v="1.7806999999999999"/>
  </r>
  <r>
    <x v="11"/>
    <x v="107"/>
    <n v="1.5297000000000001"/>
  </r>
  <r>
    <x v="47"/>
    <x v="107"/>
    <n v="1.5177"/>
  </r>
  <r>
    <x v="28"/>
    <x v="107"/>
    <n v="1.0521"/>
  </r>
  <r>
    <x v="19"/>
    <x v="107"/>
    <n v="1.6607000000000001"/>
  </r>
  <r>
    <x v="10"/>
    <x v="107"/>
    <n v="1.7939000000000001"/>
  </r>
  <r>
    <x v="7"/>
    <x v="107"/>
    <n v="1.5"/>
  </r>
  <r>
    <x v="33"/>
    <x v="108"/>
    <n v="1.7591000000000001"/>
  </r>
  <r>
    <x v="70"/>
    <x v="108"/>
    <n v="1.6997"/>
  </r>
  <r>
    <x v="5"/>
    <x v="108"/>
    <n v="1.0221"/>
  </r>
  <r>
    <x v="104"/>
    <x v="108"/>
    <n v="1.6057999999999999"/>
  </r>
  <r>
    <x v="118"/>
    <x v="109"/>
    <n v="1.893"/>
  </r>
  <r>
    <x v="5"/>
    <x v="109"/>
    <n v="1.0221"/>
  </r>
  <r>
    <x v="55"/>
    <x v="109"/>
    <n v="0.72850000000000004"/>
  </r>
  <r>
    <x v="41"/>
    <x v="109"/>
    <n v="1.5431999999999999"/>
  </r>
  <r>
    <x v="31"/>
    <x v="109"/>
    <n v="1.2523"/>
  </r>
  <r>
    <x v="1"/>
    <x v="109"/>
    <n v="2.7494999999999998"/>
  </r>
  <r>
    <x v="104"/>
    <x v="109"/>
    <n v="1.6057999999999999"/>
  </r>
  <r>
    <x v="34"/>
    <x v="110"/>
    <n v="1.3554999999999999"/>
  </r>
  <r>
    <x v="40"/>
    <x v="110"/>
    <n v="0.99050000000000005"/>
  </r>
  <r>
    <x v="49"/>
    <x v="110"/>
    <n v="1.5263"/>
  </r>
  <r>
    <x v="117"/>
    <x v="110"/>
    <n v="2.0973000000000002"/>
  </r>
  <r>
    <x v="8"/>
    <x v="110"/>
    <n v="1.6989000000000001"/>
  </r>
  <r>
    <x v="109"/>
    <x v="111"/>
    <n v="1.7806"/>
  </r>
  <r>
    <x v="37"/>
    <x v="111"/>
    <n v="2.1572"/>
  </r>
  <r>
    <x v="54"/>
    <x v="111"/>
    <n v="1.8329"/>
  </r>
  <r>
    <x v="71"/>
    <x v="111"/>
    <n v="1.4467000000000001"/>
  </r>
  <r>
    <x v="77"/>
    <x v="111"/>
    <n v="1.9843999999999999"/>
  </r>
  <r>
    <x v="59"/>
    <x v="111"/>
    <n v="1.5913999999999999"/>
  </r>
  <r>
    <x v="66"/>
    <x v="111"/>
    <n v="1.8625"/>
  </r>
  <r>
    <x v="0"/>
    <x v="111"/>
    <n v="1.1830000000000001"/>
  </r>
  <r>
    <x v="29"/>
    <x v="111"/>
    <n v="1.5806"/>
  </r>
  <r>
    <x v="32"/>
    <x v="111"/>
    <n v="2.6091000000000002"/>
  </r>
  <r>
    <x v="75"/>
    <x v="111"/>
    <n v="1.6487000000000001"/>
  </r>
  <r>
    <x v="6"/>
    <x v="111"/>
    <n v="1.1322000000000001"/>
  </r>
  <r>
    <x v="82"/>
    <x v="111"/>
    <n v="1.4573"/>
  </r>
  <r>
    <x v="69"/>
    <x v="111"/>
    <n v="1.446"/>
  </r>
  <r>
    <x v="73"/>
    <x v="111"/>
    <n v="1.9742999999999999"/>
  </r>
  <r>
    <x v="39"/>
    <x v="111"/>
    <n v="1.3873"/>
  </r>
  <r>
    <x v="63"/>
    <x v="111"/>
    <n v="1.8621000000000001"/>
  </r>
  <r>
    <x v="11"/>
    <x v="111"/>
    <n v="1.5297000000000001"/>
  </r>
  <r>
    <x v="64"/>
    <x v="111"/>
    <n v="1.5073000000000001"/>
  </r>
  <r>
    <x v="45"/>
    <x v="112"/>
    <n v="1.3028999999999999"/>
  </r>
  <r>
    <x v="4"/>
    <x v="112"/>
    <n v="2.2098"/>
  </r>
  <r>
    <x v="0"/>
    <x v="112"/>
    <n v="1.1830000000000001"/>
  </r>
  <r>
    <x v="23"/>
    <x v="112"/>
    <n v="1.9"/>
  </r>
  <r>
    <x v="68"/>
    <x v="112"/>
    <n v="1.3658999999999999"/>
  </r>
  <r>
    <x v="11"/>
    <x v="112"/>
    <n v="1.5297000000000001"/>
  </r>
  <r>
    <x v="10"/>
    <x v="112"/>
    <n v="1.7939000000000001"/>
  </r>
  <r>
    <x v="117"/>
    <x v="113"/>
    <n v="2.0973000000000002"/>
  </r>
  <r>
    <x v="33"/>
    <x v="113"/>
    <n v="1.8507"/>
  </r>
  <r>
    <x v="49"/>
    <x v="113"/>
    <n v="1.5263"/>
  </r>
  <r>
    <x v="79"/>
    <x v="113"/>
    <n v="1.3434999999999999"/>
  </r>
  <r>
    <x v="32"/>
    <x v="114"/>
    <n v="2.6147999999999998"/>
  </r>
  <r>
    <x v="118"/>
    <x v="114"/>
    <n v="1.7199"/>
  </r>
  <r>
    <x v="2"/>
    <x v="114"/>
    <n v="1.4157"/>
  </r>
  <r>
    <x v="6"/>
    <x v="114"/>
    <n v="1.3039000000000001"/>
  </r>
  <r>
    <x v="70"/>
    <x v="115"/>
    <n v="1.7097"/>
  </r>
  <r>
    <x v="5"/>
    <x v="115"/>
    <n v="1.0221"/>
  </r>
  <r>
    <x v="60"/>
    <x v="115"/>
    <n v="1.153"/>
  </r>
  <r>
    <x v="80"/>
    <x v="115"/>
    <n v="2.2595999999999998"/>
  </r>
  <r>
    <x v="53"/>
    <x v="115"/>
    <n v="1.45"/>
  </r>
  <r>
    <x v="9"/>
    <x v="115"/>
    <n v="1.9014"/>
  </r>
  <r>
    <x v="95"/>
    <x v="116"/>
    <n v="1.9943"/>
  </r>
  <r>
    <x v="109"/>
    <x v="116"/>
    <n v="1.7806"/>
  </r>
  <r>
    <x v="21"/>
    <x v="116"/>
    <n v="1.5980000000000001"/>
  </r>
  <r>
    <x v="26"/>
    <x v="116"/>
    <n v="1.3349"/>
  </r>
  <r>
    <x v="28"/>
    <x v="116"/>
    <n v="1.2341"/>
  </r>
  <r>
    <x v="49"/>
    <x v="116"/>
    <n v="1.5263"/>
  </r>
  <r>
    <x v="29"/>
    <x v="116"/>
    <n v="1.597"/>
  </r>
  <r>
    <x v="55"/>
    <x v="116"/>
    <n v="0.67849999999999999"/>
  </r>
  <r>
    <x v="12"/>
    <x v="116"/>
    <n v="1.2939000000000001"/>
  </r>
  <r>
    <x v="77"/>
    <x v="116"/>
    <n v="1.9843999999999999"/>
  </r>
  <r>
    <x v="6"/>
    <x v="116"/>
    <n v="1.1418999999999999"/>
  </r>
  <r>
    <x v="31"/>
    <x v="116"/>
    <n v="1.2939000000000001"/>
  </r>
  <r>
    <x v="59"/>
    <x v="116"/>
    <n v="1.5302"/>
  </r>
  <r>
    <x v="39"/>
    <x v="116"/>
    <n v="1.3873"/>
  </r>
  <r>
    <x v="112"/>
    <x v="116"/>
    <n v="1.0212000000000001"/>
  </r>
  <r>
    <x v="69"/>
    <x v="116"/>
    <n v="1.446"/>
  </r>
  <r>
    <x v="82"/>
    <x v="116"/>
    <n v="1.3759999999999999"/>
  </r>
  <r>
    <x v="51"/>
    <x v="116"/>
    <n v="1.9016"/>
  </r>
  <r>
    <x v="53"/>
    <x v="116"/>
    <n v="1.45"/>
  </r>
  <r>
    <x v="81"/>
    <x v="116"/>
    <n v="1.9431"/>
  </r>
  <r>
    <x v="75"/>
    <x v="116"/>
    <n v="1.7297"/>
  </r>
  <r>
    <x v="1"/>
    <x v="116"/>
    <n v="2.7494999999999998"/>
  </r>
  <r>
    <x v="22"/>
    <x v="116"/>
    <n v="2.0655999999999999"/>
  </r>
  <r>
    <x v="36"/>
    <x v="116"/>
    <n v="1.345"/>
  </r>
  <r>
    <x v="70"/>
    <x v="116"/>
    <n v="1.6587000000000001"/>
  </r>
  <r>
    <x v="3"/>
    <x v="116"/>
    <n v="0.8397"/>
  </r>
  <r>
    <x v="4"/>
    <x v="117"/>
    <n v="1.9737"/>
  </r>
  <r>
    <x v="37"/>
    <x v="117"/>
    <n v="2.1572"/>
  </r>
  <r>
    <x v="33"/>
    <x v="117"/>
    <n v="1.9628000000000001"/>
  </r>
  <r>
    <x v="72"/>
    <x v="117"/>
    <n v="1.8420000000000001"/>
  </r>
  <r>
    <x v="43"/>
    <x v="117"/>
    <n v="0.96160000000000001"/>
  </r>
  <r>
    <x v="108"/>
    <x v="117"/>
    <n v="2.1135999999999999"/>
  </r>
  <r>
    <x v="10"/>
    <x v="117"/>
    <n v="1.6998"/>
  </r>
  <r>
    <x v="92"/>
    <x v="117"/>
    <n v="1.8816999999999999"/>
  </r>
  <r>
    <x v="11"/>
    <x v="117"/>
    <n v="1.3617999999999999"/>
  </r>
  <r>
    <x v="32"/>
    <x v="118"/>
    <n v="2.0575999999999999"/>
  </r>
  <r>
    <x v="24"/>
    <x v="118"/>
    <n v="1.1617999999999999"/>
  </r>
  <r>
    <x v="35"/>
    <x v="118"/>
    <n v="1.0097"/>
  </r>
  <r>
    <x v="111"/>
    <x v="118"/>
    <n v="2"/>
  </r>
  <r>
    <x v="34"/>
    <x v="118"/>
    <n v="1.3248"/>
  </r>
  <r>
    <x v="20"/>
    <x v="118"/>
    <n v="1.5471999999999999"/>
  </r>
  <r>
    <x v="87"/>
    <x v="118"/>
    <n v="2.0554999999999999"/>
  </r>
  <r>
    <x v="71"/>
    <x v="118"/>
    <n v="1.6068"/>
  </r>
  <r>
    <x v="19"/>
    <x v="118"/>
    <n v="1.1327"/>
  </r>
  <r>
    <x v="71"/>
    <x v="119"/>
    <n v="1.5567"/>
  </r>
  <r>
    <x v="106"/>
    <x v="119"/>
    <n v="1.7192000000000001"/>
  </r>
  <r>
    <x v="20"/>
    <x v="119"/>
    <n v="1.5569999999999999"/>
  </r>
  <r>
    <x v="8"/>
    <x v="119"/>
    <n v="1.2937000000000001"/>
  </r>
  <r>
    <x v="3"/>
    <x v="119"/>
    <n v="0.8397"/>
  </r>
  <r>
    <x v="13"/>
    <x v="119"/>
    <n v="1.486"/>
  </r>
  <r>
    <x v="86"/>
    <x v="120"/>
    <n v="1.8304"/>
  </r>
  <r>
    <x v="117"/>
    <x v="120"/>
    <n v="2.0042"/>
  </r>
  <r>
    <x v="35"/>
    <x v="120"/>
    <n v="1.1920999999999999"/>
  </r>
  <r>
    <x v="0"/>
    <x v="120"/>
    <n v="0.9909"/>
  </r>
  <r>
    <x v="21"/>
    <x v="120"/>
    <n v="1.5469999999999999"/>
  </r>
  <r>
    <x v="9"/>
    <x v="121"/>
    <n v="1.9014"/>
  </r>
  <r>
    <x v="39"/>
    <x v="121"/>
    <n v="1.3873"/>
  </r>
  <r>
    <x v="29"/>
    <x v="121"/>
    <n v="1.6334"/>
  </r>
  <r>
    <x v="51"/>
    <x v="121"/>
    <n v="1.8915"/>
  </r>
  <r>
    <x v="32"/>
    <x v="121"/>
    <n v="2.0575999999999999"/>
  </r>
  <r>
    <x v="70"/>
    <x v="121"/>
    <n v="1.7094"/>
  </r>
  <r>
    <x v="30"/>
    <x v="121"/>
    <n v="1.1620999999999999"/>
  </r>
  <r>
    <x v="0"/>
    <x v="121"/>
    <n v="0.75929999999999997"/>
  </r>
  <r>
    <x v="66"/>
    <x v="121"/>
    <n v="1.6664000000000001"/>
  </r>
  <r>
    <x v="3"/>
    <x v="121"/>
    <n v="0.72860000000000003"/>
  </r>
  <r>
    <x v="2"/>
    <x v="121"/>
    <n v="1.3851"/>
  </r>
  <r>
    <x v="2"/>
    <x v="122"/>
    <n v="1.4055"/>
  </r>
  <r>
    <x v="31"/>
    <x v="122"/>
    <n v="1.1624000000000001"/>
  </r>
  <r>
    <x v="77"/>
    <x v="122"/>
    <n v="1.9843999999999999"/>
  </r>
  <r>
    <x v="12"/>
    <x v="122"/>
    <n v="1.1923999999999999"/>
  </r>
  <r>
    <x v="84"/>
    <x v="122"/>
    <n v="1.6375"/>
  </r>
  <r>
    <x v="93"/>
    <x v="122"/>
    <n v="2.1162999999999998"/>
  </r>
  <r>
    <x v="53"/>
    <x v="122"/>
    <n v="1.45"/>
  </r>
  <r>
    <x v="109"/>
    <x v="122"/>
    <n v="1.6988000000000001"/>
  </r>
  <r>
    <x v="11"/>
    <x v="122"/>
    <n v="1.4892000000000001"/>
  </r>
  <r>
    <x v="10"/>
    <x v="122"/>
    <n v="1.6962999999999999"/>
  </r>
  <r>
    <x v="88"/>
    <x v="122"/>
    <n v="1.363"/>
  </r>
  <r>
    <x v="118"/>
    <x v="123"/>
    <n v="1.4359"/>
  </r>
  <r>
    <x v="42"/>
    <x v="123"/>
    <n v="1.5366"/>
  </r>
  <r>
    <x v="68"/>
    <x v="123"/>
    <n v="1.3658999999999999"/>
  </r>
  <r>
    <x v="33"/>
    <x v="123"/>
    <n v="2.0034000000000001"/>
  </r>
  <r>
    <x v="44"/>
    <x v="123"/>
    <n v="1.6"/>
  </r>
  <r>
    <x v="85"/>
    <x v="123"/>
    <n v="1.2629999999999999"/>
  </r>
  <r>
    <x v="83"/>
    <x v="124"/>
    <n v="1.1625000000000001"/>
  </r>
  <r>
    <x v="9"/>
    <x v="124"/>
    <n v="1.9014"/>
  </r>
  <r>
    <x v="28"/>
    <x v="124"/>
    <n v="1.264"/>
  </r>
  <r>
    <x v="116"/>
    <x v="124"/>
    <n v="1.9932000000000001"/>
  </r>
  <r>
    <x v="6"/>
    <x v="124"/>
    <n v="1.1418999999999999"/>
  </r>
  <r>
    <x v="118"/>
    <x v="124"/>
    <n v="1.4358"/>
  </r>
  <r>
    <x v="59"/>
    <x v="125"/>
    <n v="1.5302"/>
  </r>
  <r>
    <x v="48"/>
    <x v="125"/>
    <n v="1.5"/>
  </r>
  <r>
    <x v="7"/>
    <x v="125"/>
    <n v="1.5"/>
  </r>
  <r>
    <x v="5"/>
    <x v="126"/>
    <n v="1.4363999999999999"/>
  </r>
  <r>
    <x v="109"/>
    <x v="126"/>
    <n v="1.6988000000000001"/>
  </r>
  <r>
    <x v="115"/>
    <x v="126"/>
    <n v="1.1311"/>
  </r>
  <r>
    <x v="46"/>
    <x v="126"/>
    <n v="1.8007"/>
  </r>
  <r>
    <x v="66"/>
    <x v="126"/>
    <n v="1.2692000000000001"/>
  </r>
  <r>
    <x v="23"/>
    <x v="126"/>
    <n v="1.6"/>
  </r>
  <r>
    <x v="39"/>
    <x v="126"/>
    <n v="2.1082999999999998"/>
  </r>
  <r>
    <x v="68"/>
    <x v="126"/>
    <n v="1.5161"/>
  </r>
  <r>
    <x v="80"/>
    <x v="126"/>
    <n v="1.9429000000000001"/>
  </r>
  <r>
    <x v="86"/>
    <x v="126"/>
    <n v="1.8304"/>
  </r>
  <r>
    <x v="60"/>
    <x v="126"/>
    <n v="1.0621"/>
  </r>
  <r>
    <x v="32"/>
    <x v="126"/>
    <n v="2.0575999999999999"/>
  </r>
  <r>
    <x v="16"/>
    <x v="126"/>
    <n v="1.8311999999999999"/>
  </r>
  <r>
    <x v="22"/>
    <x v="126"/>
    <n v="1.7804"/>
  </r>
  <r>
    <x v="71"/>
    <x v="126"/>
    <n v="1.5567"/>
  </r>
  <r>
    <x v="77"/>
    <x v="126"/>
    <n v="1.9835"/>
  </r>
  <r>
    <x v="0"/>
    <x v="126"/>
    <n v="0.81979999999999997"/>
  </r>
  <r>
    <x v="6"/>
    <x v="126"/>
    <n v="1.0015000000000001"/>
  </r>
  <r>
    <x v="75"/>
    <x v="126"/>
    <n v="1.5267999999999999"/>
  </r>
  <r>
    <x v="89"/>
    <x v="126"/>
    <n v="1.6682999999999999"/>
  </r>
  <r>
    <x v="73"/>
    <x v="126"/>
    <n v="2.1573000000000002"/>
  </r>
  <r>
    <x v="3"/>
    <x v="126"/>
    <n v="0.72860000000000003"/>
  </r>
  <r>
    <x v="102"/>
    <x v="127"/>
    <n v="1.1783999999999999"/>
  </r>
  <r>
    <x v="31"/>
    <x v="127"/>
    <n v="1.1728000000000001"/>
  </r>
  <r>
    <x v="82"/>
    <x v="127"/>
    <n v="1.5069999999999999"/>
  </r>
  <r>
    <x v="20"/>
    <x v="127"/>
    <n v="1.5470999999999999"/>
  </r>
  <r>
    <x v="33"/>
    <x v="127"/>
    <n v="2.0034000000000001"/>
  </r>
  <r>
    <x v="11"/>
    <x v="127"/>
    <n v="1.4323999999999999"/>
  </r>
  <r>
    <x v="47"/>
    <x v="127"/>
    <n v="1.4962"/>
  </r>
  <r>
    <x v="79"/>
    <x v="128"/>
    <n v="1.5971"/>
  </r>
  <r>
    <x v="35"/>
    <x v="128"/>
    <n v="1.3849"/>
  </r>
  <r>
    <x v="10"/>
    <x v="128"/>
    <n v="1.9549000000000001"/>
  </r>
  <r>
    <x v="17"/>
    <x v="128"/>
    <n v="0.96240000000000003"/>
  </r>
  <r>
    <x v="24"/>
    <x v="128"/>
    <n v="1.1617"/>
  </r>
  <r>
    <x v="85"/>
    <x v="128"/>
    <n v="1.2629999999999999"/>
  </r>
  <r>
    <x v="27"/>
    <x v="128"/>
    <n v="1.5478000000000001"/>
  </r>
  <r>
    <x v="97"/>
    <x v="128"/>
    <n v="1.4972000000000001"/>
  </r>
  <r>
    <x v="35"/>
    <x v="129"/>
    <n v="1.6085"/>
  </r>
  <r>
    <x v="18"/>
    <x v="129"/>
    <n v="1.7201"/>
  </r>
  <r>
    <x v="34"/>
    <x v="129"/>
    <n v="1.4257"/>
  </r>
  <r>
    <x v="9"/>
    <x v="129"/>
    <n v="1.7303999999999999"/>
  </r>
  <r>
    <x v="12"/>
    <x v="129"/>
    <n v="1.3552"/>
  </r>
  <r>
    <x v="86"/>
    <x v="129"/>
    <n v="2.1671999999999998"/>
  </r>
  <r>
    <x v="20"/>
    <x v="129"/>
    <n v="1.5476000000000001"/>
  </r>
  <r>
    <x v="38"/>
    <x v="129"/>
    <n v="1.4970000000000001"/>
  </r>
  <r>
    <x v="113"/>
    <x v="129"/>
    <n v="1.5478000000000001"/>
  </r>
  <r>
    <x v="36"/>
    <x v="129"/>
    <n v="1.4972000000000001"/>
  </r>
  <r>
    <x v="55"/>
    <x v="129"/>
    <n v="0.7601"/>
  </r>
  <r>
    <x v="118"/>
    <x v="129"/>
    <n v="1.649"/>
  </r>
  <r>
    <x v="30"/>
    <x v="129"/>
    <n v="1.6492"/>
  </r>
  <r>
    <x v="71"/>
    <x v="130"/>
    <n v="1.7098"/>
  </r>
  <r>
    <x v="14"/>
    <x v="130"/>
    <n v="1.6388"/>
  </r>
  <r>
    <x v="89"/>
    <x v="130"/>
    <n v="1.7906"/>
  </r>
  <r>
    <x v="51"/>
    <x v="130"/>
    <n v="1.7705"/>
  </r>
  <r>
    <x v="28"/>
    <x v="130"/>
    <n v="1.3756999999999999"/>
  </r>
  <r>
    <x v="119"/>
    <x v="130"/>
    <n v="1.4818"/>
  </r>
  <r>
    <x v="4"/>
    <x v="130"/>
    <n v="1.9738"/>
  </r>
  <r>
    <x v="107"/>
    <x v="130"/>
    <n v="0.94350000000000001"/>
  </r>
  <r>
    <x v="76"/>
    <x v="130"/>
    <n v="1.5"/>
  </r>
  <r>
    <x v="69"/>
    <x v="130"/>
    <n v="1.4968999999999999"/>
  </r>
  <r>
    <x v="37"/>
    <x v="130"/>
    <n v="1.7506999999999999"/>
  </r>
  <r>
    <x v="21"/>
    <x v="130"/>
    <n v="1.7202"/>
  </r>
  <r>
    <x v="41"/>
    <x v="130"/>
    <n v="1.5563"/>
  </r>
  <r>
    <x v="45"/>
    <x v="130"/>
    <n v="1.3453999999999999"/>
  </r>
  <r>
    <x v="95"/>
    <x v="130"/>
    <n v="2.0350999999999999"/>
  </r>
  <r>
    <x v="9"/>
    <x v="130"/>
    <n v="1.6746000000000001"/>
  </r>
  <r>
    <x v="33"/>
    <x v="130"/>
    <n v="2.1568999999999998"/>
  </r>
  <r>
    <x v="46"/>
    <x v="130"/>
    <n v="1.9029"/>
  </r>
  <r>
    <x v="49"/>
    <x v="130"/>
    <n v="2.6364999999999998"/>
  </r>
  <r>
    <x v="48"/>
    <x v="130"/>
    <n v="1.7"/>
  </r>
  <r>
    <x v="39"/>
    <x v="130"/>
    <n v="1.5578000000000001"/>
  </r>
  <r>
    <x v="40"/>
    <x v="130"/>
    <n v="1.3147"/>
  </r>
  <r>
    <x v="20"/>
    <x v="130"/>
    <n v="1.5477000000000001"/>
  </r>
  <r>
    <x v="32"/>
    <x v="130"/>
    <n v="1.9351"/>
  </r>
  <r>
    <x v="55"/>
    <x v="130"/>
    <n v="0.79020000000000001"/>
  </r>
  <r>
    <x v="70"/>
    <x v="130"/>
    <n v="1.8724000000000001"/>
  </r>
  <r>
    <x v="80"/>
    <x v="130"/>
    <n v="1.9029"/>
  </r>
  <r>
    <x v="68"/>
    <x v="130"/>
    <n v="1.5875999999999999"/>
  </r>
  <r>
    <x v="36"/>
    <x v="130"/>
    <n v="1.4972000000000001"/>
  </r>
  <r>
    <x v="22"/>
    <x v="130"/>
    <n v="1.7404999999999999"/>
  </r>
  <r>
    <x v="115"/>
    <x v="130"/>
    <n v="1.3956"/>
  </r>
  <r>
    <x v="62"/>
    <x v="130"/>
    <n v="1.77"/>
  </r>
  <r>
    <x v="26"/>
    <x v="130"/>
    <n v="1.3149"/>
  </r>
  <r>
    <x v="30"/>
    <x v="130"/>
    <n v="1.5476000000000001"/>
  </r>
  <r>
    <x v="112"/>
    <x v="130"/>
    <n v="1.4867999999999999"/>
  </r>
  <r>
    <x v="93"/>
    <x v="130"/>
    <n v="2.1366000000000001"/>
  </r>
  <r>
    <x v="54"/>
    <x v="130"/>
    <n v="1.8115000000000001"/>
  </r>
  <r>
    <x v="57"/>
    <x v="130"/>
    <n v="1.6591"/>
  </r>
  <r>
    <x v="35"/>
    <x v="130"/>
    <n v="1.6085"/>
  </r>
  <r>
    <x v="0"/>
    <x v="130"/>
    <n v="1.002"/>
  </r>
  <r>
    <x v="18"/>
    <x v="130"/>
    <n v="1.7606999999999999"/>
  </r>
  <r>
    <x v="38"/>
    <x v="130"/>
    <n v="1.5071000000000001"/>
  </r>
  <r>
    <x v="77"/>
    <x v="130"/>
    <n v="2.004"/>
  </r>
  <r>
    <x v="84"/>
    <x v="130"/>
    <n v="1.9229000000000001"/>
  </r>
  <r>
    <x v="5"/>
    <x v="130"/>
    <n v="1.3758999999999999"/>
  </r>
  <r>
    <x v="64"/>
    <x v="130"/>
    <n v="1.4971000000000001"/>
  </r>
  <r>
    <x v="94"/>
    <x v="130"/>
    <n v="1.4"/>
  </r>
  <r>
    <x v="63"/>
    <x v="130"/>
    <n v="1.5580000000000001"/>
  </r>
  <r>
    <x v="78"/>
    <x v="130"/>
    <n v="1.9028"/>
  </r>
  <r>
    <x v="58"/>
    <x v="130"/>
    <n v="1.821"/>
  </r>
  <r>
    <x v="53"/>
    <x v="130"/>
    <n v="1.4512"/>
  </r>
  <r>
    <x v="2"/>
    <x v="130"/>
    <n v="1.5071000000000001"/>
  </r>
  <r>
    <x v="60"/>
    <x v="130"/>
    <n v="1.2746"/>
  </r>
  <r>
    <x v="52"/>
    <x v="130"/>
    <n v="1.4666999999999999"/>
  </r>
  <r>
    <x v="90"/>
    <x v="130"/>
    <n v="1.8059000000000001"/>
  </r>
  <r>
    <x v="56"/>
    <x v="130"/>
    <n v="1.8420000000000001"/>
  </r>
  <r>
    <x v="81"/>
    <x v="130"/>
    <n v="1.6991000000000001"/>
  </r>
  <r>
    <x v="82"/>
    <x v="130"/>
    <n v="1.5275000000000001"/>
  </r>
  <r>
    <x v="3"/>
    <x v="130"/>
    <n v="0.95130000000000003"/>
  </r>
  <r>
    <x v="119"/>
    <x v="131"/>
    <n v="1.4818"/>
  </r>
  <r>
    <x v="5"/>
    <x v="131"/>
    <n v="1.3758999999999999"/>
  </r>
  <r>
    <x v="8"/>
    <x v="131"/>
    <n v="1.4361999999999999"/>
  </r>
  <r>
    <x v="33"/>
    <x v="131"/>
    <n v="2.2079"/>
  </r>
  <r>
    <x v="11"/>
    <x v="131"/>
    <n v="1.7557"/>
  </r>
  <r>
    <x v="10"/>
    <x v="131"/>
    <n v="2.0074000000000001"/>
  </r>
  <r>
    <x v="31"/>
    <x v="132"/>
    <n v="1.2947"/>
  </r>
  <r>
    <x v="118"/>
    <x v="132"/>
    <n v="1.4464999999999999"/>
  </r>
  <r>
    <x v="24"/>
    <x v="133"/>
    <n v="1.3958999999999999"/>
  </r>
  <r>
    <x v="117"/>
    <x v="133"/>
    <n v="2.0247000000000002"/>
  </r>
  <r>
    <x v="32"/>
    <x v="133"/>
    <n v="2.0026000000000002"/>
  </r>
  <r>
    <x v="12"/>
    <x v="133"/>
    <n v="1.4362999999999999"/>
  </r>
  <r>
    <x v="99"/>
    <x v="134"/>
    <n v="1.6285000000000001"/>
  </r>
  <r>
    <x v="24"/>
    <x v="134"/>
    <n v="1.3958999999999999"/>
  </r>
  <r>
    <x v="118"/>
    <x v="134"/>
    <n v="1.5983000000000001"/>
  </r>
  <r>
    <x v="73"/>
    <x v="134"/>
    <n v="2.1164999999999998"/>
  </r>
  <r>
    <x v="6"/>
    <x v="134"/>
    <n v="1.1327"/>
  </r>
  <r>
    <x v="37"/>
    <x v="134"/>
    <n v="1.8218000000000001"/>
  </r>
  <r>
    <x v="113"/>
    <x v="134"/>
    <n v="1.6796"/>
  </r>
  <r>
    <x v="39"/>
    <x v="134"/>
    <n v="1.3858999999999999"/>
  </r>
  <r>
    <x v="80"/>
    <x v="134"/>
    <n v="2.0047000000000001"/>
  </r>
  <r>
    <x v="106"/>
    <x v="134"/>
    <n v="1.7604"/>
  </r>
  <r>
    <x v="59"/>
    <x v="134"/>
    <n v="1.4066000000000001"/>
  </r>
  <r>
    <x v="36"/>
    <x v="134"/>
    <n v="1.6084000000000001"/>
  </r>
  <r>
    <x v="72"/>
    <x v="134"/>
    <n v="1.9433"/>
  </r>
  <r>
    <x v="28"/>
    <x v="134"/>
    <n v="1.7201"/>
  </r>
  <r>
    <x v="40"/>
    <x v="134"/>
    <n v="1.5674999999999999"/>
  </r>
  <r>
    <x v="68"/>
    <x v="134"/>
    <n v="1.6893"/>
  </r>
  <r>
    <x v="93"/>
    <x v="134"/>
    <n v="2.1366000000000001"/>
  </r>
  <r>
    <x v="77"/>
    <x v="134"/>
    <n v="2.0043000000000002"/>
  </r>
  <r>
    <x v="69"/>
    <x v="134"/>
    <n v="1.4968999999999999"/>
  </r>
  <r>
    <x v="22"/>
    <x v="134"/>
    <n v="1.8115000000000001"/>
  </r>
  <r>
    <x v="54"/>
    <x v="134"/>
    <n v="1.8113999999999999"/>
  </r>
  <r>
    <x v="64"/>
    <x v="134"/>
    <n v="1.5172000000000001"/>
  </r>
  <r>
    <x v="82"/>
    <x v="134"/>
    <n v="1.649"/>
  </r>
  <r>
    <x v="35"/>
    <x v="134"/>
    <n v="1.6085"/>
  </r>
  <r>
    <x v="71"/>
    <x v="134"/>
    <n v="1.6896"/>
  </r>
  <r>
    <x v="75"/>
    <x v="134"/>
    <n v="1.7097"/>
  </r>
  <r>
    <x v="90"/>
    <x v="134"/>
    <n v="1.9888999999999999"/>
  </r>
  <r>
    <x v="13"/>
    <x v="135"/>
    <n v="1.6188"/>
  </r>
  <r>
    <x v="96"/>
    <x v="135"/>
    <n v="1.4804999999999999"/>
  </r>
  <r>
    <x v="86"/>
    <x v="135"/>
    <n v="1.8011999999999999"/>
  </r>
  <r>
    <x v="44"/>
    <x v="135"/>
    <n v="1.6"/>
  </r>
  <r>
    <x v="28"/>
    <x v="135"/>
    <n v="1.6086"/>
  </r>
  <r>
    <x v="26"/>
    <x v="135"/>
    <n v="1.3754999999999999"/>
  </r>
  <r>
    <x v="92"/>
    <x v="136"/>
    <n v="2.0449999999999999"/>
  </r>
  <r>
    <x v="23"/>
    <x v="136"/>
    <n v="1.7"/>
  </r>
  <r>
    <x v="71"/>
    <x v="136"/>
    <n v="1.5985"/>
  </r>
  <r>
    <x v="9"/>
    <x v="136"/>
    <n v="1.7250000000000001"/>
  </r>
  <r>
    <x v="32"/>
    <x v="137"/>
    <n v="2.0956999999999999"/>
  </r>
  <r>
    <x v="118"/>
    <x v="137"/>
    <n v="1.8214999999999999"/>
  </r>
  <r>
    <x v="7"/>
    <x v="137"/>
    <n v="1.5"/>
  </r>
  <r>
    <x v="88"/>
    <x v="137"/>
    <n v="2.0706000000000002"/>
  </r>
  <r>
    <x v="92"/>
    <x v="137"/>
    <n v="2.0449999999999999"/>
  </r>
  <r>
    <x v="111"/>
    <x v="138"/>
    <n v="1.5"/>
  </r>
  <r>
    <x v="19"/>
    <x v="138"/>
    <n v="1.6287"/>
  </r>
  <r>
    <x v="33"/>
    <x v="138"/>
    <n v="2.2079"/>
  </r>
  <r>
    <x v="82"/>
    <x v="138"/>
    <n v="1.6693"/>
  </r>
  <r>
    <x v="10"/>
    <x v="138"/>
    <n v="1.9734"/>
  </r>
  <r>
    <x v="39"/>
    <x v="139"/>
    <n v="1.3858999999999999"/>
  </r>
  <r>
    <x v="85"/>
    <x v="139"/>
    <n v="1.3452999999999999"/>
  </r>
  <r>
    <x v="71"/>
    <x v="139"/>
    <n v="1.6592"/>
  </r>
  <r>
    <x v="77"/>
    <x v="139"/>
    <n v="2.004"/>
  </r>
  <r>
    <x v="68"/>
    <x v="139"/>
    <n v="1.5875999999999999"/>
  </r>
  <r>
    <x v="117"/>
    <x v="139"/>
    <n v="2.1674000000000002"/>
  </r>
  <r>
    <x v="36"/>
    <x v="139"/>
    <n v="1.4972000000000001"/>
  </r>
  <r>
    <x v="55"/>
    <x v="139"/>
    <n v="0.82020000000000004"/>
  </r>
  <r>
    <x v="28"/>
    <x v="139"/>
    <n v="1.4870000000000001"/>
  </r>
  <r>
    <x v="99"/>
    <x v="139"/>
    <n v="1.6285000000000001"/>
  </r>
  <r>
    <x v="79"/>
    <x v="139"/>
    <n v="1.7298"/>
  </r>
  <r>
    <x v="75"/>
    <x v="139"/>
    <n v="1.7402"/>
  </r>
  <r>
    <x v="24"/>
    <x v="139"/>
    <n v="1.3958999999999999"/>
  </r>
  <r>
    <x v="0"/>
    <x v="139"/>
    <n v="1.002"/>
  </r>
  <r>
    <x v="31"/>
    <x v="139"/>
    <n v="1.4769000000000001"/>
  </r>
  <r>
    <x v="106"/>
    <x v="140"/>
    <n v="2.0246"/>
  </r>
  <r>
    <x v="9"/>
    <x v="140"/>
    <n v="1.7050000000000001"/>
  </r>
  <r>
    <x v="32"/>
    <x v="141"/>
    <n v="2.0956999999999999"/>
  </r>
  <r>
    <x v="46"/>
    <x v="141"/>
    <n v="1.8927"/>
  </r>
  <r>
    <x v="35"/>
    <x v="141"/>
    <n v="1.5779000000000001"/>
  </r>
  <r>
    <x v="11"/>
    <x v="141"/>
    <n v="1.7803"/>
  </r>
  <r>
    <x v="23"/>
    <x v="141"/>
    <n v="1.79"/>
  </r>
  <r>
    <x v="12"/>
    <x v="141"/>
    <n v="1.5071000000000001"/>
  </r>
  <r>
    <x v="10"/>
    <x v="141"/>
    <n v="1.9158999999999999"/>
  </r>
  <r>
    <x v="70"/>
    <x v="141"/>
    <n v="1.7909999999999999"/>
  </r>
  <r>
    <x v="71"/>
    <x v="142"/>
    <n v="1.6289"/>
  </r>
  <r>
    <x v="22"/>
    <x v="142"/>
    <n v="1.8115000000000001"/>
  </r>
  <r>
    <x v="53"/>
    <x v="142"/>
    <n v="1.4512"/>
  </r>
  <r>
    <x v="24"/>
    <x v="142"/>
    <n v="1.4258999999999999"/>
  </r>
  <r>
    <x v="119"/>
    <x v="142"/>
    <n v="1.4818"/>
  </r>
  <r>
    <x v="83"/>
    <x v="142"/>
    <n v="1.5885"/>
  </r>
  <r>
    <x v="19"/>
    <x v="142"/>
    <n v="1.6287"/>
  </r>
  <r>
    <x v="118"/>
    <x v="142"/>
    <n v="1.6487000000000001"/>
  </r>
  <r>
    <x v="36"/>
    <x v="143"/>
    <n v="1.6084000000000001"/>
  </r>
  <r>
    <x v="33"/>
    <x v="143"/>
    <n v="2.2793000000000001"/>
  </r>
  <r>
    <x v="21"/>
    <x v="143"/>
    <n v="1.7199"/>
  </r>
  <r>
    <x v="87"/>
    <x v="143"/>
    <n v="2.0247999999999999"/>
  </r>
  <r>
    <x v="36"/>
    <x v="144"/>
    <n v="1.6084000000000001"/>
  </r>
  <r>
    <x v="4"/>
    <x v="144"/>
    <n v="1.6186"/>
  </r>
  <r>
    <x v="13"/>
    <x v="144"/>
    <n v="1.5983000000000001"/>
  </r>
  <r>
    <x v="50"/>
    <x v="144"/>
    <n v="1.964"/>
  </r>
  <r>
    <x v="42"/>
    <x v="144"/>
    <n v="1.8521000000000001"/>
  </r>
  <r>
    <x v="120"/>
    <x v="145"/>
    <n v="1.335"/>
  </r>
  <r>
    <x v="39"/>
    <x v="145"/>
    <n v="1.3858999999999999"/>
  </r>
  <r>
    <x v="46"/>
    <x v="145"/>
    <n v="1.7604"/>
  </r>
  <r>
    <x v="66"/>
    <x v="145"/>
    <n v="1.6037999999999999"/>
  </r>
  <r>
    <x v="29"/>
    <x v="145"/>
    <n v="1.8980999999999999"/>
  </r>
  <r>
    <x v="37"/>
    <x v="145"/>
    <n v="1.9029"/>
  </r>
  <r>
    <x v="77"/>
    <x v="145"/>
    <n v="2.0449999999999999"/>
  </r>
  <r>
    <x v="51"/>
    <x v="145"/>
    <n v="1.6689000000000001"/>
  </r>
  <r>
    <x v="9"/>
    <x v="145"/>
    <n v="1.7806999999999999"/>
  </r>
  <r>
    <x v="70"/>
    <x v="145"/>
    <n v="1.7909999999999999"/>
  </r>
  <r>
    <x v="116"/>
    <x v="145"/>
    <n v="1.9639"/>
  </r>
  <r>
    <x v="59"/>
    <x v="145"/>
    <n v="1.4066000000000001"/>
  </r>
  <r>
    <x v="79"/>
    <x v="145"/>
    <n v="1.5883"/>
  </r>
  <r>
    <x v="71"/>
    <x v="145"/>
    <n v="1.6289"/>
  </r>
  <r>
    <x v="82"/>
    <x v="145"/>
    <n v="1.7201"/>
  </r>
  <r>
    <x v="75"/>
    <x v="146"/>
    <n v="1.7097"/>
  </r>
  <r>
    <x v="121"/>
    <x v="146"/>
    <n v="2.073"/>
  </r>
  <r>
    <x v="114"/>
    <x v="146"/>
    <n v="1.7201"/>
  </r>
  <r>
    <x v="33"/>
    <x v="146"/>
    <n v="2.3302999999999998"/>
  </r>
  <r>
    <x v="95"/>
    <x v="146"/>
    <n v="2.1877"/>
  </r>
  <r>
    <x v="44"/>
    <x v="146"/>
    <n v="1.6"/>
  </r>
  <r>
    <x v="47"/>
    <x v="146"/>
    <n v="1.5165999999999999"/>
  </r>
  <r>
    <x v="12"/>
    <x v="146"/>
    <n v="1.5476000000000001"/>
  </r>
  <r>
    <x v="11"/>
    <x v="146"/>
    <n v="1.6991000000000001"/>
  </r>
  <r>
    <x v="60"/>
    <x v="146"/>
    <n v="1.3551"/>
  </r>
  <r>
    <x v="109"/>
    <x v="146"/>
    <n v="2.0453000000000001"/>
  </r>
  <r>
    <x v="9"/>
    <x v="146"/>
    <n v="1.7806999999999999"/>
  </r>
  <r>
    <x v="28"/>
    <x v="146"/>
    <n v="1.6897"/>
  </r>
  <r>
    <x v="24"/>
    <x v="146"/>
    <n v="1.5469999999999999"/>
  </r>
  <r>
    <x v="10"/>
    <x v="146"/>
    <n v="1.9883999999999999"/>
  </r>
  <r>
    <x v="72"/>
    <x v="146"/>
    <n v="1.9431"/>
  </r>
  <r>
    <x v="20"/>
    <x v="146"/>
    <n v="1.6085"/>
  </r>
  <r>
    <x v="1"/>
    <x v="147"/>
    <n v="2.6671"/>
  </r>
  <r>
    <x v="85"/>
    <x v="147"/>
    <n v="1.6087"/>
  </r>
  <r>
    <x v="3"/>
    <x v="147"/>
    <n v="1.4562999999999999"/>
  </r>
  <r>
    <x v="13"/>
    <x v="147"/>
    <n v="1.7099"/>
  </r>
  <r>
    <x v="104"/>
    <x v="147"/>
    <n v="1.4423999999999999"/>
  </r>
  <r>
    <x v="8"/>
    <x v="147"/>
    <n v="1.6996"/>
  </r>
  <r>
    <x v="97"/>
    <x v="148"/>
    <n v="1.6183000000000001"/>
  </r>
  <r>
    <x v="23"/>
    <x v="148"/>
    <n v="1.79"/>
  </r>
  <r>
    <x v="80"/>
    <x v="148"/>
    <n v="2.0047000000000001"/>
  </r>
  <r>
    <x v="28"/>
    <x v="148"/>
    <n v="1.8722000000000001"/>
  </r>
  <r>
    <x v="2"/>
    <x v="148"/>
    <n v="1.5876999999999999"/>
  </r>
  <r>
    <x v="32"/>
    <x v="149"/>
    <n v="2.2707000000000002"/>
  </r>
  <r>
    <x v="0"/>
    <x v="150"/>
    <n v="1.1027"/>
  </r>
  <r>
    <x v="36"/>
    <x v="150"/>
    <n v="1.6084000000000001"/>
  </r>
  <r>
    <x v="38"/>
    <x v="150"/>
    <n v="1.5673999999999999"/>
  </r>
  <r>
    <x v="32"/>
    <x v="150"/>
    <n v="2.3445999999999998"/>
  </r>
  <r>
    <x v="29"/>
    <x v="150"/>
    <n v="1.8689"/>
  </r>
  <r>
    <x v="106"/>
    <x v="150"/>
    <n v="1.7196"/>
  </r>
  <r>
    <x v="2"/>
    <x v="150"/>
    <n v="1.6180000000000001"/>
  </r>
  <r>
    <x v="120"/>
    <x v="150"/>
    <n v="1.6692"/>
  </r>
  <r>
    <x v="55"/>
    <x v="150"/>
    <n v="0.9002"/>
  </r>
  <r>
    <x v="77"/>
    <x v="150"/>
    <n v="2.0041000000000002"/>
  </r>
  <r>
    <x v="26"/>
    <x v="150"/>
    <n v="1.355"/>
  </r>
  <r>
    <x v="84"/>
    <x v="150"/>
    <n v="2.0449999999999999"/>
  </r>
  <r>
    <x v="20"/>
    <x v="150"/>
    <n v="1.5469999999999999"/>
  </r>
  <r>
    <x v="86"/>
    <x v="150"/>
    <n v="1.74"/>
  </r>
  <r>
    <x v="117"/>
    <x v="150"/>
    <n v="2.4119000000000002"/>
  </r>
  <r>
    <x v="16"/>
    <x v="150"/>
    <n v="1.8620000000000001"/>
  </r>
  <r>
    <x v="59"/>
    <x v="150"/>
    <n v="1.899"/>
  </r>
  <r>
    <x v="73"/>
    <x v="150"/>
    <n v="2.1164999999999998"/>
  </r>
  <r>
    <x v="75"/>
    <x v="150"/>
    <n v="1.7198"/>
  </r>
  <r>
    <x v="22"/>
    <x v="150"/>
    <n v="2.0449000000000002"/>
  </r>
  <r>
    <x v="118"/>
    <x v="150"/>
    <n v="1.7602"/>
  </r>
  <r>
    <x v="69"/>
    <x v="150"/>
    <n v="1.5982000000000001"/>
  </r>
  <r>
    <x v="102"/>
    <x v="150"/>
    <n v="1.6942999999999999"/>
  </r>
  <r>
    <x v="71"/>
    <x v="150"/>
    <n v="1.8112999999999999"/>
  </r>
  <r>
    <x v="14"/>
    <x v="150"/>
    <n v="1.7398"/>
  </r>
  <r>
    <x v="53"/>
    <x v="150"/>
    <n v="1.7458"/>
  </r>
  <r>
    <x v="7"/>
    <x v="150"/>
    <n v="1.5074000000000001"/>
  </r>
  <r>
    <x v="94"/>
    <x v="150"/>
    <n v="1.6"/>
  </r>
  <r>
    <x v="79"/>
    <x v="150"/>
    <n v="1.5375000000000001"/>
  </r>
  <r>
    <x v="70"/>
    <x v="150"/>
    <n v="1.8515999999999999"/>
  </r>
  <r>
    <x v="82"/>
    <x v="151"/>
    <n v="1.7501"/>
  </r>
  <r>
    <x v="118"/>
    <x v="151"/>
    <n v="1.7907"/>
  </r>
  <r>
    <x v="7"/>
    <x v="151"/>
    <n v="1.6086"/>
  </r>
  <r>
    <x v="107"/>
    <x v="151"/>
    <n v="1.2746999999999999"/>
  </r>
  <r>
    <x v="34"/>
    <x v="151"/>
    <n v="1.5472999999999999"/>
  </r>
  <r>
    <x v="99"/>
    <x v="151"/>
    <n v="1.7093"/>
  </r>
  <r>
    <x v="45"/>
    <x v="151"/>
    <n v="1.4565999999999999"/>
  </r>
  <r>
    <x v="48"/>
    <x v="151"/>
    <n v="1.7"/>
  </r>
  <r>
    <x v="120"/>
    <x v="151"/>
    <n v="1.6681999999999999"/>
  </r>
  <r>
    <x v="33"/>
    <x v="151"/>
    <n v="2.1362000000000001"/>
  </r>
  <r>
    <x v="18"/>
    <x v="151"/>
    <n v="1.7910999999999999"/>
  </r>
  <r>
    <x v="23"/>
    <x v="151"/>
    <n v="1.79"/>
  </r>
  <r>
    <x v="49"/>
    <x v="151"/>
    <n v="2.0851999999999999"/>
  </r>
  <r>
    <x v="5"/>
    <x v="151"/>
    <n v="1.7198"/>
  </r>
  <r>
    <x v="11"/>
    <x v="151"/>
    <n v="1.778"/>
  </r>
  <r>
    <x v="10"/>
    <x v="151"/>
    <n v="2.0013000000000001"/>
  </r>
  <r>
    <x v="12"/>
    <x v="151"/>
    <n v="1.4964"/>
  </r>
  <r>
    <x v="80"/>
    <x v="152"/>
    <n v="1.9433"/>
  </r>
  <r>
    <x v="46"/>
    <x v="152"/>
    <n v="1.8109999999999999"/>
  </r>
  <r>
    <x v="23"/>
    <x v="152"/>
    <n v="1.8"/>
  </r>
  <r>
    <x v="85"/>
    <x v="153"/>
    <n v="1.5375000000000001"/>
  </r>
  <r>
    <x v="44"/>
    <x v="153"/>
    <n v="1.7"/>
  </r>
  <r>
    <x v="28"/>
    <x v="153"/>
    <n v="1.8721000000000001"/>
  </r>
  <r>
    <x v="1"/>
    <x v="153"/>
    <n v="2.9020000000000001"/>
  </r>
  <r>
    <x v="96"/>
    <x v="154"/>
    <n v="1.7397"/>
  </r>
  <r>
    <x v="21"/>
    <x v="154"/>
    <n v="1.8312999999999999"/>
  </r>
  <r>
    <x v="60"/>
    <x v="154"/>
    <n v="1.4864999999999999"/>
  </r>
  <r>
    <x v="95"/>
    <x v="154"/>
    <n v="2.0653000000000001"/>
  </r>
  <r>
    <x v="28"/>
    <x v="154"/>
    <n v="1.8213999999999999"/>
  </r>
  <r>
    <x v="27"/>
    <x v="154"/>
    <n v="1.8714999999999999"/>
  </r>
  <r>
    <x v="63"/>
    <x v="154"/>
    <n v="1.5478000000000001"/>
  </r>
  <r>
    <x v="29"/>
    <x v="154"/>
    <n v="1.8689"/>
  </r>
  <r>
    <x v="30"/>
    <x v="154"/>
    <n v="1.5777000000000001"/>
  </r>
  <r>
    <x v="78"/>
    <x v="154"/>
    <n v="1.9739"/>
  </r>
  <r>
    <x v="41"/>
    <x v="155"/>
    <n v="1.5373000000000001"/>
  </r>
  <r>
    <x v="43"/>
    <x v="155"/>
    <n v="1.4966999999999999"/>
  </r>
  <r>
    <x v="68"/>
    <x v="155"/>
    <n v="1.9026000000000001"/>
  </r>
  <r>
    <x v="6"/>
    <x v="155"/>
    <n v="1.1426000000000001"/>
  </r>
  <r>
    <x v="20"/>
    <x v="155"/>
    <n v="1.5469999999999999"/>
  </r>
  <r>
    <x v="70"/>
    <x v="155"/>
    <n v="1.8821000000000001"/>
  </r>
  <r>
    <x v="22"/>
    <x v="155"/>
    <n v="1.7908999999999999"/>
  </r>
  <r>
    <x v="77"/>
    <x v="155"/>
    <n v="2.0041000000000002"/>
  </r>
  <r>
    <x v="82"/>
    <x v="155"/>
    <n v="1.73"/>
  </r>
  <r>
    <x v="59"/>
    <x v="155"/>
    <n v="1.899"/>
  </r>
  <r>
    <x v="13"/>
    <x v="155"/>
    <n v="1.6994"/>
  </r>
  <r>
    <x v="51"/>
    <x v="155"/>
    <n v="1.6384000000000001"/>
  </r>
  <r>
    <x v="28"/>
    <x v="155"/>
    <n v="1.8924000000000001"/>
  </r>
  <r>
    <x v="118"/>
    <x v="155"/>
    <n v="1.8416999999999999"/>
  </r>
  <r>
    <x v="71"/>
    <x v="155"/>
    <n v="1.8112999999999999"/>
  </r>
  <r>
    <x v="75"/>
    <x v="155"/>
    <n v="1.6994"/>
  </r>
  <r>
    <x v="47"/>
    <x v="155"/>
    <n v="1.4861"/>
  </r>
  <r>
    <x v="3"/>
    <x v="155"/>
    <n v="1.5779000000000001"/>
  </r>
  <r>
    <x v="31"/>
    <x v="156"/>
    <n v="1.6073999999999999"/>
  </r>
  <r>
    <x v="33"/>
    <x v="156"/>
    <n v="2.1869999999999998"/>
  </r>
  <r>
    <x v="111"/>
    <x v="156"/>
    <n v="1.7"/>
  </r>
  <r>
    <x v="24"/>
    <x v="156"/>
    <n v="1.3447"/>
  </r>
  <r>
    <x v="11"/>
    <x v="156"/>
    <n v="1.6706000000000001"/>
  </r>
  <r>
    <x v="88"/>
    <x v="156"/>
    <n v="1.9024000000000001"/>
  </r>
  <r>
    <x v="20"/>
    <x v="156"/>
    <n v="1.5774999999999999"/>
  </r>
  <r>
    <x v="10"/>
    <x v="157"/>
    <n v="1.9702"/>
  </r>
  <r>
    <x v="32"/>
    <x v="157"/>
    <n v="2.4148999999999998"/>
  </r>
  <r>
    <x v="118"/>
    <x v="157"/>
    <n v="1.7806"/>
  </r>
  <r>
    <x v="23"/>
    <x v="157"/>
    <n v="1.8722000000000001"/>
  </r>
  <r>
    <x v="35"/>
    <x v="157"/>
    <n v="1.7603"/>
  </r>
  <r>
    <x v="12"/>
    <x v="158"/>
    <n v="1.5778000000000001"/>
  </r>
  <r>
    <x v="9"/>
    <x v="158"/>
    <n v="1.6691"/>
  </r>
  <r>
    <x v="68"/>
    <x v="158"/>
    <n v="1.8110999999999999"/>
  </r>
  <r>
    <x v="20"/>
    <x v="158"/>
    <n v="1.5774999999999999"/>
  </r>
  <r>
    <x v="44"/>
    <x v="158"/>
    <n v="1.7"/>
  </r>
  <r>
    <x v="30"/>
    <x v="158"/>
    <n v="1.7299"/>
  </r>
  <r>
    <x v="122"/>
    <x v="159"/>
    <n v="1.8109"/>
  </r>
  <r>
    <x v="37"/>
    <x v="159"/>
    <n v="1.7808999999999999"/>
  </r>
  <r>
    <x v="23"/>
    <x v="159"/>
    <n v="1.9026000000000001"/>
  </r>
  <r>
    <x v="60"/>
    <x v="159"/>
    <n v="1.5474000000000001"/>
  </r>
  <r>
    <x v="115"/>
    <x v="159"/>
    <n v="1.5472999999999999"/>
  </r>
  <r>
    <x v="36"/>
    <x v="159"/>
    <n v="1.8313999999999999"/>
  </r>
  <r>
    <x v="80"/>
    <x v="159"/>
    <n v="1.9433"/>
  </r>
  <r>
    <x v="55"/>
    <x v="159"/>
    <n v="1.0013000000000001"/>
  </r>
  <r>
    <x v="92"/>
    <x v="159"/>
    <n v="2.1158000000000001"/>
  </r>
  <r>
    <x v="40"/>
    <x v="159"/>
    <n v="1.6486000000000001"/>
  </r>
  <r>
    <x v="118"/>
    <x v="159"/>
    <n v="1.8008999999999999"/>
  </r>
  <r>
    <x v="8"/>
    <x v="159"/>
    <n v="1.659"/>
  </r>
  <r>
    <x v="45"/>
    <x v="160"/>
    <n v="1.5071000000000001"/>
  </r>
  <r>
    <x v="41"/>
    <x v="160"/>
    <n v="1.5069999999999999"/>
  </r>
  <r>
    <x v="95"/>
    <x v="160"/>
    <n v="2.0653000000000001"/>
  </r>
  <r>
    <x v="9"/>
    <x v="160"/>
    <n v="1.6337999999999999"/>
  </r>
  <r>
    <x v="111"/>
    <x v="160"/>
    <n v="1.5"/>
  </r>
  <r>
    <x v="83"/>
    <x v="160"/>
    <n v="1.6999"/>
  </r>
  <r>
    <x v="23"/>
    <x v="160"/>
    <n v="1.6795"/>
  </r>
  <r>
    <x v="66"/>
    <x v="160"/>
    <n v="1.5631999999999999"/>
  </r>
  <r>
    <x v="79"/>
    <x v="160"/>
    <n v="1.2746"/>
  </r>
  <r>
    <x v="55"/>
    <x v="160"/>
    <n v="0.98150000000000004"/>
  </r>
  <r>
    <x v="78"/>
    <x v="160"/>
    <n v="1.9028"/>
  </r>
  <r>
    <x v="26"/>
    <x v="160"/>
    <n v="1.3249"/>
  </r>
  <r>
    <x v="106"/>
    <x v="160"/>
    <n v="1.6487000000000001"/>
  </r>
  <r>
    <x v="5"/>
    <x v="160"/>
    <n v="1.3653999999999999"/>
  </r>
  <r>
    <x v="42"/>
    <x v="160"/>
    <n v="1.6895"/>
  </r>
  <r>
    <x v="7"/>
    <x v="160"/>
    <n v="1.9027000000000001"/>
  </r>
  <r>
    <x v="48"/>
    <x v="160"/>
    <n v="1.5989"/>
  </r>
  <r>
    <x v="73"/>
    <x v="160"/>
    <n v="2.1164999999999998"/>
  </r>
  <r>
    <x v="40"/>
    <x v="160"/>
    <n v="1.1531"/>
  </r>
  <r>
    <x v="46"/>
    <x v="160"/>
    <n v="1.6691"/>
  </r>
  <r>
    <x v="86"/>
    <x v="160"/>
    <n v="1.4968999999999999"/>
  </r>
  <r>
    <x v="36"/>
    <x v="160"/>
    <n v="1.7605999999999999"/>
  </r>
  <r>
    <x v="33"/>
    <x v="160"/>
    <n v="1.9428000000000001"/>
  </r>
  <r>
    <x v="22"/>
    <x v="160"/>
    <n v="1.6998"/>
  </r>
  <r>
    <x v="120"/>
    <x v="160"/>
    <n v="1.7949999999999999"/>
  </r>
  <r>
    <x v="82"/>
    <x v="160"/>
    <n v="1.5882000000000001"/>
  </r>
  <r>
    <x v="20"/>
    <x v="160"/>
    <n v="1.4766999999999999"/>
  </r>
  <r>
    <x v="28"/>
    <x v="160"/>
    <n v="1.7504"/>
  </r>
  <r>
    <x v="51"/>
    <x v="160"/>
    <n v="1.5374000000000001"/>
  </r>
  <r>
    <x v="69"/>
    <x v="160"/>
    <n v="1.5874999999999999"/>
  </r>
  <r>
    <x v="60"/>
    <x v="160"/>
    <n v="1.3754"/>
  </r>
  <r>
    <x v="77"/>
    <x v="160"/>
    <n v="2.0041000000000002"/>
  </r>
  <r>
    <x v="121"/>
    <x v="160"/>
    <n v="2.2357999999999998"/>
  </r>
  <r>
    <x v="58"/>
    <x v="160"/>
    <n v="1.7402"/>
  </r>
  <r>
    <x v="30"/>
    <x v="160"/>
    <n v="1.3673"/>
  </r>
  <r>
    <x v="57"/>
    <x v="160"/>
    <n v="1.5475000000000001"/>
  </r>
  <r>
    <x v="13"/>
    <x v="160"/>
    <n v="1.5577000000000001"/>
  </r>
  <r>
    <x v="63"/>
    <x v="160"/>
    <n v="1.6796"/>
  </r>
  <r>
    <x v="115"/>
    <x v="160"/>
    <n v="1.345"/>
  </r>
  <r>
    <x v="122"/>
    <x v="160"/>
    <n v="1.6692"/>
  </r>
  <r>
    <x v="62"/>
    <x v="160"/>
    <n v="1.93"/>
  </r>
  <r>
    <x v="35"/>
    <x v="160"/>
    <n v="1.5170999999999999"/>
  </r>
  <r>
    <x v="31"/>
    <x v="160"/>
    <n v="1.3749"/>
  </r>
  <r>
    <x v="84"/>
    <x v="160"/>
    <n v="1.5071000000000001"/>
  </r>
  <r>
    <x v="59"/>
    <x v="160"/>
    <n v="1.899"/>
  </r>
  <r>
    <x v="18"/>
    <x v="160"/>
    <n v="1.6591"/>
  </r>
  <r>
    <x v="70"/>
    <x v="160"/>
    <n v="1.7098"/>
  </r>
  <r>
    <x v="49"/>
    <x v="160"/>
    <n v="1.9632000000000001"/>
  </r>
  <r>
    <x v="1"/>
    <x v="160"/>
    <n v="2.7589000000000001"/>
  </r>
  <r>
    <x v="76"/>
    <x v="160"/>
    <n v="1.6489"/>
  </r>
  <r>
    <x v="80"/>
    <x v="160"/>
    <n v="1.8313999999999999"/>
  </r>
  <r>
    <x v="2"/>
    <x v="160"/>
    <n v="1.5370999999999999"/>
  </r>
  <r>
    <x v="89"/>
    <x v="160"/>
    <n v="1.6689000000000001"/>
  </r>
  <r>
    <x v="53"/>
    <x v="160"/>
    <n v="1.7458"/>
  </r>
  <r>
    <x v="112"/>
    <x v="160"/>
    <n v="1.5472999999999999"/>
  </r>
  <r>
    <x v="50"/>
    <x v="160"/>
    <n v="2.0045999999999999"/>
  </r>
  <r>
    <x v="52"/>
    <x v="160"/>
    <n v="1.5679000000000001"/>
  </r>
  <r>
    <x v="19"/>
    <x v="160"/>
    <n v="2.0859000000000001"/>
  </r>
  <r>
    <x v="71"/>
    <x v="160"/>
    <n v="1.6085"/>
  </r>
  <r>
    <x v="90"/>
    <x v="160"/>
    <n v="2.0042"/>
  </r>
  <r>
    <x v="56"/>
    <x v="160"/>
    <n v="1.649"/>
  </r>
  <r>
    <x v="37"/>
    <x v="160"/>
    <n v="1.8217000000000001"/>
  </r>
  <r>
    <x v="81"/>
    <x v="160"/>
    <n v="1.7907"/>
  </r>
  <r>
    <x v="119"/>
    <x v="160"/>
    <n v="1.411"/>
  </r>
  <r>
    <x v="3"/>
    <x v="160"/>
    <n v="1.5577000000000001"/>
  </r>
  <r>
    <x v="64"/>
    <x v="160"/>
    <n v="1.4767999999999999"/>
  </r>
  <r>
    <x v="6"/>
    <x v="161"/>
    <n v="0.99170000000000003"/>
  </r>
  <r>
    <x v="5"/>
    <x v="161"/>
    <n v="1.3653999999999999"/>
  </r>
  <r>
    <x v="89"/>
    <x v="161"/>
    <n v="1.6587000000000001"/>
  </r>
  <r>
    <x v="0"/>
    <x v="161"/>
    <n v="1.1328"/>
  </r>
  <r>
    <x v="11"/>
    <x v="161"/>
    <n v="1.5813999999999999"/>
  </r>
  <r>
    <x v="23"/>
    <x v="161"/>
    <n v="1.7606999999999999"/>
  </r>
  <r>
    <x v="33"/>
    <x v="161"/>
    <n v="1.9428000000000001"/>
  </r>
  <r>
    <x v="85"/>
    <x v="161"/>
    <n v="1.5072000000000001"/>
  </r>
  <r>
    <x v="119"/>
    <x v="161"/>
    <n v="1.411"/>
  </r>
  <r>
    <x v="75"/>
    <x v="161"/>
    <n v="1.5779000000000001"/>
  </r>
  <r>
    <x v="99"/>
    <x v="162"/>
    <n v="1.6489"/>
  </r>
  <r>
    <x v="10"/>
    <x v="162"/>
    <n v="1.7794000000000001"/>
  </r>
  <r>
    <x v="32"/>
    <x v="162"/>
    <n v="2.4148999999999998"/>
  </r>
  <r>
    <x v="0"/>
    <x v="163"/>
    <n v="1.1229"/>
  </r>
  <r>
    <x v="17"/>
    <x v="163"/>
    <n v="1.2845"/>
  </r>
  <r>
    <x v="115"/>
    <x v="163"/>
    <n v="1.345"/>
  </r>
  <r>
    <x v="118"/>
    <x v="163"/>
    <n v="1.6388"/>
  </r>
  <r>
    <x v="12"/>
    <x v="163"/>
    <n v="1.4361999999999999"/>
  </r>
  <r>
    <x v="21"/>
    <x v="163"/>
    <n v="1.7094"/>
  </r>
  <r>
    <x v="106"/>
    <x v="163"/>
    <n v="1.6286"/>
  </r>
  <r>
    <x v="55"/>
    <x v="164"/>
    <n v="1.0118"/>
  </r>
  <r>
    <x v="17"/>
    <x v="164"/>
    <n v="1.2845"/>
  </r>
  <r>
    <x v="7"/>
    <x v="164"/>
    <n v="1.5983000000000001"/>
  </r>
  <r>
    <x v="41"/>
    <x v="164"/>
    <n v="1.5069999999999999"/>
  </r>
  <r>
    <x v="34"/>
    <x v="164"/>
    <n v="1.5168999999999999"/>
  </r>
  <r>
    <x v="33"/>
    <x v="164"/>
    <n v="1.6894"/>
  </r>
  <r>
    <x v="115"/>
    <x v="164"/>
    <n v="1.345"/>
  </r>
  <r>
    <x v="55"/>
    <x v="165"/>
    <n v="1.0118"/>
  </r>
  <r>
    <x v="9"/>
    <x v="165"/>
    <n v="1.6944999999999999"/>
  </r>
  <r>
    <x v="51"/>
    <x v="165"/>
    <n v="1.5373000000000001"/>
  </r>
  <r>
    <x v="66"/>
    <x v="165"/>
    <n v="1.5133000000000001"/>
  </r>
  <r>
    <x v="69"/>
    <x v="165"/>
    <n v="1.5874999999999999"/>
  </r>
  <r>
    <x v="26"/>
    <x v="165"/>
    <n v="1.335"/>
  </r>
  <r>
    <x v="28"/>
    <x v="165"/>
    <n v="1.5578000000000001"/>
  </r>
  <r>
    <x v="54"/>
    <x v="165"/>
    <n v="1.7808999999999999"/>
  </r>
  <r>
    <x v="70"/>
    <x v="165"/>
    <n v="1.5982000000000001"/>
  </r>
  <r>
    <x v="46"/>
    <x v="165"/>
    <n v="1.7197"/>
  </r>
  <r>
    <x v="123"/>
    <x v="165"/>
    <n v="1.9433"/>
  </r>
  <r>
    <x v="36"/>
    <x v="165"/>
    <n v="1.7199"/>
  </r>
  <r>
    <x v="48"/>
    <x v="165"/>
    <n v="1.6797"/>
  </r>
  <r>
    <x v="86"/>
    <x v="165"/>
    <n v="1.4968999999999999"/>
  </r>
  <r>
    <x v="0"/>
    <x v="165"/>
    <n v="1.0924"/>
  </r>
  <r>
    <x v="23"/>
    <x v="165"/>
    <n v="1.6692"/>
  </r>
  <r>
    <x v="49"/>
    <x v="165"/>
    <n v="1.9634"/>
  </r>
  <r>
    <x v="58"/>
    <x v="165"/>
    <n v="1.74"/>
  </r>
  <r>
    <x v="84"/>
    <x v="165"/>
    <n v="1.4664999999999999"/>
  </r>
  <r>
    <x v="37"/>
    <x v="165"/>
    <n v="1.7910999999999999"/>
  </r>
  <r>
    <x v="115"/>
    <x v="165"/>
    <n v="1.3554999999999999"/>
  </r>
  <r>
    <x v="45"/>
    <x v="165"/>
    <n v="1.4665999999999999"/>
  </r>
  <r>
    <x v="60"/>
    <x v="165"/>
    <n v="1.4561999999999999"/>
  </r>
  <r>
    <x v="89"/>
    <x v="165"/>
    <n v="1.6182000000000001"/>
  </r>
  <r>
    <x v="59"/>
    <x v="165"/>
    <n v="1.899"/>
  </r>
  <r>
    <x v="20"/>
    <x v="165"/>
    <n v="1.4766999999999999"/>
  </r>
  <r>
    <x v="73"/>
    <x v="165"/>
    <n v="2.1164999999999998"/>
  </r>
  <r>
    <x v="106"/>
    <x v="165"/>
    <n v="1.5983000000000001"/>
  </r>
  <r>
    <x v="78"/>
    <x v="165"/>
    <n v="1.76"/>
  </r>
  <r>
    <x v="18"/>
    <x v="165"/>
    <n v="1.5780000000000001"/>
  </r>
  <r>
    <x v="57"/>
    <x v="165"/>
    <n v="1.4967999999999999"/>
  </r>
  <r>
    <x v="82"/>
    <x v="165"/>
    <n v="1.5274000000000001"/>
  </r>
  <r>
    <x v="120"/>
    <x v="165"/>
    <n v="1.6886000000000001"/>
  </r>
  <r>
    <x v="5"/>
    <x v="165"/>
    <n v="1.2542"/>
  </r>
  <r>
    <x v="56"/>
    <x v="165"/>
    <n v="1.649"/>
  </r>
  <r>
    <x v="112"/>
    <x v="165"/>
    <n v="1.5472999999999999"/>
  </r>
  <r>
    <x v="116"/>
    <x v="165"/>
    <n v="1.9638"/>
  </r>
  <r>
    <x v="22"/>
    <x v="165"/>
    <n v="1.8011999999999999"/>
  </r>
  <r>
    <x v="119"/>
    <x v="165"/>
    <n v="1.3654999999999999"/>
  </r>
  <r>
    <x v="40"/>
    <x v="165"/>
    <n v="1.2522"/>
  </r>
  <r>
    <x v="76"/>
    <x v="165"/>
    <n v="1.6996"/>
  </r>
  <r>
    <x v="62"/>
    <x v="165"/>
    <n v="1.8416999999999999"/>
  </r>
  <r>
    <x v="30"/>
    <x v="165"/>
    <n v="1.2338"/>
  </r>
  <r>
    <x v="71"/>
    <x v="165"/>
    <n v="1.6085"/>
  </r>
  <r>
    <x v="80"/>
    <x v="165"/>
    <n v="1.8515999999999999"/>
  </r>
  <r>
    <x v="52"/>
    <x v="165"/>
    <n v="1.5274000000000001"/>
  </r>
  <r>
    <x v="63"/>
    <x v="165"/>
    <n v="1.6185"/>
  </r>
  <r>
    <x v="77"/>
    <x v="165"/>
    <n v="2.0041000000000002"/>
  </r>
  <r>
    <x v="31"/>
    <x v="165"/>
    <n v="1.3749"/>
  </r>
  <r>
    <x v="81"/>
    <x v="165"/>
    <n v="1.8211999999999999"/>
  </r>
  <r>
    <x v="35"/>
    <x v="165"/>
    <n v="1.4157999999999999"/>
  </r>
  <r>
    <x v="16"/>
    <x v="165"/>
    <n v="1.7201"/>
  </r>
  <r>
    <x v="3"/>
    <x v="165"/>
    <n v="1.4258999999999999"/>
  </r>
  <r>
    <x v="51"/>
    <x v="166"/>
    <n v="1.5373000000000001"/>
  </r>
  <r>
    <x v="1"/>
    <x v="166"/>
    <n v="2.7589000000000001"/>
  </r>
  <r>
    <x v="11"/>
    <x v="166"/>
    <n v="1.5183"/>
  </r>
  <r>
    <x v="109"/>
    <x v="166"/>
    <n v="2.0249000000000001"/>
  </r>
  <r>
    <x v="10"/>
    <x v="166"/>
    <n v="1.7814000000000001"/>
  </r>
  <r>
    <x v="64"/>
    <x v="167"/>
    <n v="1.4869000000000001"/>
  </r>
  <r>
    <x v="118"/>
    <x v="167"/>
    <n v="1.5172000000000001"/>
  </r>
  <r>
    <x v="114"/>
    <x v="168"/>
    <n v="1.6693"/>
  </r>
  <r>
    <x v="12"/>
    <x v="168"/>
    <n v="1.3956999999999999"/>
  </r>
  <r>
    <x v="23"/>
    <x v="169"/>
    <n v="1.6692"/>
  </r>
  <r>
    <x v="6"/>
    <x v="169"/>
    <n v="1.0321"/>
  </r>
  <r>
    <x v="58"/>
    <x v="169"/>
    <n v="1.74"/>
  </r>
  <r>
    <x v="24"/>
    <x v="170"/>
    <n v="1.3447"/>
  </r>
  <r>
    <x v="47"/>
    <x v="170"/>
    <n v="1.4861"/>
  </r>
  <r>
    <x v="119"/>
    <x v="170"/>
    <n v="1.3705000000000001"/>
  </r>
  <r>
    <x v="59"/>
    <x v="170"/>
    <n v="1.8463000000000001"/>
  </r>
  <r>
    <x v="66"/>
    <x v="170"/>
    <n v="1.5447"/>
  </r>
  <r>
    <x v="36"/>
    <x v="170"/>
    <n v="1.6996"/>
  </r>
  <r>
    <x v="86"/>
    <x v="170"/>
    <n v="1.6083000000000001"/>
  </r>
  <r>
    <x v="77"/>
    <x v="170"/>
    <n v="1.9635"/>
  </r>
  <r>
    <x v="46"/>
    <x v="170"/>
    <n v="1.6994"/>
  </r>
  <r>
    <x v="6"/>
    <x v="170"/>
    <n v="1.0623"/>
  </r>
  <r>
    <x v="79"/>
    <x v="170"/>
    <n v="1.3148"/>
  </r>
  <r>
    <x v="28"/>
    <x v="170"/>
    <n v="1.6288"/>
  </r>
  <r>
    <x v="78"/>
    <x v="170"/>
    <n v="1.7904"/>
  </r>
  <r>
    <x v="122"/>
    <x v="170"/>
    <n v="1.5576000000000001"/>
  </r>
  <r>
    <x v="32"/>
    <x v="170"/>
    <n v="2.2212999999999998"/>
  </r>
  <r>
    <x v="67"/>
    <x v="170"/>
    <n v="1.8112999999999999"/>
  </r>
  <r>
    <x v="39"/>
    <x v="170"/>
    <n v="1.3853"/>
  </r>
  <r>
    <x v="82"/>
    <x v="170"/>
    <n v="1.4970000000000001"/>
  </r>
  <r>
    <x v="22"/>
    <x v="170"/>
    <n v="1.8825000000000001"/>
  </r>
  <r>
    <x v="120"/>
    <x v="170"/>
    <n v="1.6667000000000001"/>
  </r>
  <r>
    <x v="118"/>
    <x v="170"/>
    <n v="1.5475000000000001"/>
  </r>
  <r>
    <x v="71"/>
    <x v="170"/>
    <n v="1.6289"/>
  </r>
  <r>
    <x v="75"/>
    <x v="171"/>
    <n v="1.5576000000000001"/>
  </r>
  <r>
    <x v="23"/>
    <x v="171"/>
    <n v="1.7301"/>
  </r>
  <r>
    <x v="7"/>
    <x v="171"/>
    <n v="1.6693"/>
  </r>
  <r>
    <x v="117"/>
    <x v="171"/>
    <n v="2.2692000000000001"/>
  </r>
  <r>
    <x v="70"/>
    <x v="171"/>
    <n v="1.5881000000000001"/>
  </r>
  <r>
    <x v="97"/>
    <x v="171"/>
    <n v="1.5681"/>
  </r>
  <r>
    <x v="11"/>
    <x v="171"/>
    <n v="1.6593"/>
  </r>
  <r>
    <x v="64"/>
    <x v="171"/>
    <n v="1.5071000000000001"/>
  </r>
  <r>
    <x v="32"/>
    <x v="171"/>
    <n v="2.3938999999999999"/>
  </r>
  <r>
    <x v="10"/>
    <x v="171"/>
    <n v="1.7932999999999999"/>
  </r>
  <r>
    <x v="117"/>
    <x v="172"/>
    <n v="2.1059999999999999"/>
  </r>
  <r>
    <x v="106"/>
    <x v="172"/>
    <n v="1.5983000000000001"/>
  </r>
  <r>
    <x v="99"/>
    <x v="172"/>
    <n v="1.7806"/>
  </r>
  <r>
    <x v="96"/>
    <x v="172"/>
    <n v="1.6378999999999999"/>
  </r>
  <r>
    <x v="22"/>
    <x v="172"/>
    <n v="1.8216000000000001"/>
  </r>
  <r>
    <x v="104"/>
    <x v="172"/>
    <n v="1.5128999999999999"/>
  </r>
  <r>
    <x v="3"/>
    <x v="173"/>
    <n v="1.4056999999999999"/>
  </r>
  <r>
    <x v="12"/>
    <x v="173"/>
    <n v="1.5477000000000001"/>
  </r>
  <r>
    <x v="94"/>
    <x v="173"/>
    <n v="1.6"/>
  </r>
  <r>
    <x v="19"/>
    <x v="173"/>
    <n v="1.9944"/>
  </r>
  <r>
    <x v="85"/>
    <x v="173"/>
    <n v="1.5172000000000001"/>
  </r>
  <r>
    <x v="23"/>
    <x v="174"/>
    <n v="1.8520000000000001"/>
  </r>
  <r>
    <x v="60"/>
    <x v="174"/>
    <n v="1.6997"/>
  </r>
  <r>
    <x v="5"/>
    <x v="174"/>
    <n v="1.2642"/>
  </r>
  <r>
    <x v="31"/>
    <x v="174"/>
    <n v="1.7603"/>
  </r>
  <r>
    <x v="4"/>
    <x v="174"/>
    <n v="1.6083000000000001"/>
  </r>
  <r>
    <x v="108"/>
    <x v="175"/>
    <n v="1.7706"/>
  </r>
  <r>
    <x v="73"/>
    <x v="175"/>
    <n v="2.1265999999999998"/>
  </r>
  <r>
    <x v="59"/>
    <x v="175"/>
    <n v="1.8463000000000001"/>
  </r>
  <r>
    <x v="107"/>
    <x v="175"/>
    <n v="1.6492"/>
  </r>
  <r>
    <x v="80"/>
    <x v="175"/>
    <n v="1.8517999999999999"/>
  </r>
  <r>
    <x v="69"/>
    <x v="175"/>
    <n v="1.6583000000000001"/>
  </r>
  <r>
    <x v="18"/>
    <x v="175"/>
    <n v="1.5375000000000001"/>
  </r>
  <r>
    <x v="37"/>
    <x v="175"/>
    <n v="1.7909999999999999"/>
  </r>
  <r>
    <x v="55"/>
    <x v="175"/>
    <n v="1.1632"/>
  </r>
  <r>
    <x v="58"/>
    <x v="175"/>
    <n v="1.7907"/>
  </r>
  <r>
    <x v="23"/>
    <x v="175"/>
    <n v="1.8723000000000001"/>
  </r>
  <r>
    <x v="77"/>
    <x v="175"/>
    <n v="1.9635"/>
  </r>
  <r>
    <x v="54"/>
    <x v="175"/>
    <n v="1.7706999999999999"/>
  </r>
  <r>
    <x v="9"/>
    <x v="175"/>
    <n v="1.6894"/>
  </r>
  <r>
    <x v="86"/>
    <x v="175"/>
    <n v="1.6083000000000001"/>
  </r>
  <r>
    <x v="28"/>
    <x v="175"/>
    <n v="1.6796"/>
  </r>
  <r>
    <x v="24"/>
    <x v="175"/>
    <n v="1.3043"/>
  </r>
  <r>
    <x v="6"/>
    <x v="175"/>
    <n v="1.0623"/>
  </r>
  <r>
    <x v="40"/>
    <x v="175"/>
    <n v="1.6187"/>
  </r>
  <r>
    <x v="51"/>
    <x v="175"/>
    <n v="1.5476000000000001"/>
  </r>
  <r>
    <x v="4"/>
    <x v="175"/>
    <n v="1.6083000000000001"/>
  </r>
  <r>
    <x v="115"/>
    <x v="175"/>
    <n v="1.8008999999999999"/>
  </r>
  <r>
    <x v="102"/>
    <x v="175"/>
    <n v="1.7524"/>
  </r>
  <r>
    <x v="123"/>
    <x v="175"/>
    <n v="2.0552000000000001"/>
  </r>
  <r>
    <x v="39"/>
    <x v="175"/>
    <n v="1.4259999999999999"/>
  </r>
  <r>
    <x v="12"/>
    <x v="175"/>
    <n v="1.5477000000000001"/>
  </r>
  <r>
    <x v="82"/>
    <x v="175"/>
    <n v="1.6289"/>
  </r>
  <r>
    <x v="66"/>
    <x v="175"/>
    <n v="1.5132000000000001"/>
  </r>
  <r>
    <x v="122"/>
    <x v="175"/>
    <n v="1.6386000000000001"/>
  </r>
  <r>
    <x v="119"/>
    <x v="175"/>
    <n v="1.7404999999999999"/>
  </r>
  <r>
    <x v="70"/>
    <x v="175"/>
    <n v="1.5982000000000001"/>
  </r>
  <r>
    <x v="109"/>
    <x v="175"/>
    <n v="2.1366999999999998"/>
  </r>
  <r>
    <x v="97"/>
    <x v="175"/>
    <n v="1.7199"/>
  </r>
  <r>
    <x v="29"/>
    <x v="175"/>
    <n v="1.6766000000000001"/>
  </r>
  <r>
    <x v="3"/>
    <x v="175"/>
    <n v="1.5069999999999999"/>
  </r>
  <r>
    <x v="89"/>
    <x v="176"/>
    <n v="1.7401"/>
  </r>
  <r>
    <x v="24"/>
    <x v="176"/>
    <n v="1.3043"/>
  </r>
  <r>
    <x v="44"/>
    <x v="176"/>
    <n v="1.7"/>
  </r>
  <r>
    <x v="70"/>
    <x v="176"/>
    <n v="1.6287"/>
  </r>
  <r>
    <x v="111"/>
    <x v="176"/>
    <n v="1.8"/>
  </r>
  <r>
    <x v="11"/>
    <x v="176"/>
    <n v="1.7645999999999999"/>
  </r>
  <r>
    <x v="33"/>
    <x v="176"/>
    <n v="1.6894"/>
  </r>
  <r>
    <x v="117"/>
    <x v="176"/>
    <n v="2.1467999999999998"/>
  </r>
  <r>
    <x v="10"/>
    <x v="176"/>
    <n v="1.9857"/>
  </r>
  <r>
    <x v="113"/>
    <x v="176"/>
    <n v="1.7707999999999999"/>
  </r>
  <r>
    <x v="88"/>
    <x v="176"/>
    <n v="2.2690000000000001"/>
  </r>
  <r>
    <x v="96"/>
    <x v="177"/>
    <n v="1.8105"/>
  </r>
  <r>
    <x v="120"/>
    <x v="177"/>
    <n v="1.6338999999999999"/>
  </r>
  <r>
    <x v="75"/>
    <x v="177"/>
    <n v="1.7302"/>
  </r>
  <r>
    <x v="33"/>
    <x v="177"/>
    <n v="1.6894"/>
  </r>
  <r>
    <x v="10"/>
    <x v="177"/>
    <n v="1.9857"/>
  </r>
  <r>
    <x v="72"/>
    <x v="177"/>
    <n v="1.9941"/>
  </r>
  <r>
    <x v="47"/>
    <x v="177"/>
    <n v="1.5273000000000001"/>
  </r>
  <r>
    <x v="71"/>
    <x v="177"/>
    <n v="1.6289"/>
  </r>
  <r>
    <x v="106"/>
    <x v="177"/>
    <n v="1.6998"/>
  </r>
  <r>
    <x v="20"/>
    <x v="177"/>
    <n v="1.5578000000000001"/>
  </r>
  <r>
    <x v="96"/>
    <x v="178"/>
    <n v="1.9807999999999999"/>
  </r>
  <r>
    <x v="12"/>
    <x v="178"/>
    <n v="1.5679000000000001"/>
  </r>
  <r>
    <x v="49"/>
    <x v="179"/>
    <n v="1.9530000000000001"/>
  </r>
  <r>
    <x v="23"/>
    <x v="179"/>
    <n v="1.8113999999999999"/>
  </r>
  <r>
    <x v="65"/>
    <x v="179"/>
    <n v="1.8314999999999999"/>
  </r>
  <r>
    <x v="106"/>
    <x v="179"/>
    <n v="1.8826000000000001"/>
  </r>
  <r>
    <x v="22"/>
    <x v="179"/>
    <n v="2.0045999999999999"/>
  </r>
  <r>
    <x v="36"/>
    <x v="179"/>
    <n v="1.9739"/>
  </r>
  <r>
    <x v="95"/>
    <x v="179"/>
    <n v="1.9738"/>
  </r>
  <r>
    <x v="118"/>
    <x v="180"/>
    <n v="2.0045999999999999"/>
  </r>
  <r>
    <x v="59"/>
    <x v="180"/>
    <n v="1.9479"/>
  </r>
  <r>
    <x v="49"/>
    <x v="180"/>
    <n v="1.9530000000000001"/>
  </r>
  <r>
    <x v="37"/>
    <x v="180"/>
    <n v="1.7808999999999999"/>
  </r>
  <r>
    <x v="29"/>
    <x v="180"/>
    <n v="1.6766000000000001"/>
  </r>
  <r>
    <x v="77"/>
    <x v="180"/>
    <n v="1.9635"/>
  </r>
  <r>
    <x v="0"/>
    <x v="180"/>
    <n v="1.3958999999999999"/>
  </r>
  <r>
    <x v="39"/>
    <x v="180"/>
    <n v="1.4259999999999999"/>
  </r>
  <r>
    <x v="26"/>
    <x v="180"/>
    <n v="1.4564999999999999"/>
  </r>
  <r>
    <x v="122"/>
    <x v="180"/>
    <n v="1.9435"/>
  </r>
  <r>
    <x v="53"/>
    <x v="180"/>
    <n v="1.7458"/>
  </r>
  <r>
    <x v="9"/>
    <x v="180"/>
    <n v="1.6894"/>
  </r>
  <r>
    <x v="81"/>
    <x v="180"/>
    <n v="2.0044"/>
  </r>
  <r>
    <x v="79"/>
    <x v="180"/>
    <n v="1.6489"/>
  </r>
  <r>
    <x v="36"/>
    <x v="180"/>
    <n v="1.8824000000000001"/>
  </r>
  <r>
    <x v="63"/>
    <x v="180"/>
    <n v="1.7098"/>
  </r>
  <r>
    <x v="80"/>
    <x v="180"/>
    <n v="1.9638"/>
  </r>
  <r>
    <x v="3"/>
    <x v="180"/>
    <n v="1.6288"/>
  </r>
  <r>
    <x v="75"/>
    <x v="180"/>
    <n v="1.7301"/>
  </r>
  <r>
    <x v="82"/>
    <x v="180"/>
    <n v="1.8318000000000001"/>
  </r>
  <r>
    <x v="71"/>
    <x v="180"/>
    <n v="1.7708999999999999"/>
  </r>
  <r>
    <x v="42"/>
    <x v="181"/>
    <n v="1.974"/>
  </r>
  <r>
    <x v="26"/>
    <x v="181"/>
    <n v="1.4564999999999999"/>
  </r>
  <r>
    <x v="13"/>
    <x v="181"/>
    <n v="1.6486000000000001"/>
  </r>
  <r>
    <x v="117"/>
    <x v="181"/>
    <n v="2.157"/>
  </r>
  <r>
    <x v="71"/>
    <x v="181"/>
    <n v="1.6593"/>
  </r>
  <r>
    <x v="86"/>
    <x v="181"/>
    <n v="1.5475000000000001"/>
  </r>
  <r>
    <x v="11"/>
    <x v="181"/>
    <n v="1.7258"/>
  </r>
  <r>
    <x v="40"/>
    <x v="181"/>
    <n v="1.6187"/>
  </r>
  <r>
    <x v="92"/>
    <x v="181"/>
    <n v="1.6286"/>
  </r>
  <r>
    <x v="21"/>
    <x v="181"/>
    <n v="1.7098"/>
  </r>
  <r>
    <x v="23"/>
    <x v="181"/>
    <n v="2.0249000000000001"/>
  </r>
  <r>
    <x v="55"/>
    <x v="181"/>
    <n v="1.3957999999999999"/>
  </r>
  <r>
    <x v="83"/>
    <x v="181"/>
    <n v="1.7606999999999999"/>
  </r>
  <r>
    <x v="10"/>
    <x v="181"/>
    <n v="1.7655000000000001"/>
  </r>
  <r>
    <x v="34"/>
    <x v="181"/>
    <n v="1.9127000000000001"/>
  </r>
  <r>
    <x v="118"/>
    <x v="182"/>
    <n v="1.8115000000000001"/>
  </r>
  <r>
    <x v="77"/>
    <x v="182"/>
    <n v="1.9635"/>
  </r>
  <r>
    <x v="23"/>
    <x v="182"/>
    <n v="1.8217000000000001"/>
  </r>
  <r>
    <x v="53"/>
    <x v="182"/>
    <n v="1.9494"/>
  </r>
  <r>
    <x v="78"/>
    <x v="182"/>
    <n v="1.8010999999999999"/>
  </r>
  <r>
    <x v="22"/>
    <x v="182"/>
    <n v="2.0045999999999999"/>
  </r>
  <r>
    <x v="70"/>
    <x v="182"/>
    <n v="1.7707999999999999"/>
  </r>
  <r>
    <x v="46"/>
    <x v="182"/>
    <n v="1.7098"/>
  </r>
  <r>
    <x v="60"/>
    <x v="182"/>
    <n v="2.0350000000000001"/>
  </r>
  <r>
    <x v="106"/>
    <x v="182"/>
    <n v="1.7302"/>
  </r>
  <r>
    <x v="24"/>
    <x v="182"/>
    <n v="1.6086"/>
  </r>
  <r>
    <x v="26"/>
    <x v="183"/>
    <n v="1.4564999999999999"/>
  </r>
  <r>
    <x v="119"/>
    <x v="183"/>
    <n v="1.6998"/>
  </r>
  <r>
    <x v="6"/>
    <x v="183"/>
    <n v="1.0017"/>
  </r>
  <r>
    <x v="118"/>
    <x v="183"/>
    <n v="1.8520000000000001"/>
  </r>
  <r>
    <x v="19"/>
    <x v="183"/>
    <n v="1.9944"/>
  </r>
  <r>
    <x v="69"/>
    <x v="183"/>
    <n v="1.8212999999999999"/>
  </r>
  <r>
    <x v="83"/>
    <x v="183"/>
    <n v="1.6287"/>
  </r>
  <r>
    <x v="76"/>
    <x v="183"/>
    <n v="1.71"/>
  </r>
  <r>
    <x v="65"/>
    <x v="184"/>
    <n v="1.8314999999999999"/>
  </r>
  <r>
    <x v="21"/>
    <x v="184"/>
    <n v="1.8011999999999999"/>
  </r>
  <r>
    <x v="59"/>
    <x v="184"/>
    <n v="2.0466000000000002"/>
  </r>
  <r>
    <x v="85"/>
    <x v="184"/>
    <n v="1.6692"/>
  </r>
  <r>
    <x v="68"/>
    <x v="184"/>
    <n v="1.7706"/>
  </r>
  <r>
    <x v="115"/>
    <x v="184"/>
    <n v="1.8313999999999999"/>
  </r>
  <r>
    <x v="84"/>
    <x v="184"/>
    <n v="1.8313999999999999"/>
  </r>
  <r>
    <x v="117"/>
    <x v="184"/>
    <n v="2.0857000000000001"/>
  </r>
  <r>
    <x v="84"/>
    <x v="185"/>
    <n v="1.8313999999999999"/>
  </r>
  <r>
    <x v="2"/>
    <x v="185"/>
    <n v="1.8824000000000001"/>
  </r>
  <r>
    <x v="31"/>
    <x v="185"/>
    <n v="2.0752999999999999"/>
  </r>
  <r>
    <x v="12"/>
    <x v="185"/>
    <n v="1.5679000000000001"/>
  </r>
  <r>
    <x v="73"/>
    <x v="185"/>
    <n v="2.1164000000000001"/>
  </r>
  <r>
    <x v="45"/>
    <x v="185"/>
    <n v="1.6693"/>
  </r>
  <r>
    <x v="32"/>
    <x v="185"/>
    <n v="2.3938999999999999"/>
  </r>
  <r>
    <x v="100"/>
    <x v="185"/>
    <n v="1.7403999999999999"/>
  </r>
  <r>
    <x v="66"/>
    <x v="185"/>
    <n v="1.8654999999999999"/>
  </r>
  <r>
    <x v="29"/>
    <x v="185"/>
    <n v="1.6766000000000001"/>
  </r>
  <r>
    <x v="79"/>
    <x v="185"/>
    <n v="1.6083000000000001"/>
  </r>
  <r>
    <x v="90"/>
    <x v="185"/>
    <n v="2.0956999999999999"/>
  </r>
  <r>
    <x v="20"/>
    <x v="185"/>
    <n v="1.5679000000000001"/>
  </r>
  <r>
    <x v="121"/>
    <x v="185"/>
    <n v="1.7807999999999999"/>
  </r>
  <r>
    <x v="44"/>
    <x v="185"/>
    <n v="1.7404999999999999"/>
  </r>
  <r>
    <x v="28"/>
    <x v="185"/>
    <n v="1.6897"/>
  </r>
  <r>
    <x v="41"/>
    <x v="185"/>
    <n v="1.4764999999999999"/>
  </r>
  <r>
    <x v="6"/>
    <x v="185"/>
    <n v="1.0219"/>
  </r>
  <r>
    <x v="109"/>
    <x v="185"/>
    <n v="2.1366999999999998"/>
  </r>
  <r>
    <x v="16"/>
    <x v="185"/>
    <n v="2.0045000000000002"/>
  </r>
  <r>
    <x v="70"/>
    <x v="185"/>
    <n v="1.7707999999999999"/>
  </r>
  <r>
    <x v="39"/>
    <x v="185"/>
    <n v="1.4259999999999999"/>
  </r>
  <r>
    <x v="36"/>
    <x v="185"/>
    <n v="1.8112999999999999"/>
  </r>
  <r>
    <x v="77"/>
    <x v="185"/>
    <n v="1.9635"/>
  </r>
  <r>
    <x v="112"/>
    <x v="185"/>
    <n v="1.7909999999999999"/>
  </r>
  <r>
    <x v="124"/>
    <x v="185"/>
    <n v="1.639"/>
  </r>
  <r>
    <x v="64"/>
    <x v="185"/>
    <n v="1.9028"/>
  </r>
  <r>
    <x v="94"/>
    <x v="185"/>
    <n v="1.913"/>
  </r>
  <r>
    <x v="34"/>
    <x v="185"/>
    <n v="1.8313999999999999"/>
  </r>
  <r>
    <x v="82"/>
    <x v="185"/>
    <n v="1.6998"/>
  </r>
  <r>
    <x v="102"/>
    <x v="185"/>
    <n v="1.7726999999999999"/>
  </r>
  <r>
    <x v="75"/>
    <x v="185"/>
    <n v="1.7098"/>
  </r>
  <r>
    <x v="81"/>
    <x v="185"/>
    <n v="1.9231"/>
  </r>
  <r>
    <x v="18"/>
    <x v="185"/>
    <n v="1.7605"/>
  </r>
  <r>
    <x v="7"/>
    <x v="185"/>
    <n v="1.6693"/>
  </r>
  <r>
    <x v="71"/>
    <x v="185"/>
    <n v="1.6492"/>
  </r>
  <r>
    <x v="30"/>
    <x v="185"/>
    <n v="1.5578000000000001"/>
  </r>
  <r>
    <x v="54"/>
    <x v="186"/>
    <n v="1.72"/>
  </r>
  <r>
    <x v="122"/>
    <x v="186"/>
    <n v="1.8521000000000001"/>
  </r>
  <r>
    <x v="0"/>
    <x v="186"/>
    <n v="1.5376000000000001"/>
  </r>
  <r>
    <x v="116"/>
    <x v="186"/>
    <n v="1.9536"/>
  </r>
  <r>
    <x v="99"/>
    <x v="186"/>
    <n v="1.8723000000000001"/>
  </r>
  <r>
    <x v="33"/>
    <x v="186"/>
    <n v="1.8620000000000001"/>
  </r>
  <r>
    <x v="50"/>
    <x v="186"/>
    <n v="2.0655000000000001"/>
  </r>
  <r>
    <x v="11"/>
    <x v="186"/>
    <n v="1.7842"/>
  </r>
  <r>
    <x v="85"/>
    <x v="186"/>
    <n v="1.6998"/>
  </r>
  <r>
    <x v="1"/>
    <x v="186"/>
    <n v="2.6974"/>
  </r>
  <r>
    <x v="48"/>
    <x v="186"/>
    <n v="1.8926000000000001"/>
  </r>
  <r>
    <x v="117"/>
    <x v="186"/>
    <n v="1.9335"/>
  </r>
  <r>
    <x v="10"/>
    <x v="186"/>
    <n v="1.8056000000000001"/>
  </r>
  <r>
    <x v="27"/>
    <x v="186"/>
    <n v="2.1469"/>
  </r>
  <r>
    <x v="103"/>
    <x v="187"/>
    <n v="1.7708999999999999"/>
  </r>
  <r>
    <x v="44"/>
    <x v="188"/>
    <n v="1.7404999999999999"/>
  </r>
  <r>
    <x v="106"/>
    <x v="188"/>
    <n v="1.7302"/>
  </r>
  <r>
    <x v="22"/>
    <x v="189"/>
    <n v="2.0045999999999999"/>
  </r>
  <r>
    <x v="29"/>
    <x v="189"/>
    <n v="1.6766000000000001"/>
  </r>
  <r>
    <x v="12"/>
    <x v="189"/>
    <n v="1.5781000000000001"/>
  </r>
  <r>
    <x v="0"/>
    <x v="189"/>
    <n v="1.4870000000000001"/>
  </r>
  <r>
    <x v="51"/>
    <x v="190"/>
    <n v="1.6895"/>
  </r>
  <r>
    <x v="46"/>
    <x v="190"/>
    <n v="1.9638"/>
  </r>
  <r>
    <x v="122"/>
    <x v="190"/>
    <n v="1.7403999999999999"/>
  </r>
  <r>
    <x v="36"/>
    <x v="190"/>
    <n v="1.8419000000000001"/>
  </r>
  <r>
    <x v="86"/>
    <x v="190"/>
    <n v="1.6995"/>
  </r>
  <r>
    <x v="23"/>
    <x v="190"/>
    <n v="1.8724000000000001"/>
  </r>
  <r>
    <x v="17"/>
    <x v="190"/>
    <n v="1.5780000000000001"/>
  </r>
  <r>
    <x v="39"/>
    <x v="190"/>
    <n v="1.4259999999999999"/>
  </r>
  <r>
    <x v="77"/>
    <x v="190"/>
    <n v="2.0044"/>
  </r>
  <r>
    <x v="79"/>
    <x v="190"/>
    <n v="1.8824000000000001"/>
  </r>
  <r>
    <x v="6"/>
    <x v="190"/>
    <n v="1.0117"/>
  </r>
  <r>
    <x v="28"/>
    <x v="190"/>
    <n v="1.7607999999999999"/>
  </r>
  <r>
    <x v="35"/>
    <x v="190"/>
    <n v="2.0756999999999999"/>
  </r>
  <r>
    <x v="70"/>
    <x v="190"/>
    <n v="1.8724000000000001"/>
  </r>
  <r>
    <x v="71"/>
    <x v="190"/>
    <n v="1.7707999999999999"/>
  </r>
  <r>
    <x v="32"/>
    <x v="190"/>
    <n v="2.3938999999999999"/>
  </r>
  <r>
    <x v="82"/>
    <x v="190"/>
    <n v="1.7505999999999999"/>
  </r>
  <r>
    <x v="73"/>
    <x v="190"/>
    <n v="2.0756999999999999"/>
  </r>
  <r>
    <x v="22"/>
    <x v="190"/>
    <n v="2.0045000000000002"/>
  </r>
  <r>
    <x v="118"/>
    <x v="190"/>
    <n v="1.7201"/>
  </r>
  <r>
    <x v="0"/>
    <x v="190"/>
    <n v="1.5883"/>
  </r>
  <r>
    <x v="3"/>
    <x v="190"/>
    <n v="1.6288"/>
  </r>
  <r>
    <x v="71"/>
    <x v="191"/>
    <n v="1.9028"/>
  </r>
  <r>
    <x v="120"/>
    <x v="191"/>
    <n v="1.8573999999999999"/>
  </r>
  <r>
    <x v="118"/>
    <x v="191"/>
    <n v="1.8216000000000001"/>
  </r>
  <r>
    <x v="9"/>
    <x v="191"/>
    <n v="1.6894"/>
  </r>
  <r>
    <x v="99"/>
    <x v="191"/>
    <n v="2.1162999999999998"/>
  </r>
  <r>
    <x v="33"/>
    <x v="191"/>
    <n v="1.9231"/>
  </r>
  <r>
    <x v="11"/>
    <x v="191"/>
    <n v="1.7911999999999999"/>
  </r>
  <r>
    <x v="29"/>
    <x v="191"/>
    <n v="1.8983000000000001"/>
  </r>
  <r>
    <x v="10"/>
    <x v="191"/>
    <n v="1.8748"/>
  </r>
  <r>
    <x v="75"/>
    <x v="191"/>
    <n v="1.7707999999999999"/>
  </r>
  <r>
    <x v="92"/>
    <x v="191"/>
    <n v="2.0146000000000002"/>
  </r>
  <r>
    <x v="26"/>
    <x v="191"/>
    <n v="1.9435"/>
  </r>
  <r>
    <x v="114"/>
    <x v="191"/>
    <n v="1.9638"/>
  </r>
  <r>
    <x v="0"/>
    <x v="192"/>
    <n v="1.8927"/>
  </r>
  <r>
    <x v="117"/>
    <x v="192"/>
    <n v="1.9231"/>
  </r>
  <r>
    <x v="73"/>
    <x v="192"/>
    <n v="2.1164000000000001"/>
  </r>
  <r>
    <x v="13"/>
    <x v="192"/>
    <n v="1.9434"/>
  </r>
  <r>
    <x v="106"/>
    <x v="192"/>
    <n v="1.9132"/>
  </r>
  <r>
    <x v="32"/>
    <x v="192"/>
    <n v="2.3828"/>
  </r>
  <r>
    <x v="28"/>
    <x v="192"/>
    <n v="1.7506999999999999"/>
  </r>
  <r>
    <x v="84"/>
    <x v="192"/>
    <n v="1.8519000000000001"/>
  </r>
  <r>
    <x v="71"/>
    <x v="192"/>
    <n v="1.9028"/>
  </r>
  <r>
    <x v="26"/>
    <x v="192"/>
    <n v="1.903"/>
  </r>
  <r>
    <x v="12"/>
    <x v="192"/>
    <n v="1.6086"/>
  </r>
  <r>
    <x v="55"/>
    <x v="192"/>
    <n v="1.7098"/>
  </r>
  <r>
    <x v="20"/>
    <x v="192"/>
    <n v="1.7910999999999999"/>
  </r>
  <r>
    <x v="97"/>
    <x v="192"/>
    <n v="2.0045999999999999"/>
  </r>
  <r>
    <x v="33"/>
    <x v="192"/>
    <n v="2.0962000000000001"/>
  </r>
  <r>
    <x v="47"/>
    <x v="193"/>
    <n v="1.7810999999999999"/>
  </r>
  <r>
    <x v="20"/>
    <x v="193"/>
    <n v="1.7910999999999999"/>
  </r>
  <r>
    <x v="51"/>
    <x v="193"/>
    <n v="1.7099"/>
  </r>
  <r>
    <x v="23"/>
    <x v="193"/>
    <n v="1.9437"/>
  </r>
  <r>
    <x v="59"/>
    <x v="193"/>
    <n v="2.0030999999999999"/>
  </r>
  <r>
    <x v="89"/>
    <x v="193"/>
    <n v="1.8633"/>
  </r>
  <r>
    <x v="6"/>
    <x v="193"/>
    <n v="1.1489"/>
  </r>
  <r>
    <x v="65"/>
    <x v="193"/>
    <n v="2.0041000000000002"/>
  </r>
  <r>
    <x v="12"/>
    <x v="193"/>
    <n v="1.6086"/>
  </r>
  <r>
    <x v="53"/>
    <x v="193"/>
    <n v="1.7498"/>
  </r>
  <r>
    <x v="55"/>
    <x v="193"/>
    <n v="1.7502"/>
  </r>
  <r>
    <x v="21"/>
    <x v="193"/>
    <n v="1.8827"/>
  </r>
  <r>
    <x v="22"/>
    <x v="193"/>
    <n v="1.9944"/>
  </r>
  <r>
    <x v="68"/>
    <x v="193"/>
    <n v="1.8318000000000001"/>
  </r>
  <r>
    <x v="8"/>
    <x v="193"/>
    <n v="2.0148000000000001"/>
  </r>
  <r>
    <x v="94"/>
    <x v="193"/>
    <n v="1.9029"/>
  </r>
  <r>
    <x v="56"/>
    <x v="193"/>
    <n v="1.9234"/>
  </r>
  <r>
    <x v="124"/>
    <x v="193"/>
    <n v="1.7506999999999999"/>
  </r>
  <r>
    <x v="37"/>
    <x v="194"/>
    <n v="2.0962000000000001"/>
  </r>
  <r>
    <x v="41"/>
    <x v="194"/>
    <n v="1.6695"/>
  </r>
  <r>
    <x v="80"/>
    <x v="194"/>
    <n v="1.9944999999999999"/>
  </r>
  <r>
    <x v="34"/>
    <x v="194"/>
    <n v="1.9637"/>
  </r>
  <r>
    <x v="79"/>
    <x v="194"/>
    <n v="1.8927"/>
  </r>
  <r>
    <x v="55"/>
    <x v="194"/>
    <n v="1.7502"/>
  </r>
  <r>
    <x v="39"/>
    <x v="194"/>
    <n v="1.6288"/>
  </r>
  <r>
    <x v="44"/>
    <x v="194"/>
    <n v="1.8624000000000001"/>
  </r>
  <r>
    <x v="45"/>
    <x v="194"/>
    <n v="1.8318000000000001"/>
  </r>
  <r>
    <x v="9"/>
    <x v="194"/>
    <n v="2.0554999999999999"/>
  </r>
  <r>
    <x v="64"/>
    <x v="194"/>
    <n v="1.8927"/>
  </r>
  <r>
    <x v="46"/>
    <x v="194"/>
    <n v="2.1063000000000001"/>
  </r>
  <r>
    <x v="66"/>
    <x v="194"/>
    <n v="2.4102000000000001"/>
  </r>
  <r>
    <x v="4"/>
    <x v="194"/>
    <n v="1.6695"/>
  </r>
  <r>
    <x v="53"/>
    <x v="194"/>
    <n v="2"/>
  </r>
  <r>
    <x v="22"/>
    <x v="194"/>
    <n v="1.9944"/>
  </r>
  <r>
    <x v="47"/>
    <x v="194"/>
    <n v="1.6897"/>
  </r>
  <r>
    <x v="78"/>
    <x v="194"/>
    <n v="1.9944"/>
  </r>
  <r>
    <x v="95"/>
    <x v="194"/>
    <n v="2.2183000000000002"/>
  </r>
  <r>
    <x v="28"/>
    <x v="194"/>
    <n v="1.9741"/>
  </r>
  <r>
    <x v="122"/>
    <x v="194"/>
    <n v="2.0148000000000001"/>
  </r>
  <r>
    <x v="115"/>
    <x v="194"/>
    <n v="2.0348999999999999"/>
  </r>
  <r>
    <x v="52"/>
    <x v="194"/>
    <n v="2.0756999999999999"/>
  </r>
  <r>
    <x v="102"/>
    <x v="194"/>
    <n v="1.9142999999999999"/>
  </r>
  <r>
    <x v="54"/>
    <x v="194"/>
    <n v="2.0962000000000001"/>
  </r>
  <r>
    <x v="18"/>
    <x v="194"/>
    <n v="1.9335"/>
  </r>
  <r>
    <x v="69"/>
    <x v="194"/>
    <n v="2.0146999999999999"/>
  </r>
  <r>
    <x v="49"/>
    <x v="194"/>
    <n v="2.0146999999999999"/>
  </r>
  <r>
    <x v="119"/>
    <x v="194"/>
    <n v="1.8978999999999999"/>
  </r>
  <r>
    <x v="62"/>
    <x v="194"/>
    <n v="2.0453000000000001"/>
  </r>
  <r>
    <x v="24"/>
    <x v="194"/>
    <n v="1.6188"/>
  </r>
  <r>
    <x v="14"/>
    <x v="194"/>
    <n v="1.8522000000000001"/>
  </r>
  <r>
    <x v="107"/>
    <x v="194"/>
    <n v="1.8421000000000001"/>
  </r>
  <r>
    <x v="57"/>
    <x v="194"/>
    <n v="2.0143"/>
  </r>
  <r>
    <x v="70"/>
    <x v="194"/>
    <n v="1.9944"/>
  </r>
  <r>
    <x v="77"/>
    <x v="194"/>
    <n v="1.9943"/>
  </r>
  <r>
    <x v="33"/>
    <x v="194"/>
    <n v="1.9436"/>
  </r>
  <r>
    <x v="48"/>
    <x v="194"/>
    <n v="1.9233"/>
  </r>
  <r>
    <x v="60"/>
    <x v="194"/>
    <n v="2.1572"/>
  </r>
  <r>
    <x v="75"/>
    <x v="194"/>
    <n v="1.8521000000000001"/>
  </r>
  <r>
    <x v="84"/>
    <x v="194"/>
    <n v="2.4116"/>
  </r>
  <r>
    <x v="76"/>
    <x v="194"/>
    <n v="2.0554999999999999"/>
  </r>
  <r>
    <x v="5"/>
    <x v="194"/>
    <n v="1.964"/>
  </r>
  <r>
    <x v="0"/>
    <x v="194"/>
    <n v="1.8927"/>
  </r>
  <r>
    <x v="40"/>
    <x v="194"/>
    <n v="2.0247000000000002"/>
  </r>
  <r>
    <x v="82"/>
    <x v="194"/>
    <n v="2.0962000000000001"/>
  </r>
  <r>
    <x v="30"/>
    <x v="194"/>
    <n v="2.0045999999999999"/>
  </r>
  <r>
    <x v="58"/>
    <x v="194"/>
    <n v="1.9537"/>
  </r>
  <r>
    <x v="36"/>
    <x v="194"/>
    <n v="1.903"/>
  </r>
  <r>
    <x v="19"/>
    <x v="194"/>
    <n v="2.198"/>
  </r>
  <r>
    <x v="71"/>
    <x v="194"/>
    <n v="1.8825000000000001"/>
  </r>
  <r>
    <x v="72"/>
    <x v="194"/>
    <n v="1.9026000000000001"/>
  </r>
  <r>
    <x v="51"/>
    <x v="194"/>
    <n v="1.8194999999999999"/>
  </r>
  <r>
    <x v="16"/>
    <x v="194"/>
    <n v="2.1265999999999998"/>
  </r>
  <r>
    <x v="20"/>
    <x v="194"/>
    <n v="1.8317000000000001"/>
  </r>
  <r>
    <x v="81"/>
    <x v="194"/>
    <n v="2.0758000000000001"/>
  </r>
  <r>
    <x v="118"/>
    <x v="194"/>
    <n v="1.9334"/>
  </r>
  <r>
    <x v="63"/>
    <x v="194"/>
    <n v="1.9437"/>
  </r>
  <r>
    <x v="86"/>
    <x v="194"/>
    <n v="1.9538"/>
  </r>
  <r>
    <x v="3"/>
    <x v="194"/>
    <n v="1.6087"/>
  </r>
  <r>
    <x v="106"/>
    <x v="194"/>
    <n v="1.9233"/>
  </r>
  <r>
    <x v="29"/>
    <x v="194"/>
    <n v="1.9514"/>
  </r>
  <r>
    <x v="5"/>
    <x v="195"/>
    <n v="1.964"/>
  </r>
  <r>
    <x v="118"/>
    <x v="195"/>
    <n v="1.9435"/>
  </r>
  <r>
    <x v="31"/>
    <x v="195"/>
    <n v="2.1873"/>
  </r>
  <r>
    <x v="43"/>
    <x v="195"/>
    <n v="1.8317000000000001"/>
  </r>
  <r>
    <x v="33"/>
    <x v="195"/>
    <n v="1.9436"/>
  </r>
  <r>
    <x v="48"/>
    <x v="195"/>
    <n v="1.9233"/>
  </r>
  <r>
    <x v="111"/>
    <x v="195"/>
    <n v="1.9"/>
  </r>
  <r>
    <x v="7"/>
    <x v="195"/>
    <n v="1.8319000000000001"/>
  </r>
  <r>
    <x v="10"/>
    <x v="195"/>
    <n v="2.1335999999999999"/>
  </r>
  <r>
    <x v="117"/>
    <x v="196"/>
    <n v="1.8827"/>
  </r>
  <r>
    <x v="83"/>
    <x v="196"/>
    <n v="1.8522000000000001"/>
  </r>
  <r>
    <x v="88"/>
    <x v="196"/>
    <n v="2.1570999999999998"/>
  </r>
  <r>
    <x v="11"/>
    <x v="197"/>
    <n v="1.9419999999999999"/>
  </r>
  <r>
    <x v="20"/>
    <x v="197"/>
    <n v="1.8419000000000001"/>
  </r>
  <r>
    <x v="33"/>
    <x v="197"/>
    <n v="1.9436"/>
  </r>
  <r>
    <x v="26"/>
    <x v="198"/>
    <n v="2.0045000000000002"/>
  </r>
  <r>
    <x v="23"/>
    <x v="198"/>
    <n v="2.1469999999999998"/>
  </r>
  <r>
    <x v="45"/>
    <x v="199"/>
    <n v="1.8318000000000001"/>
  </r>
  <r>
    <x v="28"/>
    <x v="199"/>
    <n v="2.0350000000000001"/>
  </r>
  <r>
    <x v="55"/>
    <x v="199"/>
    <n v="2.0651999999999999"/>
  </r>
  <r>
    <x v="115"/>
    <x v="199"/>
    <n v="2.0451000000000001"/>
  </r>
  <r>
    <x v="36"/>
    <x v="199"/>
    <n v="2.0249000000000001"/>
  </r>
  <r>
    <x v="69"/>
    <x v="199"/>
    <n v="2.0146999999999999"/>
  </r>
  <r>
    <x v="20"/>
    <x v="199"/>
    <n v="1.8419000000000001"/>
  </r>
  <r>
    <x v="118"/>
    <x v="199"/>
    <n v="2.2385999999999999"/>
  </r>
  <r>
    <x v="123"/>
    <x v="199"/>
    <n v="2.4834000000000001"/>
  </r>
  <r>
    <x v="122"/>
    <x v="199"/>
    <n v="2.0554000000000001"/>
  </r>
  <r>
    <x v="50"/>
    <x v="199"/>
    <n v="2.0554999999999999"/>
  </r>
  <r>
    <x v="64"/>
    <x v="199"/>
    <n v="1.8927"/>
  </r>
  <r>
    <x v="39"/>
    <x v="199"/>
    <n v="1.6288"/>
  </r>
  <r>
    <x v="86"/>
    <x v="199"/>
    <n v="2.1568000000000001"/>
  </r>
  <r>
    <x v="32"/>
    <x v="199"/>
    <n v="2.6255000000000002"/>
  </r>
  <r>
    <x v="79"/>
    <x v="199"/>
    <n v="1.9639"/>
  </r>
  <r>
    <x v="75"/>
    <x v="199"/>
    <n v="1.9842"/>
  </r>
  <r>
    <x v="71"/>
    <x v="199"/>
    <n v="1.9841"/>
  </r>
  <r>
    <x v="80"/>
    <x v="199"/>
    <n v="2.0453000000000001"/>
  </r>
  <r>
    <x v="73"/>
    <x v="199"/>
    <n v="2.1166"/>
  </r>
  <r>
    <x v="82"/>
    <x v="199"/>
    <n v="2.4323000000000001"/>
  </r>
  <r>
    <x v="3"/>
    <x v="199"/>
    <n v="2.0554999999999999"/>
  </r>
  <r>
    <x v="85"/>
    <x v="200"/>
    <n v="1.7303999999999999"/>
  </r>
  <r>
    <x v="6"/>
    <x v="200"/>
    <n v="1.5670999999999999"/>
  </r>
  <r>
    <x v="13"/>
    <x v="200"/>
    <n v="2.0653999999999999"/>
  </r>
  <r>
    <x v="23"/>
    <x v="200"/>
    <n v="2.1063000000000001"/>
  </r>
  <r>
    <x v="1"/>
    <x v="200"/>
    <n v="2.4016999999999999"/>
  </r>
  <r>
    <x v="33"/>
    <x v="200"/>
    <n v="2.198"/>
  </r>
  <r>
    <x v="92"/>
    <x v="200"/>
    <n v="2.6057999999999999"/>
  </r>
  <r>
    <x v="10"/>
    <x v="200"/>
    <n v="2.4024999999999999"/>
  </r>
  <r>
    <x v="11"/>
    <x v="201"/>
    <n v="1.9736"/>
  </r>
  <r>
    <x v="29"/>
    <x v="201"/>
    <n v="2.1392000000000002"/>
  </r>
  <r>
    <x v="23"/>
    <x v="202"/>
    <n v="2.1776"/>
  </r>
  <r>
    <x v="117"/>
    <x v="202"/>
    <n v="2.0655000000000001"/>
  </r>
  <r>
    <x v="83"/>
    <x v="202"/>
    <n v="2.3506999999999998"/>
  </r>
  <r>
    <x v="60"/>
    <x v="202"/>
    <n v="2.4424000000000001"/>
  </r>
  <r>
    <x v="70"/>
    <x v="202"/>
    <n v="2.5242"/>
  </r>
  <r>
    <x v="32"/>
    <x v="202"/>
    <n v="2.6255000000000002"/>
  </r>
  <r>
    <x v="29"/>
    <x v="202"/>
    <n v="2.4310999999999998"/>
  </r>
  <r>
    <x v="44"/>
    <x v="202"/>
    <n v="2.1164000000000001"/>
  </r>
  <r>
    <x v="21"/>
    <x v="202"/>
    <n v="2.2181999999999999"/>
  </r>
  <r>
    <x v="6"/>
    <x v="203"/>
    <n v="1.831"/>
  </r>
  <r>
    <x v="89"/>
    <x v="203"/>
    <n v="2.3607999999999998"/>
  </r>
  <r>
    <x v="34"/>
    <x v="203"/>
    <n v="2.6566999999999998"/>
  </r>
  <r>
    <x v="115"/>
    <x v="203"/>
    <n v="2.2688000000000001"/>
  </r>
  <r>
    <x v="32"/>
    <x v="203"/>
    <n v="2.6255000000000002"/>
  </r>
  <r>
    <x v="96"/>
    <x v="203"/>
    <n v="2.2789000000000001"/>
  </r>
  <r>
    <x v="36"/>
    <x v="203"/>
    <n v="2.2284000000000002"/>
  </r>
  <r>
    <x v="109"/>
    <x v="204"/>
    <n v="2.3403999999999998"/>
  </r>
  <r>
    <x v="69"/>
    <x v="204"/>
    <n v="2.4525000000000001"/>
  </r>
  <r>
    <x v="58"/>
    <x v="204"/>
    <n v="1.9537"/>
  </r>
  <r>
    <x v="47"/>
    <x v="204"/>
    <n v="2.524"/>
  </r>
  <r>
    <x v="46"/>
    <x v="204"/>
    <n v="2.5238999999999998"/>
  </r>
  <r>
    <x v="122"/>
    <x v="204"/>
    <n v="2.5547"/>
  </r>
  <r>
    <x v="18"/>
    <x v="204"/>
    <n v="1.9335"/>
  </r>
  <r>
    <x v="59"/>
    <x v="204"/>
    <n v="2.0398999999999998"/>
  </r>
  <r>
    <x v="86"/>
    <x v="204"/>
    <n v="2.2284000000000002"/>
  </r>
  <r>
    <x v="64"/>
    <x v="204"/>
    <n v="2.2079"/>
  </r>
  <r>
    <x v="22"/>
    <x v="204"/>
    <n v="2.3610000000000002"/>
  </r>
  <r>
    <x v="68"/>
    <x v="204"/>
    <n v="1.8318000000000001"/>
  </r>
  <r>
    <x v="32"/>
    <x v="204"/>
    <n v="2.6705000000000001"/>
  </r>
  <r>
    <x v="51"/>
    <x v="204"/>
    <n v="2.0042"/>
  </r>
  <r>
    <x v="4"/>
    <x v="204"/>
    <n v="2.3711000000000002"/>
  </r>
  <r>
    <x v="94"/>
    <x v="204"/>
    <n v="2.2791000000000001"/>
  </r>
  <r>
    <x v="120"/>
    <x v="204"/>
    <n v="2.2986"/>
  </r>
  <r>
    <x v="116"/>
    <x v="204"/>
    <n v="2.0552999999999999"/>
  </r>
  <r>
    <x v="71"/>
    <x v="204"/>
    <n v="1.9943"/>
  </r>
  <r>
    <x v="23"/>
    <x v="204"/>
    <n v="2.2692000000000001"/>
  </r>
  <r>
    <x v="43"/>
    <x v="204"/>
    <n v="1.974"/>
  </r>
  <r>
    <x v="42"/>
    <x v="204"/>
    <n v="2.2488000000000001"/>
  </r>
  <r>
    <x v="77"/>
    <x v="204"/>
    <n v="1.9943"/>
  </r>
  <r>
    <x v="82"/>
    <x v="204"/>
    <n v="2.4016999999999999"/>
  </r>
  <r>
    <x v="118"/>
    <x v="204"/>
    <n v="2.4016000000000002"/>
  </r>
  <r>
    <x v="54"/>
    <x v="204"/>
    <n v="2.2795000000000001"/>
  </r>
  <r>
    <x v="12"/>
    <x v="205"/>
    <n v="1.8218000000000001"/>
  </r>
  <r>
    <x v="118"/>
    <x v="205"/>
    <n v="2.3811"/>
  </r>
  <r>
    <x v="48"/>
    <x v="205"/>
    <n v="2.1265999999999998"/>
  </r>
  <r>
    <x v="33"/>
    <x v="205"/>
    <n v="2.2795000000000001"/>
  </r>
  <r>
    <x v="11"/>
    <x v="205"/>
    <n v="2.1818"/>
  </r>
  <r>
    <x v="85"/>
    <x v="205"/>
    <n v="2.2284000000000002"/>
  </r>
  <r>
    <x v="44"/>
    <x v="205"/>
    <n v="2.0655999999999999"/>
  </r>
  <r>
    <x v="10"/>
    <x v="205"/>
    <n v="2.4762"/>
  </r>
  <r>
    <x v="49"/>
    <x v="206"/>
    <n v="2.2385999999999999"/>
  </r>
  <r>
    <x v="71"/>
    <x v="207"/>
    <n v="2.198"/>
  </r>
  <r>
    <x v="23"/>
    <x v="207"/>
    <n v="2.4220999999999999"/>
  </r>
  <r>
    <x v="104"/>
    <x v="208"/>
    <n v="1.9923"/>
  </r>
  <r>
    <x v="20"/>
    <x v="208"/>
    <n v="2.2587999999999999"/>
  </r>
  <r>
    <x v="27"/>
    <x v="209"/>
    <n v="2.524"/>
  </r>
  <r>
    <x v="34"/>
    <x v="209"/>
    <n v="2.6873"/>
  </r>
  <r>
    <x v="79"/>
    <x v="209"/>
    <n v="2.2181999999999999"/>
  </r>
  <r>
    <x v="100"/>
    <x v="209"/>
    <n v="2.2284999999999999"/>
  </r>
  <r>
    <x v="90"/>
    <x v="209"/>
    <n v="2.1977000000000002"/>
  </r>
  <r>
    <x v="121"/>
    <x v="209"/>
    <n v="2.0047000000000001"/>
  </r>
  <r>
    <x v="46"/>
    <x v="209"/>
    <n v="2.5647000000000002"/>
  </r>
  <r>
    <x v="28"/>
    <x v="209"/>
    <n v="2.0960000000000001"/>
  </r>
  <r>
    <x v="31"/>
    <x v="209"/>
    <n v="2.7179000000000002"/>
  </r>
  <r>
    <x v="51"/>
    <x v="209"/>
    <n v="2.1364000000000001"/>
  </r>
  <r>
    <x v="86"/>
    <x v="209"/>
    <n v="2.2284000000000002"/>
  </r>
  <r>
    <x v="39"/>
    <x v="209"/>
    <n v="1.6288"/>
  </r>
  <r>
    <x v="59"/>
    <x v="209"/>
    <n v="2.0398999999999998"/>
  </r>
  <r>
    <x v="71"/>
    <x v="209"/>
    <n v="2.2284999999999999"/>
  </r>
  <r>
    <x v="63"/>
    <x v="209"/>
    <n v="2.4729999999999999"/>
  </r>
  <r>
    <x v="82"/>
    <x v="209"/>
    <n v="2.5240999999999998"/>
  </r>
  <r>
    <x v="0"/>
    <x v="209"/>
    <n v="2.5851000000000002"/>
  </r>
  <r>
    <x v="12"/>
    <x v="209"/>
    <n v="1.9132"/>
  </r>
  <r>
    <x v="122"/>
    <x v="209"/>
    <n v="2.5956000000000001"/>
  </r>
  <r>
    <x v="77"/>
    <x v="209"/>
    <n v="2.3506999999999998"/>
  </r>
  <r>
    <x v="55"/>
    <x v="209"/>
    <n v="2.8401999999999998"/>
  </r>
  <r>
    <x v="51"/>
    <x v="210"/>
    <n v="2.1772"/>
  </r>
  <r>
    <x v="13"/>
    <x v="210"/>
    <n v="2.4729999999999999"/>
  </r>
  <r>
    <x v="11"/>
    <x v="210"/>
    <n v="2.3121999999999998"/>
  </r>
  <r>
    <x v="33"/>
    <x v="210"/>
    <n v="2.3915999999999999"/>
  </r>
  <r>
    <x v="19"/>
    <x v="210"/>
    <n v="2.3302999999999998"/>
  </r>
  <r>
    <x v="114"/>
    <x v="210"/>
    <n v="2.2387000000000001"/>
  </r>
  <r>
    <x v="85"/>
    <x v="210"/>
    <n v="2.2284000000000002"/>
  </r>
  <r>
    <x v="96"/>
    <x v="210"/>
    <n v="2.6766999999999999"/>
  </r>
  <r>
    <x v="10"/>
    <x v="210"/>
    <n v="2.6027999999999998"/>
  </r>
  <r>
    <x v="1"/>
    <x v="210"/>
    <n v="2.5032999999999999"/>
  </r>
  <r>
    <x v="6"/>
    <x v="211"/>
    <n v="2.0335999999999999"/>
  </r>
  <r>
    <x v="3"/>
    <x v="211"/>
    <n v="2.1738"/>
  </r>
  <r>
    <x v="106"/>
    <x v="211"/>
    <n v="2.2791000000000001"/>
  </r>
  <r>
    <x v="48"/>
    <x v="211"/>
    <n v="2.1265999999999998"/>
  </r>
  <r>
    <x v="65"/>
    <x v="211"/>
    <n v="2.5648"/>
  </r>
  <r>
    <x v="53"/>
    <x v="211"/>
    <n v="2"/>
  </r>
  <r>
    <x v="69"/>
    <x v="212"/>
    <n v="2.7383000000000002"/>
  </r>
  <r>
    <x v="24"/>
    <x v="212"/>
    <n v="2.4424000000000001"/>
  </r>
  <r>
    <x v="99"/>
    <x v="212"/>
    <n v="2.7486000000000002"/>
  </r>
  <r>
    <x v="23"/>
    <x v="212"/>
    <n v="2.4935"/>
  </r>
  <r>
    <x v="59"/>
    <x v="213"/>
    <n v="2.0398999999999998"/>
  </r>
  <r>
    <x v="21"/>
    <x v="213"/>
    <n v="2.3504999999999998"/>
  </r>
  <r>
    <x v="87"/>
    <x v="214"/>
    <n v="2.0247999999999999"/>
  </r>
  <r>
    <x v="39"/>
    <x v="214"/>
    <n v="1.6288"/>
  </r>
  <r>
    <x v="9"/>
    <x v="214"/>
    <n v="2.4321000000000002"/>
  </r>
  <r>
    <x v="21"/>
    <x v="214"/>
    <n v="2.6154999999999999"/>
  </r>
  <r>
    <x v="55"/>
    <x v="214"/>
    <n v="3.0859000000000001"/>
  </r>
  <r>
    <x v="117"/>
    <x v="214"/>
    <n v="2.6461999999999999"/>
  </r>
  <r>
    <x v="73"/>
    <x v="214"/>
    <n v="2.5648"/>
  </r>
  <r>
    <x v="33"/>
    <x v="214"/>
    <n v="2.5954999999999999"/>
  </r>
  <r>
    <x v="79"/>
    <x v="214"/>
    <n v="2.4115000000000002"/>
  </r>
  <r>
    <x v="16"/>
    <x v="214"/>
    <n v="2.8815"/>
  </r>
  <r>
    <x v="95"/>
    <x v="214"/>
    <n v="2.5137999999999998"/>
  </r>
  <r>
    <x v="71"/>
    <x v="214"/>
    <n v="2.9740000000000002"/>
  </r>
  <r>
    <x v="47"/>
    <x v="214"/>
    <n v="2.5642"/>
  </r>
  <r>
    <x v="118"/>
    <x v="214"/>
    <n v="2.9533"/>
  </r>
  <r>
    <x v="86"/>
    <x v="214"/>
    <n v="2.7690000000000001"/>
  </r>
  <r>
    <x v="80"/>
    <x v="214"/>
    <n v="2.8203"/>
  </r>
  <r>
    <x v="6"/>
    <x v="214"/>
    <n v="2.3389000000000002"/>
  </r>
  <r>
    <x v="32"/>
    <x v="214"/>
    <n v="2.8006000000000002"/>
  </r>
  <r>
    <x v="28"/>
    <x v="214"/>
    <n v="2.6055999999999999"/>
  </r>
  <r>
    <x v="22"/>
    <x v="214"/>
    <n v="2.7077"/>
  </r>
  <r>
    <x v="44"/>
    <x v="214"/>
    <n v="2.4626999999999999"/>
  </r>
  <r>
    <x v="106"/>
    <x v="214"/>
    <n v="2.5335999999999999"/>
  </r>
  <r>
    <x v="26"/>
    <x v="214"/>
    <n v="2.7587999999999999"/>
  </r>
  <r>
    <x v="36"/>
    <x v="214"/>
    <n v="2.7073999999999998"/>
  </r>
  <r>
    <x v="111"/>
    <x v="214"/>
    <n v="2.8"/>
  </r>
  <r>
    <x v="13"/>
    <x v="214"/>
    <n v="2.7789999999999999"/>
  </r>
  <r>
    <x v="35"/>
    <x v="214"/>
    <n v="2.9228000000000001"/>
  </r>
  <r>
    <x v="72"/>
    <x v="214"/>
    <n v="2.5848"/>
  </r>
  <r>
    <x v="123"/>
    <x v="214"/>
    <n v="3.0251000000000001"/>
  </r>
  <r>
    <x v="0"/>
    <x v="214"/>
    <n v="2.8816999999999999"/>
  </r>
  <r>
    <x v="42"/>
    <x v="214"/>
    <n v="2.9676999999999998"/>
  </r>
  <r>
    <x v="1"/>
    <x v="214"/>
    <n v="2.4422000000000001"/>
  </r>
  <r>
    <x v="46"/>
    <x v="214"/>
    <n v="2.9733999999999998"/>
  </r>
  <r>
    <x v="122"/>
    <x v="214"/>
    <n v="2.9430000000000001"/>
  </r>
  <r>
    <x v="120"/>
    <x v="214"/>
    <n v="2.5988000000000002"/>
  </r>
  <r>
    <x v="81"/>
    <x v="214"/>
    <n v="2.8917999999999999"/>
  </r>
  <r>
    <x v="77"/>
    <x v="214"/>
    <n v="2.6669999999999998"/>
  </r>
  <r>
    <x v="70"/>
    <x v="214"/>
    <n v="2.9329999999999998"/>
  </r>
  <r>
    <x v="53"/>
    <x v="214"/>
    <n v="2.6461000000000001"/>
  </r>
  <r>
    <x v="82"/>
    <x v="214"/>
    <n v="2.8405999999999998"/>
  </r>
  <r>
    <x v="23"/>
    <x v="214"/>
    <n v="2.9123999999999999"/>
  </r>
  <r>
    <x v="3"/>
    <x v="215"/>
    <n v="2.9842"/>
  </r>
  <r>
    <x v="37"/>
    <x v="215"/>
    <n v="2.4015"/>
  </r>
  <r>
    <x v="49"/>
    <x v="215"/>
    <n v="2.8405999999999998"/>
  </r>
  <r>
    <x v="40"/>
    <x v="215"/>
    <n v="3.0043000000000002"/>
  </r>
  <r>
    <x v="11"/>
    <x v="215"/>
    <n v="2.6722000000000001"/>
  </r>
  <r>
    <x v="85"/>
    <x v="215"/>
    <n v="2.6772"/>
  </r>
  <r>
    <x v="34"/>
    <x v="215"/>
    <n v="3.0865"/>
  </r>
  <r>
    <x v="31"/>
    <x v="215"/>
    <n v="2.9220999999999999"/>
  </r>
  <r>
    <x v="47"/>
    <x v="216"/>
    <n v="2.9632000000000001"/>
  </r>
  <r>
    <x v="22"/>
    <x v="216"/>
    <n v="2.7077"/>
  </r>
  <r>
    <x v="10"/>
    <x v="216"/>
    <n v="2.67"/>
  </r>
  <r>
    <x v="107"/>
    <x v="216"/>
    <n v="2.4015"/>
  </r>
  <r>
    <x v="97"/>
    <x v="216"/>
    <n v="2.5137"/>
  </r>
  <r>
    <x v="19"/>
    <x v="216"/>
    <n v="2.4525000000000001"/>
  </r>
  <r>
    <x v="78"/>
    <x v="216"/>
    <n v="2.5440999999999998"/>
  </r>
  <r>
    <x v="0"/>
    <x v="216"/>
    <n v="2.8508"/>
  </r>
  <r>
    <x v="29"/>
    <x v="217"/>
    <n v="2.8334999999999999"/>
  </r>
  <r>
    <x v="8"/>
    <x v="217"/>
    <n v="2.718"/>
  </r>
  <r>
    <x v="88"/>
    <x v="217"/>
    <n v="2.5545"/>
  </r>
  <r>
    <x v="75"/>
    <x v="217"/>
    <n v="2.7690000000000001"/>
  </r>
  <r>
    <x v="57"/>
    <x v="217"/>
    <n v="3.0348000000000002"/>
  </r>
  <r>
    <x v="36"/>
    <x v="217"/>
    <n v="2.7073999999999998"/>
  </r>
  <r>
    <x v="84"/>
    <x v="217"/>
    <n v="3.0762"/>
  </r>
  <r>
    <x v="99"/>
    <x v="218"/>
    <n v="3.0350999999999999"/>
  </r>
  <r>
    <x v="122"/>
    <x v="218"/>
    <n v="3.0249000000000001"/>
  </r>
  <r>
    <x v="66"/>
    <x v="218"/>
    <n v="2.5926"/>
  </r>
  <r>
    <x v="0"/>
    <x v="218"/>
    <n v="2.9224999999999999"/>
  </r>
  <r>
    <x v="59"/>
    <x v="218"/>
    <n v="2.6501999999999999"/>
  </r>
  <r>
    <x v="46"/>
    <x v="218"/>
    <n v="3.0144000000000002"/>
  </r>
  <r>
    <x v="41"/>
    <x v="218"/>
    <n v="2.3708"/>
  </r>
  <r>
    <x v="89"/>
    <x v="218"/>
    <n v="2.9430000000000001"/>
  </r>
  <r>
    <x v="70"/>
    <x v="218"/>
    <n v="2.9329999999999998"/>
  </r>
  <r>
    <x v="124"/>
    <x v="218"/>
    <n v="2.2078000000000002"/>
  </r>
  <r>
    <x v="39"/>
    <x v="218"/>
    <n v="2.8201000000000001"/>
  </r>
  <r>
    <x v="102"/>
    <x v="218"/>
    <n v="2.7256999999999998"/>
  </r>
  <r>
    <x v="120"/>
    <x v="218"/>
    <n v="2.9093"/>
  </r>
  <r>
    <x v="36"/>
    <x v="218"/>
    <n v="2.7073999999999998"/>
  </r>
  <r>
    <x v="73"/>
    <x v="218"/>
    <n v="2.8102"/>
  </r>
  <r>
    <x v="7"/>
    <x v="218"/>
    <n v="2.3199000000000001"/>
  </r>
  <r>
    <x v="90"/>
    <x v="218"/>
    <n v="2.5032000000000001"/>
  </r>
  <r>
    <x v="32"/>
    <x v="218"/>
    <n v="2.8824999999999998"/>
  </r>
  <r>
    <x v="79"/>
    <x v="218"/>
    <n v="2.6871"/>
  </r>
  <r>
    <x v="71"/>
    <x v="218"/>
    <n v="2.9740000000000002"/>
  </r>
  <r>
    <x v="77"/>
    <x v="218"/>
    <n v="2.6669999999999998"/>
  </r>
  <r>
    <x v="94"/>
    <x v="218"/>
    <n v="2.8195999999999999"/>
  </r>
  <r>
    <x v="86"/>
    <x v="219"/>
    <n v="2.7997000000000001"/>
  </r>
  <r>
    <x v="60"/>
    <x v="219"/>
    <n v="3.0352000000000001"/>
  </r>
  <r>
    <x v="108"/>
    <x v="219"/>
    <n v="2.2787999999999999"/>
  </r>
  <r>
    <x v="20"/>
    <x v="219"/>
    <n v="2.9426999999999999"/>
  </r>
  <r>
    <x v="3"/>
    <x v="219"/>
    <n v="3.0148999999999999"/>
  </r>
  <r>
    <x v="33"/>
    <x v="219"/>
    <n v="2.8612000000000002"/>
  </r>
  <r>
    <x v="45"/>
    <x v="219"/>
    <n v="2.7892999999999999"/>
  </r>
  <r>
    <x v="99"/>
    <x v="219"/>
    <n v="3.0350999999999999"/>
  </r>
  <r>
    <x v="11"/>
    <x v="219"/>
    <n v="2.7383999999999999"/>
  </r>
  <r>
    <x v="47"/>
    <x v="219"/>
    <n v="2.9632000000000001"/>
  </r>
  <r>
    <x v="118"/>
    <x v="219"/>
    <n v="2.9839000000000002"/>
  </r>
  <r>
    <x v="85"/>
    <x v="219"/>
    <n v="2.6772"/>
  </r>
  <r>
    <x v="29"/>
    <x v="219"/>
    <n v="2.8334999999999999"/>
  </r>
  <r>
    <x v="10"/>
    <x v="219"/>
    <n v="2.9584999999999999"/>
  </r>
  <r>
    <x v="119"/>
    <x v="219"/>
    <n v="2.8713000000000002"/>
  </r>
  <r>
    <x v="40"/>
    <x v="219"/>
    <n v="2.9634"/>
  </r>
  <r>
    <x v="105"/>
    <x v="219"/>
    <n v="3.0044"/>
  </r>
  <r>
    <x v="37"/>
    <x v="220"/>
    <n v="2.7282000000000002"/>
  </r>
  <r>
    <x v="12"/>
    <x v="220"/>
    <n v="2.6055000000000001"/>
  </r>
  <r>
    <x v="44"/>
    <x v="220"/>
    <n v="2.4729000000000001"/>
  </r>
  <r>
    <x v="32"/>
    <x v="220"/>
    <n v="3.0219"/>
  </r>
  <r>
    <x v="20"/>
    <x v="220"/>
    <n v="2.9426999999999999"/>
  </r>
  <r>
    <x v="106"/>
    <x v="220"/>
    <n v="2.6974"/>
  </r>
  <r>
    <x v="32"/>
    <x v="221"/>
    <n v="3.0219"/>
  </r>
  <r>
    <x v="80"/>
    <x v="221"/>
    <n v="2.8405999999999998"/>
  </r>
  <r>
    <x v="125"/>
    <x v="221"/>
    <n v="3.4045999999999998"/>
  </r>
  <r>
    <x v="68"/>
    <x v="221"/>
    <n v="2.7587999999999999"/>
  </r>
  <r>
    <x v="65"/>
    <x v="221"/>
    <n v="2.8509000000000002"/>
  </r>
  <r>
    <x v="50"/>
    <x v="221"/>
    <n v="3.0457000000000001"/>
  </r>
  <r>
    <x v="51"/>
    <x v="222"/>
    <n v="2.7484000000000002"/>
  </r>
  <r>
    <x v="73"/>
    <x v="222"/>
    <n v="2.8102"/>
  </r>
  <r>
    <x v="31"/>
    <x v="222"/>
    <n v="2.9222000000000001"/>
  </r>
  <r>
    <x v="13"/>
    <x v="222"/>
    <n v="2.8914"/>
  </r>
  <r>
    <x v="20"/>
    <x v="222"/>
    <n v="2.9632000000000001"/>
  </r>
  <r>
    <x v="17"/>
    <x v="222"/>
    <n v="2.9222999999999999"/>
  </r>
  <r>
    <x v="72"/>
    <x v="222"/>
    <n v="2.9737"/>
  </r>
  <r>
    <x v="28"/>
    <x v="222"/>
    <n v="2.8508"/>
  </r>
  <r>
    <x v="22"/>
    <x v="222"/>
    <n v="2.7077"/>
  </r>
  <r>
    <x v="92"/>
    <x v="222"/>
    <n v="3.0249999999999999"/>
  </r>
  <r>
    <x v="0"/>
    <x v="222"/>
    <n v="3.0968"/>
  </r>
  <r>
    <x v="107"/>
    <x v="222"/>
    <n v="2.8921000000000001"/>
  </r>
  <r>
    <x v="86"/>
    <x v="222"/>
    <n v="2.7997000000000001"/>
  </r>
  <r>
    <x v="115"/>
    <x v="222"/>
    <n v="2.8712"/>
  </r>
  <r>
    <x v="37"/>
    <x v="222"/>
    <n v="2.8609"/>
  </r>
  <r>
    <x v="2"/>
    <x v="222"/>
    <n v="3.0146999999999999"/>
  </r>
  <r>
    <x v="8"/>
    <x v="222"/>
    <n v="2.718"/>
  </r>
  <r>
    <x v="37"/>
    <x v="223"/>
    <n v="3.0144000000000002"/>
  </r>
  <r>
    <x v="41"/>
    <x v="223"/>
    <n v="2.8610000000000002"/>
  </r>
  <r>
    <x v="47"/>
    <x v="223"/>
    <n v="3.0552999999999999"/>
  </r>
  <r>
    <x v="4"/>
    <x v="223"/>
    <n v="2.5137999999999998"/>
  </r>
  <r>
    <x v="5"/>
    <x v="223"/>
    <n v="3.3271999999999999"/>
  </r>
  <r>
    <x v="33"/>
    <x v="223"/>
    <n v="2.9634"/>
  </r>
  <r>
    <x v="51"/>
    <x v="223"/>
    <n v="2.8403999999999998"/>
  </r>
  <r>
    <x v="79"/>
    <x v="223"/>
    <n v="3.0247999999999999"/>
  </r>
  <r>
    <x v="86"/>
    <x v="223"/>
    <n v="2.9838"/>
  </r>
  <r>
    <x v="7"/>
    <x v="223"/>
    <n v="2.7075"/>
  </r>
  <r>
    <x v="55"/>
    <x v="223"/>
    <n v="3.2606999999999999"/>
  </r>
  <r>
    <x v="95"/>
    <x v="223"/>
    <n v="3.0758999999999999"/>
  </r>
  <r>
    <x v="46"/>
    <x v="223"/>
    <n v="3.1680999999999999"/>
  </r>
  <r>
    <x v="16"/>
    <x v="223"/>
    <n v="3.3222999999999998"/>
  </r>
  <r>
    <x v="78"/>
    <x v="223"/>
    <n v="3.1577000000000002"/>
  </r>
  <r>
    <x v="34"/>
    <x v="223"/>
    <n v="3.343"/>
  </r>
  <r>
    <x v="118"/>
    <x v="223"/>
    <n v="3.2604000000000002"/>
  </r>
  <r>
    <x v="84"/>
    <x v="223"/>
    <n v="3.2299000000000002"/>
  </r>
  <r>
    <x v="76"/>
    <x v="223"/>
    <n v="3.117"/>
  </r>
  <r>
    <x v="80"/>
    <x v="223"/>
    <n v="3.1067999999999998"/>
  </r>
  <r>
    <x v="119"/>
    <x v="223"/>
    <n v="3.0278"/>
  </r>
  <r>
    <x v="70"/>
    <x v="223"/>
    <n v="3.2812000000000001"/>
  </r>
  <r>
    <x v="122"/>
    <x v="223"/>
    <n v="3.24"/>
  </r>
  <r>
    <x v="52"/>
    <x v="223"/>
    <n v="3.1682999999999999"/>
  </r>
  <r>
    <x v="39"/>
    <x v="223"/>
    <n v="2.8201000000000001"/>
  </r>
  <r>
    <x v="30"/>
    <x v="223"/>
    <n v="3.1886999999999999"/>
  </r>
  <r>
    <x v="106"/>
    <x v="223"/>
    <n v="2.8094999999999999"/>
  </r>
  <r>
    <x v="117"/>
    <x v="223"/>
    <n v="2.8096000000000001"/>
  </r>
  <r>
    <x v="35"/>
    <x v="223"/>
    <n v="3.0455999999999999"/>
  </r>
  <r>
    <x v="58"/>
    <x v="223"/>
    <n v="2.9940000000000002"/>
  </r>
  <r>
    <x v="24"/>
    <x v="223"/>
    <n v="3.3018000000000001"/>
  </r>
  <r>
    <x v="54"/>
    <x v="223"/>
    <n v="2.7589999999999999"/>
  </r>
  <r>
    <x v="43"/>
    <x v="223"/>
    <n v="3.2092999999999998"/>
  </r>
  <r>
    <x v="59"/>
    <x v="223"/>
    <n v="2.7521"/>
  </r>
  <r>
    <x v="13"/>
    <x v="223"/>
    <n v="3.0550000000000002"/>
  </r>
  <r>
    <x v="6"/>
    <x v="223"/>
    <n v="2.8090000000000002"/>
  </r>
  <r>
    <x v="89"/>
    <x v="223"/>
    <n v="3.3532000000000002"/>
  </r>
  <r>
    <x v="102"/>
    <x v="223"/>
    <n v="2.7256999999999998"/>
  </r>
  <r>
    <x v="63"/>
    <x v="223"/>
    <n v="3.0041000000000002"/>
  </r>
  <r>
    <x v="9"/>
    <x v="223"/>
    <n v="3.0760000000000001"/>
  </r>
  <r>
    <x v="116"/>
    <x v="223"/>
    <n v="2.6968999999999999"/>
  </r>
  <r>
    <x v="69"/>
    <x v="223"/>
    <n v="3.2503000000000002"/>
  </r>
  <r>
    <x v="64"/>
    <x v="223"/>
    <n v="3.1067999999999998"/>
  </r>
  <r>
    <x v="60"/>
    <x v="223"/>
    <n v="3.3633999999999999"/>
  </r>
  <r>
    <x v="71"/>
    <x v="223"/>
    <n v="3.3633999999999999"/>
  </r>
  <r>
    <x v="50"/>
    <x v="223"/>
    <n v="3.0457000000000001"/>
  </r>
  <r>
    <x v="62"/>
    <x v="223"/>
    <n v="3.3121"/>
  </r>
  <r>
    <x v="112"/>
    <x v="223"/>
    <n v="3.1890000000000001"/>
  </r>
  <r>
    <x v="26"/>
    <x v="223"/>
    <n v="3.0966999999999998"/>
  </r>
  <r>
    <x v="22"/>
    <x v="223"/>
    <n v="2.9634"/>
  </r>
  <r>
    <x v="31"/>
    <x v="223"/>
    <n v="2.9119999999999999"/>
  </r>
  <r>
    <x v="36"/>
    <x v="223"/>
    <n v="3.0144000000000002"/>
  </r>
  <r>
    <x v="48"/>
    <x v="223"/>
    <n v="3.1273"/>
  </r>
  <r>
    <x v="115"/>
    <x v="223"/>
    <n v="2.9836"/>
  </r>
  <r>
    <x v="18"/>
    <x v="223"/>
    <n v="3.2301000000000002"/>
  </r>
  <r>
    <x v="3"/>
    <x v="223"/>
    <n v="3.1274999999999999"/>
  </r>
  <r>
    <x v="45"/>
    <x v="223"/>
    <n v="3.4148000000000001"/>
  </r>
  <r>
    <x v="56"/>
    <x v="223"/>
    <n v="3.3121"/>
  </r>
  <r>
    <x v="57"/>
    <x v="223"/>
    <n v="3.2401"/>
  </r>
  <r>
    <x v="0"/>
    <x v="223"/>
    <n v="3.2401"/>
  </r>
  <r>
    <x v="81"/>
    <x v="223"/>
    <n v="3.1991000000000001"/>
  </r>
  <r>
    <x v="53"/>
    <x v="223"/>
    <n v="3.0249000000000001"/>
  </r>
  <r>
    <x v="40"/>
    <x v="223"/>
    <n v="3.3839999999999999"/>
  </r>
  <r>
    <x v="82"/>
    <x v="223"/>
    <n v="3.2094"/>
  </r>
  <r>
    <x v="27"/>
    <x v="223"/>
    <n v="3.2092999999999998"/>
  </r>
  <r>
    <x v="32"/>
    <x v="224"/>
    <n v="3.1545000000000001"/>
  </r>
  <r>
    <x v="2"/>
    <x v="224"/>
    <n v="3.117"/>
  </r>
  <r>
    <x v="1"/>
    <x v="224"/>
    <n v="2.7481"/>
  </r>
  <r>
    <x v="77"/>
    <x v="224"/>
    <n v="2.6669999999999998"/>
  </r>
  <r>
    <x v="23"/>
    <x v="224"/>
    <n v="3.0453000000000001"/>
  </r>
  <r>
    <x v="44"/>
    <x v="224"/>
    <n v="3.0043000000000002"/>
  </r>
  <r>
    <x v="11"/>
    <x v="224"/>
    <n v="3.1528999999999998"/>
  </r>
  <r>
    <x v="0"/>
    <x v="224"/>
    <n v="3.2606000000000002"/>
  </r>
  <r>
    <x v="109"/>
    <x v="224"/>
    <n v="2.8607999999999998"/>
  </r>
  <r>
    <x v="126"/>
    <x v="224"/>
    <n v="2.1568000000000001"/>
  </r>
  <r>
    <x v="105"/>
    <x v="224"/>
    <n v="3.343"/>
  </r>
  <r>
    <x v="10"/>
    <x v="224"/>
    <n v="3.1564000000000001"/>
  </r>
  <r>
    <x v="28"/>
    <x v="225"/>
    <n v="3.0144000000000002"/>
  </r>
  <r>
    <x v="106"/>
    <x v="225"/>
    <n v="2.8711000000000002"/>
  </r>
  <r>
    <x v="32"/>
    <x v="226"/>
    <n v="3.1545000000000001"/>
  </r>
  <r>
    <x v="13"/>
    <x v="226"/>
    <n v="3.0038999999999998"/>
  </r>
  <r>
    <x v="34"/>
    <x v="226"/>
    <n v="3.4868999999999999"/>
  </r>
  <r>
    <x v="85"/>
    <x v="227"/>
    <n v="2.6772"/>
  </r>
  <r>
    <x v="59"/>
    <x v="227"/>
    <n v="2.7521"/>
  </r>
  <r>
    <x v="65"/>
    <x v="227"/>
    <n v="3.2709999999999999"/>
  </r>
  <r>
    <x v="106"/>
    <x v="227"/>
    <n v="3.0350000000000001"/>
  </r>
  <r>
    <x v="122"/>
    <x v="228"/>
    <n v="3.2810999999999999"/>
  </r>
  <r>
    <x v="32"/>
    <x v="228"/>
    <n v="3.1545000000000001"/>
  </r>
  <r>
    <x v="21"/>
    <x v="228"/>
    <n v="3.2298"/>
  </r>
  <r>
    <x v="23"/>
    <x v="228"/>
    <n v="3.0246"/>
  </r>
  <r>
    <x v="120"/>
    <x v="228"/>
    <n v="3.3433999999999999"/>
  </r>
  <r>
    <x v="12"/>
    <x v="228"/>
    <n v="3.0043000000000002"/>
  </r>
  <r>
    <x v="39"/>
    <x v="228"/>
    <n v="2.8201000000000001"/>
  </r>
  <r>
    <x v="103"/>
    <x v="228"/>
    <n v="3.1787999999999998"/>
  </r>
  <r>
    <x v="75"/>
    <x v="228"/>
    <n v="3.1375999999999999"/>
  </r>
  <r>
    <x v="80"/>
    <x v="228"/>
    <n v="3.1273"/>
  </r>
  <r>
    <x v="105"/>
    <x v="228"/>
    <n v="3.343"/>
  </r>
  <r>
    <x v="77"/>
    <x v="228"/>
    <n v="2.6669999999999998"/>
  </r>
  <r>
    <x v="57"/>
    <x v="228"/>
    <n v="3.4558"/>
  </r>
  <r>
    <x v="82"/>
    <x v="228"/>
    <n v="3.2299000000000002"/>
  </r>
  <r>
    <x v="86"/>
    <x v="229"/>
    <n v="2.9838"/>
  </r>
  <r>
    <x v="118"/>
    <x v="229"/>
    <n v="3.2606999999999999"/>
  </r>
  <r>
    <x v="7"/>
    <x v="229"/>
    <n v="3.4863"/>
  </r>
  <r>
    <x v="33"/>
    <x v="229"/>
    <n v="2.9634"/>
  </r>
  <r>
    <x v="11"/>
    <x v="229"/>
    <n v="3.1408"/>
  </r>
  <r>
    <x v="10"/>
    <x v="229"/>
    <n v="3.1564000000000001"/>
  </r>
  <r>
    <x v="71"/>
    <x v="229"/>
    <n v="3.3736999999999999"/>
  </r>
  <r>
    <x v="6"/>
    <x v="229"/>
    <n v="2.7988"/>
  </r>
  <r>
    <x v="22"/>
    <x v="229"/>
    <n v="2.9634"/>
  </r>
  <r>
    <x v="50"/>
    <x v="230"/>
    <n v="3.0457000000000001"/>
  </r>
  <r>
    <x v="19"/>
    <x v="230"/>
    <n v="3.2193000000000001"/>
  </r>
  <r>
    <x v="58"/>
    <x v="231"/>
    <n v="2.9940000000000002"/>
  </r>
  <r>
    <x v="35"/>
    <x v="231"/>
    <n v="3.1274000000000002"/>
  </r>
  <r>
    <x v="43"/>
    <x v="231"/>
    <n v="3.2092999999999998"/>
  </r>
  <r>
    <x v="104"/>
    <x v="231"/>
    <n v="3.0556000000000001"/>
  </r>
  <r>
    <x v="68"/>
    <x v="231"/>
    <n v="3.3839000000000001"/>
  </r>
  <r>
    <x v="8"/>
    <x v="232"/>
    <n v="2.8203999999999998"/>
  </r>
  <r>
    <x v="37"/>
    <x v="232"/>
    <n v="3.0964"/>
  </r>
  <r>
    <x v="32"/>
    <x v="232"/>
    <n v="3.1795"/>
  </r>
  <r>
    <x v="119"/>
    <x v="232"/>
    <n v="3.2812999999999999"/>
  </r>
  <r>
    <x v="122"/>
    <x v="232"/>
    <n v="3.2812999999999999"/>
  </r>
  <r>
    <x v="106"/>
    <x v="232"/>
    <n v="3.3429000000000002"/>
  </r>
  <r>
    <x v="79"/>
    <x v="232"/>
    <n v="2.8193000000000001"/>
  </r>
  <r>
    <x v="6"/>
    <x v="232"/>
    <n v="3.1374"/>
  </r>
  <r>
    <x v="1"/>
    <x v="232"/>
    <n v="2.8092000000000001"/>
  </r>
  <r>
    <x v="66"/>
    <x v="232"/>
    <n v="3.26"/>
  </r>
  <r>
    <x v="45"/>
    <x v="232"/>
    <n v="3.4765000000000001"/>
  </r>
  <r>
    <x v="80"/>
    <x v="232"/>
    <n v="3.2709999999999999"/>
  </r>
  <r>
    <x v="46"/>
    <x v="232"/>
    <n v="3.4148000000000001"/>
  </r>
  <r>
    <x v="34"/>
    <x v="232"/>
    <n v="3.4971000000000001"/>
  </r>
  <r>
    <x v="60"/>
    <x v="232"/>
    <n v="3.456"/>
  </r>
  <r>
    <x v="59"/>
    <x v="232"/>
    <n v="3.1072000000000002"/>
  </r>
  <r>
    <x v="89"/>
    <x v="232"/>
    <n v="3.4765999999999999"/>
  </r>
  <r>
    <x v="20"/>
    <x v="232"/>
    <n v="3.2915000000000001"/>
  </r>
  <r>
    <x v="49"/>
    <x v="232"/>
    <n v="3.4971000000000001"/>
  </r>
  <r>
    <x v="48"/>
    <x v="232"/>
    <n v="3.4251"/>
  </r>
  <r>
    <x v="44"/>
    <x v="232"/>
    <n v="3.3942999999999999"/>
  </r>
  <r>
    <x v="72"/>
    <x v="232"/>
    <n v="3.3327"/>
  </r>
  <r>
    <x v="26"/>
    <x v="232"/>
    <n v="3.3532000000000002"/>
  </r>
  <r>
    <x v="13"/>
    <x v="232"/>
    <n v="3.0143"/>
  </r>
  <r>
    <x v="85"/>
    <x v="232"/>
    <n v="3.1375000000000002"/>
  </r>
  <r>
    <x v="12"/>
    <x v="232"/>
    <n v="3.2298"/>
  </r>
  <r>
    <x v="23"/>
    <x v="232"/>
    <n v="3.2504"/>
  </r>
  <r>
    <x v="39"/>
    <x v="232"/>
    <n v="3.4146999999999998"/>
  </r>
  <r>
    <x v="36"/>
    <x v="232"/>
    <n v="3.5383"/>
  </r>
  <r>
    <x v="105"/>
    <x v="232"/>
    <n v="3.3738000000000001"/>
  </r>
  <r>
    <x v="55"/>
    <x v="232"/>
    <n v="3.5897999999999999"/>
  </r>
  <r>
    <x v="100"/>
    <x v="232"/>
    <n v="3.4457"/>
  </r>
  <r>
    <x v="71"/>
    <x v="232"/>
    <n v="3.6720999999999999"/>
  </r>
  <r>
    <x v="57"/>
    <x v="232"/>
    <n v="3.456"/>
  </r>
  <r>
    <x v="96"/>
    <x v="232"/>
    <n v="3.4354"/>
  </r>
  <r>
    <x v="75"/>
    <x v="232"/>
    <n v="3.3635000000000002"/>
  </r>
  <r>
    <x v="77"/>
    <x v="232"/>
    <n v="3.0348000000000002"/>
  </r>
  <r>
    <x v="28"/>
    <x v="232"/>
    <n v="3.2709999999999999"/>
  </r>
  <r>
    <x v="0"/>
    <x v="232"/>
    <n v="3.2812000000000001"/>
  </r>
  <r>
    <x v="82"/>
    <x v="233"/>
    <n v="3.4148999999999998"/>
  </r>
  <r>
    <x v="125"/>
    <x v="233"/>
    <n v="3.5897999999999999"/>
  </r>
  <r>
    <x v="64"/>
    <x v="233"/>
    <n v="3.2915999999999999"/>
  </r>
  <r>
    <x v="7"/>
    <x v="233"/>
    <n v="3.3429000000000002"/>
  </r>
  <r>
    <x v="33"/>
    <x v="233"/>
    <n v="3.3429000000000002"/>
  </r>
  <r>
    <x v="87"/>
    <x v="233"/>
    <n v="3.1476999999999999"/>
  </r>
  <r>
    <x v="117"/>
    <x v="233"/>
    <n v="3.1579000000000002"/>
  </r>
  <r>
    <x v="44"/>
    <x v="233"/>
    <n v="3.3942999999999999"/>
  </r>
  <r>
    <x v="111"/>
    <x v="233"/>
    <n v="3.3"/>
  </r>
  <r>
    <x v="10"/>
    <x v="233"/>
    <n v="3.2119"/>
  </r>
  <r>
    <x v="83"/>
    <x v="233"/>
    <n v="3.4043000000000001"/>
  </r>
  <r>
    <x v="20"/>
    <x v="234"/>
    <n v="3.2915000000000001"/>
  </r>
  <r>
    <x v="5"/>
    <x v="234"/>
    <n v="3.4457"/>
  </r>
  <r>
    <x v="73"/>
    <x v="234"/>
    <n v="3.1375000000000002"/>
  </r>
  <r>
    <x v="29"/>
    <x v="234"/>
    <n v="3.4188000000000001"/>
  </r>
  <r>
    <x v="109"/>
    <x v="235"/>
    <n v="3.2402000000000002"/>
  </r>
  <r>
    <x v="19"/>
    <x v="235"/>
    <n v="3.4045999999999998"/>
  </r>
  <r>
    <x v="53"/>
    <x v="236"/>
    <n v="3"/>
  </r>
  <r>
    <x v="36"/>
    <x v="236"/>
    <n v="3.4971999999999999"/>
  </r>
  <r>
    <x v="59"/>
    <x v="236"/>
    <n v="3.1072000000000002"/>
  </r>
  <r>
    <x v="20"/>
    <x v="236"/>
    <n v="3.3944000000000001"/>
  </r>
  <r>
    <x v="39"/>
    <x v="236"/>
    <n v="3.4146999999999998"/>
  </r>
  <r>
    <x v="66"/>
    <x v="237"/>
    <n v="3.7172999999999998"/>
  </r>
  <r>
    <x v="70"/>
    <x v="237"/>
    <n v="3.4045000000000001"/>
  </r>
  <r>
    <x v="71"/>
    <x v="237"/>
    <n v="3.6720999999999999"/>
  </r>
  <r>
    <x v="90"/>
    <x v="237"/>
    <n v="3.2608000000000001"/>
  </r>
  <r>
    <x v="59"/>
    <x v="237"/>
    <n v="3.3128000000000002"/>
  </r>
  <r>
    <x v="88"/>
    <x v="237"/>
    <n v="3.3327"/>
  </r>
  <r>
    <x v="28"/>
    <x v="237"/>
    <n v="3.3532000000000002"/>
  </r>
  <r>
    <x v="54"/>
    <x v="237"/>
    <n v="3.1682999999999999"/>
  </r>
  <r>
    <x v="32"/>
    <x v="237"/>
    <n v="3.3877999999999999"/>
  </r>
  <r>
    <x v="105"/>
    <x v="237"/>
    <n v="3.5794999999999999"/>
  </r>
  <r>
    <x v="12"/>
    <x v="237"/>
    <n v="3.2298"/>
  </r>
  <r>
    <x v="72"/>
    <x v="237"/>
    <n v="3.3944000000000001"/>
  </r>
  <r>
    <x v="120"/>
    <x v="237"/>
    <n v="3.4519000000000002"/>
  </r>
  <r>
    <x v="77"/>
    <x v="237"/>
    <n v="3.0348000000000002"/>
  </r>
  <r>
    <x v="82"/>
    <x v="237"/>
    <n v="3.5589"/>
  </r>
  <r>
    <x v="122"/>
    <x v="237"/>
    <n v="3.4458000000000002"/>
  </r>
  <r>
    <x v="3"/>
    <x v="237"/>
    <n v="3.6206"/>
  </r>
  <r>
    <x v="36"/>
    <x v="237"/>
    <n v="3.4971999999999999"/>
  </r>
  <r>
    <x v="75"/>
    <x v="237"/>
    <n v="3.4148999999999998"/>
  </r>
  <r>
    <x v="96"/>
    <x v="237"/>
    <n v="3.6307"/>
  </r>
  <r>
    <x v="86"/>
    <x v="238"/>
    <n v="3.3532000000000002"/>
  </r>
  <r>
    <x v="4"/>
    <x v="238"/>
    <n v="3.1888000000000001"/>
  </r>
  <r>
    <x v="99"/>
    <x v="238"/>
    <n v="3.5691000000000002"/>
  </r>
  <r>
    <x v="33"/>
    <x v="238"/>
    <n v="3.4457"/>
  </r>
  <r>
    <x v="113"/>
    <x v="238"/>
    <n v="3.2915999999999999"/>
  </r>
  <r>
    <x v="118"/>
    <x v="238"/>
    <n v="3.5381999999999998"/>
  </r>
  <r>
    <x v="109"/>
    <x v="238"/>
    <n v="3.5792999999999999"/>
  </r>
  <r>
    <x v="10"/>
    <x v="238"/>
    <n v="3.5516000000000001"/>
  </r>
  <r>
    <x v="11"/>
    <x v="238"/>
    <n v="3.3771"/>
  </r>
  <r>
    <x v="31"/>
    <x v="239"/>
    <n v="3.5383"/>
  </r>
  <r>
    <x v="1"/>
    <x v="239"/>
    <n v="3.0859000000000001"/>
  </r>
  <r>
    <x v="2"/>
    <x v="239"/>
    <n v="3.6412"/>
  </r>
  <r>
    <x v="55"/>
    <x v="239"/>
    <n v="3.5691999999999999"/>
  </r>
  <r>
    <x v="70"/>
    <x v="239"/>
    <n v="3.5177"/>
  </r>
  <r>
    <x v="127"/>
    <x v="239"/>
    <n v="3.3121"/>
  </r>
  <r>
    <x v="46"/>
    <x v="239"/>
    <n v="3.5177"/>
  </r>
  <r>
    <x v="117"/>
    <x v="240"/>
    <n v="3.3018000000000001"/>
  </r>
  <r>
    <x v="72"/>
    <x v="240"/>
    <n v="3.6309"/>
  </r>
  <r>
    <x v="69"/>
    <x v="240"/>
    <n v="3.5589"/>
  </r>
  <r>
    <x v="45"/>
    <x v="240"/>
    <n v="3.6926000000000001"/>
  </r>
  <r>
    <x v="33"/>
    <x v="241"/>
    <n v="3.4457"/>
  </r>
  <r>
    <x v="125"/>
    <x v="241"/>
    <n v="3.6617999999999999"/>
  </r>
  <r>
    <x v="45"/>
    <x v="241"/>
    <n v="3.6206"/>
  </r>
  <r>
    <x v="59"/>
    <x v="241"/>
    <n v="3.4032"/>
  </r>
  <r>
    <x v="21"/>
    <x v="241"/>
    <n v="3.2915000000000001"/>
  </r>
  <r>
    <x v="30"/>
    <x v="241"/>
    <n v="3.5486"/>
  </r>
  <r>
    <x v="89"/>
    <x v="241"/>
    <n v="3.6103999999999998"/>
  </r>
  <r>
    <x v="106"/>
    <x v="241"/>
    <n v="3.5383"/>
  </r>
  <r>
    <x v="12"/>
    <x v="241"/>
    <n v="3.3018000000000001"/>
  </r>
  <r>
    <x v="46"/>
    <x v="241"/>
    <n v="3.5383"/>
  </r>
  <r>
    <x v="63"/>
    <x v="241"/>
    <n v="3.4971999999999999"/>
  </r>
  <r>
    <x v="68"/>
    <x v="241"/>
    <n v="3.4148999999999998"/>
  </r>
  <r>
    <x v="16"/>
    <x v="241"/>
    <n v="3.4765000000000001"/>
  </r>
  <r>
    <x v="4"/>
    <x v="241"/>
    <n v="3.1888000000000001"/>
  </r>
  <r>
    <x v="80"/>
    <x v="241"/>
    <n v="3.5794999999999999"/>
  </r>
  <r>
    <x v="50"/>
    <x v="241"/>
    <n v="3.4354"/>
  </r>
  <r>
    <x v="43"/>
    <x v="241"/>
    <n v="3.2606999999999999"/>
  </r>
  <r>
    <x v="8"/>
    <x v="241"/>
    <n v="3.3121"/>
  </r>
  <r>
    <x v="0"/>
    <x v="241"/>
    <n v="3.5486"/>
  </r>
  <r>
    <x v="53"/>
    <x v="241"/>
    <n v="3.5"/>
  </r>
  <r>
    <x v="12"/>
    <x v="242"/>
    <n v="3.3121"/>
  </r>
  <r>
    <x v="5"/>
    <x v="242"/>
    <n v="3.4971999999999999"/>
  </r>
  <r>
    <x v="36"/>
    <x v="242"/>
    <n v="3.5794999999999999"/>
  </r>
  <r>
    <x v="0"/>
    <x v="242"/>
    <n v="3.5486"/>
  </r>
  <r>
    <x v="55"/>
    <x v="242"/>
    <n v="3.6412"/>
  </r>
  <r>
    <x v="103"/>
    <x v="242"/>
    <n v="3.5484"/>
  </r>
  <r>
    <x v="41"/>
    <x v="242"/>
    <n v="3.4148999999999998"/>
  </r>
  <r>
    <x v="22"/>
    <x v="242"/>
    <n v="3.4045999999999998"/>
  </r>
  <r>
    <x v="122"/>
    <x v="242"/>
    <n v="3.5486"/>
  </r>
  <r>
    <x v="78"/>
    <x v="242"/>
    <n v="3.4457"/>
  </r>
  <r>
    <x v="70"/>
    <x v="242"/>
    <n v="3.4868000000000001"/>
  </r>
  <r>
    <x v="84"/>
    <x v="242"/>
    <n v="3.8778000000000001"/>
  </r>
  <r>
    <x v="89"/>
    <x v="242"/>
    <n v="3.6103999999999998"/>
  </r>
  <r>
    <x v="48"/>
    <x v="242"/>
    <n v="3.5383"/>
  </r>
  <r>
    <x v="77"/>
    <x v="242"/>
    <n v="3.2709999999999999"/>
  </r>
  <r>
    <x v="20"/>
    <x v="242"/>
    <n v="3.4355000000000002"/>
  </r>
  <r>
    <x v="47"/>
    <x v="242"/>
    <n v="3.3429000000000002"/>
  </r>
  <r>
    <x v="37"/>
    <x v="242"/>
    <n v="3.5383"/>
  </r>
  <r>
    <x v="125"/>
    <x v="242"/>
    <n v="3.6720999999999999"/>
  </r>
  <r>
    <x v="57"/>
    <x v="242"/>
    <n v="3.6617999999999999"/>
  </r>
  <r>
    <x v="56"/>
    <x v="242"/>
    <n v="3.528"/>
  </r>
  <r>
    <x v="79"/>
    <x v="242"/>
    <n v="3.2812999999999999"/>
  </r>
  <r>
    <x v="71"/>
    <x v="242"/>
    <n v="3.7544"/>
  </r>
  <r>
    <x v="26"/>
    <x v="242"/>
    <n v="3.528"/>
  </r>
  <r>
    <x v="123"/>
    <x v="242"/>
    <n v="3.5794000000000001"/>
  </r>
  <r>
    <x v="82"/>
    <x v="242"/>
    <n v="3.5794999999999999"/>
  </r>
  <r>
    <x v="105"/>
    <x v="242"/>
    <n v="3.5794999999999999"/>
  </r>
  <r>
    <x v="62"/>
    <x v="242"/>
    <n v="3.528"/>
  </r>
  <r>
    <x v="69"/>
    <x v="242"/>
    <n v="3.5691999999999999"/>
  </r>
  <r>
    <x v="49"/>
    <x v="242"/>
    <n v="3.4971000000000001"/>
  </r>
  <r>
    <x v="52"/>
    <x v="242"/>
    <n v="3.6309"/>
  </r>
  <r>
    <x v="80"/>
    <x v="242"/>
    <n v="3.5794999999999999"/>
  </r>
  <r>
    <x v="119"/>
    <x v="242"/>
    <n v="3.5203000000000002"/>
  </r>
  <r>
    <x v="39"/>
    <x v="242"/>
    <n v="3.4146999999999998"/>
  </r>
  <r>
    <x v="94"/>
    <x v="242"/>
    <n v="3.4971000000000001"/>
  </r>
  <r>
    <x v="51"/>
    <x v="242"/>
    <n v="3.4458000000000002"/>
  </r>
  <r>
    <x v="59"/>
    <x v="242"/>
    <n v="3.4032"/>
  </r>
  <r>
    <x v="95"/>
    <x v="242"/>
    <n v="3.4971999999999999"/>
  </r>
  <r>
    <x v="18"/>
    <x v="242"/>
    <n v="3.5794999999999999"/>
  </r>
  <r>
    <x v="16"/>
    <x v="242"/>
    <n v="3.4765000000000001"/>
  </r>
  <r>
    <x v="58"/>
    <x v="242"/>
    <n v="3.5486"/>
  </r>
  <r>
    <x v="2"/>
    <x v="242"/>
    <n v="3.6412"/>
  </r>
  <r>
    <x v="81"/>
    <x v="242"/>
    <n v="3.528"/>
  </r>
  <r>
    <x v="76"/>
    <x v="242"/>
    <n v="3.5794999999999999"/>
  </r>
  <r>
    <x v="40"/>
    <x v="242"/>
    <n v="3.6766000000000001"/>
  </r>
  <r>
    <x v="32"/>
    <x v="242"/>
    <n v="3.5583999999999998"/>
  </r>
  <r>
    <x v="118"/>
    <x v="242"/>
    <n v="3.5589"/>
  </r>
  <r>
    <x v="60"/>
    <x v="242"/>
    <n v="3.528"/>
  </r>
  <r>
    <x v="115"/>
    <x v="242"/>
    <n v="3.6103999999999998"/>
  </r>
  <r>
    <x v="116"/>
    <x v="242"/>
    <n v="2.7988"/>
  </r>
  <r>
    <x v="9"/>
    <x v="242"/>
    <n v="3.5589"/>
  </r>
  <r>
    <x v="3"/>
    <x v="242"/>
    <n v="3.7544"/>
  </r>
  <r>
    <x v="35"/>
    <x v="242"/>
    <n v="3.6926999999999999"/>
  </r>
  <r>
    <x v="13"/>
    <x v="243"/>
    <n v="3.4868999999999999"/>
  </r>
  <r>
    <x v="5"/>
    <x v="243"/>
    <n v="3.4971999999999999"/>
  </r>
  <r>
    <x v="19"/>
    <x v="243"/>
    <n v="3.4045999999999998"/>
  </r>
  <r>
    <x v="34"/>
    <x v="243"/>
    <n v="3.5897999999999999"/>
  </r>
  <r>
    <x v="117"/>
    <x v="243"/>
    <n v="3.5794999999999999"/>
  </r>
  <r>
    <x v="11"/>
    <x v="243"/>
    <n v="3.6162000000000001"/>
  </r>
  <r>
    <x v="107"/>
    <x v="243"/>
    <n v="3.8879000000000001"/>
  </r>
  <r>
    <x v="29"/>
    <x v="243"/>
    <n v="3.4918999999999998"/>
  </r>
  <r>
    <x v="86"/>
    <x v="243"/>
    <n v="3.5074000000000001"/>
  </r>
  <r>
    <x v="33"/>
    <x v="243"/>
    <n v="3.4971999999999999"/>
  </r>
  <r>
    <x v="1"/>
    <x v="243"/>
    <n v="3.2915000000000001"/>
  </r>
  <r>
    <x v="85"/>
    <x v="243"/>
    <n v="3.3944000000000001"/>
  </r>
  <r>
    <x v="126"/>
    <x v="243"/>
    <n v="3.3426999999999998"/>
  </r>
  <r>
    <x v="96"/>
    <x v="243"/>
    <n v="3.6597"/>
  </r>
  <r>
    <x v="10"/>
    <x v="243"/>
    <n v="3.6335000000000002"/>
  </r>
  <r>
    <x v="32"/>
    <x v="244"/>
    <n v="3.7126999999999999"/>
  </r>
  <r>
    <x v="29"/>
    <x v="244"/>
    <n v="3.6051000000000002"/>
  </r>
  <r>
    <x v="6"/>
    <x v="244"/>
    <n v="4.0018000000000002"/>
  </r>
  <r>
    <x v="104"/>
    <x v="244"/>
    <n v="3.4923999999999999"/>
  </r>
  <r>
    <x v="49"/>
    <x v="244"/>
    <n v="3.806"/>
  </r>
  <r>
    <x v="109"/>
    <x v="244"/>
    <n v="3.7442000000000002"/>
  </r>
  <r>
    <x v="23"/>
    <x v="244"/>
    <n v="3.7235999999999998"/>
  </r>
  <r>
    <x v="34"/>
    <x v="244"/>
    <n v="3.7751000000000001"/>
  </r>
  <r>
    <x v="71"/>
    <x v="244"/>
    <n v="3.7852999999999999"/>
  </r>
  <r>
    <x v="55"/>
    <x v="244"/>
    <n v="3.9192999999999998"/>
  </r>
  <r>
    <x v="19"/>
    <x v="245"/>
    <n v="3.5072999999999999"/>
  </r>
  <r>
    <x v="24"/>
    <x v="245"/>
    <n v="3.8369"/>
  </r>
  <r>
    <x v="1"/>
    <x v="246"/>
    <n v="3.3942000000000001"/>
  </r>
  <r>
    <x v="59"/>
    <x v="246"/>
    <n v="3.4710000000000001"/>
  </r>
  <r>
    <x v="59"/>
    <x v="247"/>
    <n v="3.4710000000000001"/>
  </r>
  <r>
    <x v="102"/>
    <x v="247"/>
    <n v="3.5185"/>
  </r>
  <r>
    <x v="44"/>
    <x v="247"/>
    <n v="3.6514000000000002"/>
  </r>
  <r>
    <x v="34"/>
    <x v="247"/>
    <n v="3.7957000000000001"/>
  </r>
  <r>
    <x v="79"/>
    <x v="247"/>
    <n v="3.8058999999999998"/>
  </r>
  <r>
    <x v="110"/>
    <x v="247"/>
    <n v="3.5"/>
  </r>
  <r>
    <x v="86"/>
    <x v="247"/>
    <n v="3.7751000000000001"/>
  </r>
  <r>
    <x v="122"/>
    <x v="247"/>
    <n v="3.8677999999999999"/>
  </r>
  <r>
    <x v="39"/>
    <x v="247"/>
    <n v="3.4146999999999998"/>
  </r>
  <r>
    <x v="75"/>
    <x v="247"/>
    <n v="3.9089999999999998"/>
  </r>
  <r>
    <x v="66"/>
    <x v="247"/>
    <n v="3.7172999999999998"/>
  </r>
  <r>
    <x v="36"/>
    <x v="247"/>
    <n v="3.7545000000000002"/>
  </r>
  <r>
    <x v="73"/>
    <x v="247"/>
    <n v="3.5485000000000002"/>
  </r>
  <r>
    <x v="77"/>
    <x v="247"/>
    <n v="3.2709999999999999"/>
  </r>
  <r>
    <x v="17"/>
    <x v="247"/>
    <n v="3.6412"/>
  </r>
  <r>
    <x v="82"/>
    <x v="247"/>
    <n v="3.9502000000000002"/>
  </r>
  <r>
    <x v="94"/>
    <x v="247"/>
    <n v="3.8883000000000001"/>
  </r>
  <r>
    <x v="71"/>
    <x v="247"/>
    <n v="3.7852999999999999"/>
  </r>
  <r>
    <x v="24"/>
    <x v="248"/>
    <n v="3.8369"/>
  </r>
  <r>
    <x v="7"/>
    <x v="248"/>
    <n v="3.8574999999999999"/>
  </r>
  <r>
    <x v="33"/>
    <x v="248"/>
    <n v="3.7339000000000002"/>
  </r>
  <r>
    <x v="6"/>
    <x v="248"/>
    <n v="4.0224000000000002"/>
  </r>
  <r>
    <x v="11"/>
    <x v="248"/>
    <n v="3.661"/>
  </r>
  <r>
    <x v="27"/>
    <x v="248"/>
    <n v="3.7852999999999999"/>
  </r>
  <r>
    <x v="23"/>
    <x v="248"/>
    <n v="3.8472"/>
  </r>
  <r>
    <x v="32"/>
    <x v="248"/>
    <n v="3.7936000000000001"/>
  </r>
  <r>
    <x v="10"/>
    <x v="248"/>
    <n v="3.8573"/>
  </r>
  <r>
    <x v="128"/>
    <x v="249"/>
    <m/>
  </r>
  <r>
    <x v="129"/>
    <x v="0"/>
    <n v="4"/>
  </r>
  <r>
    <x v="129"/>
    <x v="250"/>
    <n v="4"/>
  </r>
  <r>
    <x v="130"/>
    <x v="0"/>
    <n v="-9999999"/>
  </r>
  <r>
    <x v="130"/>
    <x v="57"/>
    <n v="-9999999"/>
  </r>
  <r>
    <x v="130"/>
    <x v="251"/>
    <n v="9999999"/>
  </r>
  <r>
    <x v="131"/>
    <x v="0"/>
    <n v="4.5199999999999996"/>
  </r>
  <r>
    <x v="131"/>
    <x v="250"/>
    <n v="4.51999999999999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563ED-E0A2-4416-8EC3-C22C5B37646B}" name="Tabela dinâmica3" cacheId="4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 chartFormat="17">
  <location ref="U7:EV259" firstHeaderRow="1" firstDataRow="2" firstDataCol="1"/>
  <pivotFields count="3">
    <pivotField axis="axisCol" showAll="0">
      <items count="133">
        <item x="20"/>
        <item x="117"/>
        <item x="82"/>
        <item x="39"/>
        <item x="78"/>
        <item x="37"/>
        <item x="47"/>
        <item x="48"/>
        <item x="9"/>
        <item x="33"/>
        <item x="49"/>
        <item x="0"/>
        <item x="31"/>
        <item x="26"/>
        <item x="18"/>
        <item x="46"/>
        <item x="105"/>
        <item x="30"/>
        <item x="19"/>
        <item x="81"/>
        <item x="77"/>
        <item x="21"/>
        <item x="92"/>
        <item x="16"/>
        <item x="53"/>
        <item x="15"/>
        <item x="1"/>
        <item x="75"/>
        <item x="69"/>
        <item x="54"/>
        <item x="76"/>
        <item x="22"/>
        <item x="74"/>
        <item x="17"/>
        <item x="86"/>
        <item x="89"/>
        <item x="95"/>
        <item x="36"/>
        <item x="2"/>
        <item x="58"/>
        <item x="6"/>
        <item x="59"/>
        <item x="113"/>
        <item x="73"/>
        <item x="44"/>
        <item x="122"/>
        <item x="67"/>
        <item x="38"/>
        <item x="124"/>
        <item x="8"/>
        <item x="90"/>
        <item x="10"/>
        <item x="72"/>
        <item x="109"/>
        <item x="101"/>
        <item x="71"/>
        <item x="41"/>
        <item x="52"/>
        <item x="68"/>
        <item x="3"/>
        <item x="62"/>
        <item x="110"/>
        <item x="79"/>
        <item x="14"/>
        <item x="64"/>
        <item x="57"/>
        <item x="63"/>
        <item x="85"/>
        <item x="40"/>
        <item x="96"/>
        <item x="55"/>
        <item x="34"/>
        <item x="84"/>
        <item x="66"/>
        <item x="24"/>
        <item x="99"/>
        <item x="70"/>
        <item x="42"/>
        <item x="61"/>
        <item x="51"/>
        <item x="5"/>
        <item x="88"/>
        <item x="23"/>
        <item x="4"/>
        <item x="29"/>
        <item x="11"/>
        <item x="87"/>
        <item x="83"/>
        <item x="112"/>
        <item x="123"/>
        <item x="56"/>
        <item x="116"/>
        <item x="13"/>
        <item x="35"/>
        <item x="94"/>
        <item x="43"/>
        <item x="127"/>
        <item x="97"/>
        <item x="98"/>
        <item x="108"/>
        <item x="28"/>
        <item x="80"/>
        <item x="60"/>
        <item x="25"/>
        <item x="91"/>
        <item x="27"/>
        <item x="45"/>
        <item x="93"/>
        <item x="50"/>
        <item x="12"/>
        <item x="104"/>
        <item x="107"/>
        <item x="103"/>
        <item x="7"/>
        <item x="65"/>
        <item x="121"/>
        <item x="102"/>
        <item x="32"/>
        <item x="100"/>
        <item x="106"/>
        <item x="115"/>
        <item x="118"/>
        <item x="111"/>
        <item x="114"/>
        <item x="119"/>
        <item x="120"/>
        <item x="126"/>
        <item x="125"/>
        <item h="1" x="128"/>
        <item x="129"/>
        <item x="130"/>
        <item x="131"/>
        <item t="default"/>
      </items>
    </pivotField>
    <pivotField axis="axisRow" numFmtId="165" showAll="0" sortType="ascending">
      <items count="2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251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7"/>
        <item x="86"/>
        <item x="85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40"/>
        <item x="139"/>
        <item x="138"/>
        <item x="137"/>
        <item x="136"/>
        <item x="135"/>
        <item x="134"/>
        <item x="141"/>
        <item x="143"/>
        <item x="142"/>
        <item x="144"/>
        <item x="145"/>
        <item x="146"/>
        <item x="147"/>
        <item x="148"/>
        <item x="149"/>
        <item x="150"/>
        <item x="151"/>
        <item x="152"/>
        <item x="154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49"/>
        <item t="default"/>
      </items>
    </pivotField>
    <pivotField dataField="1" showAll="0"/>
  </pivotFields>
  <rowFields count="1">
    <field x="1"/>
  </rowFields>
  <rowItems count="2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</rowItems>
  <colFields count="1">
    <field x="0"/>
  </colFields>
  <colItems count="1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9"/>
    </i>
    <i>
      <x v="130"/>
    </i>
    <i>
      <x v="131"/>
    </i>
  </colItems>
  <dataFields count="1">
    <dataField name="Soma de Valor" fld="2" baseField="0" baseItem="0"/>
  </dataFields>
  <chartFormats count="38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1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1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1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0" format="1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7"/>
          </reference>
        </references>
      </pivotArea>
    </chartFormat>
    <chartFormat chart="0" format="1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8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0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1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3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5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6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7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8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9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0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1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3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4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7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8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9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0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1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2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3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4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6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1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2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3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4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5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6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7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8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9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0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1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2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3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4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5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6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7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9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0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2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3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4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6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7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8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9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0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1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2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3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4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5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6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7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8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9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0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1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2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3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4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5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6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7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8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9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0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1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2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3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4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5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6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7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8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9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0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1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2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3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4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5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8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1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2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4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5"/>
          </reference>
        </references>
      </pivotArea>
    </chartFormat>
    <chartFormat chart="0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7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9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0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2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5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9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0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1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2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4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5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6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7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8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9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0"/>
          </reference>
        </references>
      </pivotArea>
    </chartFormat>
    <chartFormat chart="0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1"/>
          </reference>
        </references>
      </pivotArea>
    </chartFormat>
    <chartFormat chart="0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2"/>
          </reference>
        </references>
      </pivotArea>
    </chartFormat>
    <chartFormat chart="0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3"/>
          </reference>
        </references>
      </pivotArea>
    </chartFormat>
    <chartFormat chart="0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4"/>
          </reference>
        </references>
      </pivotArea>
    </chartFormat>
    <chartFormat chart="0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5"/>
          </reference>
        </references>
      </pivotArea>
    </chartFormat>
    <chartFormat chart="0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6"/>
          </reference>
        </references>
      </pivotArea>
    </chartFormat>
    <chartFormat chart="0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7"/>
          </reference>
        </references>
      </pivotArea>
    </chartFormat>
    <chartFormat chart="0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8"/>
          </reference>
        </references>
      </pivotArea>
    </chartFormat>
    <chartFormat chart="0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9"/>
          </reference>
        </references>
      </pivotArea>
    </chartFormat>
    <chartFormat chart="0" format="2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2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2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2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2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2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2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2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2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2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2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2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0" format="2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2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2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2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2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2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0" format="2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0" format="2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2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2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0" format="2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2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0" format="2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2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0" format="2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0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0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0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0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0" format="2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0" format="3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0" format="3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0" format="3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0" format="3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0" format="3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0" format="3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0" format="3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0" format="3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3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9"/>
          </reference>
        </references>
      </pivotArea>
    </chartFormat>
    <chartFormat chart="0" format="3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0"/>
          </reference>
        </references>
      </pivotArea>
    </chartFormat>
    <chartFormat chart="0" format="3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1"/>
          </reference>
        </references>
      </pivotArea>
    </chartFormat>
    <chartFormat chart="0" format="3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2"/>
          </reference>
        </references>
      </pivotArea>
    </chartFormat>
    <chartFormat chart="0" format="3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3"/>
          </reference>
        </references>
      </pivotArea>
    </chartFormat>
    <chartFormat chart="0" format="3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4"/>
          </reference>
        </references>
      </pivotArea>
    </chartFormat>
    <chartFormat chart="0" format="3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"/>
          </reference>
        </references>
      </pivotArea>
    </chartFormat>
    <chartFormat chart="0" format="3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6"/>
          </reference>
        </references>
      </pivotArea>
    </chartFormat>
    <chartFormat chart="0" format="3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7"/>
          </reference>
        </references>
      </pivotArea>
    </chartFormat>
    <chartFormat chart="0" format="3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8"/>
          </reference>
        </references>
      </pivotArea>
    </chartFormat>
    <chartFormat chart="0" format="3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9"/>
          </reference>
        </references>
      </pivotArea>
    </chartFormat>
    <chartFormat chart="0" format="3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0"/>
          </reference>
        </references>
      </pivotArea>
    </chartFormat>
    <chartFormat chart="0" format="3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1"/>
          </reference>
        </references>
      </pivotArea>
    </chartFormat>
    <chartFormat chart="0" format="3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2"/>
          </reference>
        </references>
      </pivotArea>
    </chartFormat>
    <chartFormat chart="0" format="3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3"/>
          </reference>
        </references>
      </pivotArea>
    </chartFormat>
    <chartFormat chart="0" format="3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4"/>
          </reference>
        </references>
      </pivotArea>
    </chartFormat>
    <chartFormat chart="0" format="3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5"/>
          </reference>
        </references>
      </pivotArea>
    </chartFormat>
    <chartFormat chart="0" format="3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6"/>
          </reference>
        </references>
      </pivotArea>
    </chartFormat>
    <chartFormat chart="0" format="3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7"/>
          </reference>
        </references>
      </pivotArea>
    </chartFormat>
    <chartFormat chart="0" format="3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8"/>
          </reference>
        </references>
      </pivotArea>
    </chartFormat>
    <chartFormat chart="0" format="3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9"/>
          </reference>
        </references>
      </pivotArea>
    </chartFormat>
    <chartFormat chart="0" format="3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0"/>
          </reference>
        </references>
      </pivotArea>
    </chartFormat>
    <chartFormat chart="0" format="3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1"/>
          </reference>
        </references>
      </pivotArea>
    </chartFormat>
    <chartFormat chart="0" format="3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2"/>
          </reference>
        </references>
      </pivotArea>
    </chartFormat>
    <chartFormat chart="0" format="3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3"/>
          </reference>
        </references>
      </pivotArea>
    </chartFormat>
    <chartFormat chart="0" format="3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4"/>
          </reference>
        </references>
      </pivotArea>
    </chartFormat>
    <chartFormat chart="0" format="3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5"/>
          </reference>
        </references>
      </pivotArea>
    </chartFormat>
    <chartFormat chart="0" format="3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6"/>
          </reference>
        </references>
      </pivotArea>
    </chartFormat>
    <chartFormat chart="0" format="3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7"/>
          </reference>
        </references>
      </pivotArea>
    </chartFormat>
    <chartFormat chart="0" format="3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8"/>
          </reference>
        </references>
      </pivotArea>
    </chartFormat>
    <chartFormat chart="0" format="3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9"/>
          </reference>
        </references>
      </pivotArea>
    </chartFormat>
    <chartFormat chart="0" format="3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0"/>
          </reference>
        </references>
      </pivotArea>
    </chartFormat>
    <chartFormat chart="0" format="3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1"/>
          </reference>
        </references>
      </pivotArea>
    </chartFormat>
    <chartFormat chart="0" format="3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2"/>
          </reference>
        </references>
      </pivotArea>
    </chartFormat>
    <chartFormat chart="0" format="3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3"/>
          </reference>
        </references>
      </pivotArea>
    </chartFormat>
    <chartFormat chart="0" format="3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4"/>
          </reference>
        </references>
      </pivotArea>
    </chartFormat>
    <chartFormat chart="0" format="3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5"/>
          </reference>
        </references>
      </pivotArea>
    </chartFormat>
    <chartFormat chart="0" format="3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6"/>
          </reference>
        </references>
      </pivotArea>
    </chartFormat>
    <chartFormat chart="0" format="3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7"/>
          </reference>
        </references>
      </pivotArea>
    </chartFormat>
    <chartFormat chart="0" format="3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8"/>
          </reference>
        </references>
      </pivotArea>
    </chartFormat>
    <chartFormat chart="0" format="3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9"/>
          </reference>
        </references>
      </pivotArea>
    </chartFormat>
    <chartFormat chart="0" format="3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0"/>
          </reference>
        </references>
      </pivotArea>
    </chartFormat>
    <chartFormat chart="0" format="3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1"/>
          </reference>
        </references>
      </pivotArea>
    </chartFormat>
    <chartFormat chart="0" format="3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2"/>
          </reference>
        </references>
      </pivotArea>
    </chartFormat>
    <chartFormat chart="0" format="3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3"/>
          </reference>
        </references>
      </pivotArea>
    </chartFormat>
    <chartFormat chart="0" format="3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4"/>
          </reference>
        </references>
      </pivotArea>
    </chartFormat>
    <chartFormat chart="0" format="3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5"/>
          </reference>
        </references>
      </pivotArea>
    </chartFormat>
    <chartFormat chart="0" format="3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6"/>
          </reference>
        </references>
      </pivotArea>
    </chartFormat>
    <chartFormat chart="0" format="3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7"/>
          </reference>
        </references>
      </pivotArea>
    </chartFormat>
    <chartFormat chart="0" format="3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8"/>
          </reference>
        </references>
      </pivotArea>
    </chartFormat>
    <chartFormat chart="0" format="3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9"/>
          </reference>
        </references>
      </pivotArea>
    </chartFormat>
    <chartFormat chart="0" format="3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0"/>
          </reference>
        </references>
      </pivotArea>
    </chartFormat>
    <chartFormat chart="0" format="3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1"/>
          </reference>
        </references>
      </pivotArea>
    </chartFormat>
    <chartFormat chart="0" format="3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2"/>
          </reference>
        </references>
      </pivotArea>
    </chartFormat>
    <chartFormat chart="0" format="3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3"/>
          </reference>
        </references>
      </pivotArea>
    </chartFormat>
    <chartFormat chart="0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4"/>
          </reference>
        </references>
      </pivotArea>
    </chartFormat>
    <chartFormat chart="0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5"/>
          </reference>
        </references>
      </pivotArea>
    </chartFormat>
    <chartFormat chart="0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6"/>
          </reference>
        </references>
      </pivotArea>
    </chartFormat>
    <chartFormat chart="0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7"/>
          </reference>
        </references>
      </pivotArea>
    </chartFormat>
    <chartFormat chart="0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8"/>
          </reference>
        </references>
      </pivotArea>
    </chartFormat>
    <chartFormat chart="0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9"/>
          </reference>
        </references>
      </pivotArea>
    </chartFormat>
    <chartFormat chart="0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0"/>
          </reference>
        </references>
      </pivotArea>
    </chartFormat>
    <chartFormat chart="0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1"/>
          </reference>
        </references>
      </pivotArea>
    </chartFormat>
    <chartFormat chart="0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2"/>
          </reference>
        </references>
      </pivotArea>
    </chartFormat>
    <chartFormat chart="0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3"/>
          </reference>
        </references>
      </pivotArea>
    </chartFormat>
    <chartFormat chart="0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4"/>
          </reference>
        </references>
      </pivotArea>
    </chartFormat>
    <chartFormat chart="0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5"/>
          </reference>
        </references>
      </pivotArea>
    </chartFormat>
    <chartFormat chart="0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6"/>
          </reference>
        </references>
      </pivotArea>
    </chartFormat>
    <chartFormat chart="0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7"/>
          </reference>
        </references>
      </pivotArea>
    </chartFormat>
    <chartFormat chart="0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8"/>
          </reference>
        </references>
      </pivotArea>
    </chartFormat>
    <chartFormat chart="0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9"/>
          </reference>
        </references>
      </pivotArea>
    </chartFormat>
    <chartFormat chart="0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0"/>
          </reference>
        </references>
      </pivotArea>
    </chartFormat>
    <chartFormat chart="0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1"/>
          </reference>
        </references>
      </pivotArea>
    </chartFormat>
    <chartFormat chart="0" format="3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1" count="1" selected="0">
            <x v="0"/>
          </reference>
        </references>
      </pivotArea>
    </chartFormat>
    <chartFormat chart="0" format="3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1" count="1" selected="0">
            <x v="25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4961-5372-4738-A9D6-0319F8CD0079}">
  <sheetPr codeName="Planilha12"/>
  <dimension ref="A1:JK3039"/>
  <sheetViews>
    <sheetView tabSelected="1" workbookViewId="0">
      <selection activeCell="A8" sqref="A8"/>
    </sheetView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11.42578125" style="1" customWidth="1"/>
    <col min="7" max="7" width="10.140625" style="1" customWidth="1"/>
    <col min="8" max="8" width="10.42578125" style="1" bestFit="1" customWidth="1"/>
    <col min="9" max="17" width="10.42578125" style="1" customWidth="1"/>
    <col min="18" max="18" width="10.42578125" style="1" bestFit="1" customWidth="1"/>
    <col min="19" max="20" width="10.42578125" style="1" customWidth="1"/>
    <col min="21" max="21" width="18" style="1" bestFit="1" customWidth="1"/>
    <col min="22" max="22" width="19.5703125" style="1" bestFit="1" customWidth="1"/>
    <col min="23" max="82" width="7" style="1" bestFit="1" customWidth="1"/>
    <col min="83" max="83" width="6" style="1" bestFit="1" customWidth="1"/>
    <col min="84" max="124" width="7" style="1" bestFit="1" customWidth="1"/>
    <col min="125" max="125" width="6" style="1" bestFit="1" customWidth="1"/>
    <col min="126" max="143" width="7" style="1" bestFit="1" customWidth="1"/>
    <col min="144" max="144" width="6" style="1" bestFit="1" customWidth="1"/>
    <col min="145" max="149" width="7" style="1" bestFit="1" customWidth="1"/>
    <col min="150" max="150" width="6.140625" style="1" bestFit="1" customWidth="1"/>
    <col min="151" max="151" width="8.7109375" style="1" bestFit="1" customWidth="1"/>
    <col min="152" max="271" width="10.7109375" style="1" bestFit="1" customWidth="1"/>
    <col min="272" max="16384" width="9.140625" style="1"/>
  </cols>
  <sheetData>
    <row r="1" spans="1:271" s="3" customFormat="1" ht="15.75" x14ac:dyDescent="0.25">
      <c r="A1" s="14" t="s">
        <v>10</v>
      </c>
    </row>
    <row r="3" spans="1:271" s="3" customFormat="1" x14ac:dyDescent="0.2">
      <c r="A3" s="2" t="s">
        <v>11</v>
      </c>
    </row>
    <row r="4" spans="1:271" ht="15" x14ac:dyDescent="0.25">
      <c r="A4" s="4" t="s">
        <v>12</v>
      </c>
    </row>
    <row r="6" spans="1:271" s="3" customFormat="1" x14ac:dyDescent="0.2">
      <c r="A6" s="2" t="s">
        <v>1</v>
      </c>
    </row>
    <row r="7" spans="1:271" ht="15" x14ac:dyDescent="0.25">
      <c r="A7" s="1" t="str" cm="1">
        <f t="array" ref="A7:C3031">xlFOCUS_ReadJSONFile(A4,TRUE,,"value")</f>
        <v>Instituicao</v>
      </c>
      <c r="B7" s="1" t="str">
        <v>Data</v>
      </c>
      <c r="C7" s="1" t="str">
        <v>Valor</v>
      </c>
      <c r="F7" s="8" t="s">
        <v>2</v>
      </c>
      <c r="G7" s="8" t="s">
        <v>0</v>
      </c>
      <c r="H7" s="8" t="s">
        <v>3</v>
      </c>
      <c r="U7" s="7" t="s">
        <v>6</v>
      </c>
      <c r="V7" s="7" t="s">
        <v>5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</row>
    <row r="8" spans="1:271" ht="15" x14ac:dyDescent="0.25">
      <c r="A8" s="1">
        <v>49</v>
      </c>
      <c r="B8" s="1" t="str">
        <v>2019-12-02</v>
      </c>
      <c r="C8" s="1">
        <v>3.4624000000000001</v>
      </c>
      <c r="F8" s="8">
        <f>A8</f>
        <v>49</v>
      </c>
      <c r="G8" s="9">
        <f>DATE(LEFT(B8,4),MID(B8,6,2),RIGHT(B8,2))</f>
        <v>43801</v>
      </c>
      <c r="H8" s="10">
        <f>C8</f>
        <v>3.4624000000000001</v>
      </c>
      <c r="U8" s="7" t="s">
        <v>4</v>
      </c>
      <c r="V8">
        <v>1</v>
      </c>
      <c r="W8">
        <v>8</v>
      </c>
      <c r="X8">
        <v>10</v>
      </c>
      <c r="Y8">
        <v>16</v>
      </c>
      <c r="Z8">
        <v>20</v>
      </c>
      <c r="AA8">
        <v>24</v>
      </c>
      <c r="AB8">
        <v>28</v>
      </c>
      <c r="AC8">
        <v>31</v>
      </c>
      <c r="AD8">
        <v>32</v>
      </c>
      <c r="AE8">
        <v>34</v>
      </c>
      <c r="AF8">
        <v>37</v>
      </c>
      <c r="AG8">
        <v>49</v>
      </c>
      <c r="AH8">
        <v>53</v>
      </c>
      <c r="AI8">
        <v>55</v>
      </c>
      <c r="AJ8">
        <v>59</v>
      </c>
      <c r="AK8">
        <v>67</v>
      </c>
      <c r="AL8">
        <v>68</v>
      </c>
      <c r="AM8">
        <v>72</v>
      </c>
      <c r="AN8">
        <v>77</v>
      </c>
      <c r="AO8">
        <v>78</v>
      </c>
      <c r="AP8">
        <v>81</v>
      </c>
      <c r="AQ8">
        <v>83</v>
      </c>
      <c r="AR8">
        <v>89</v>
      </c>
      <c r="AS8">
        <v>90</v>
      </c>
      <c r="AT8">
        <v>94</v>
      </c>
      <c r="AU8">
        <v>98</v>
      </c>
      <c r="AV8">
        <v>99</v>
      </c>
      <c r="AW8">
        <v>101</v>
      </c>
      <c r="AX8">
        <v>102</v>
      </c>
      <c r="AY8">
        <v>109</v>
      </c>
      <c r="AZ8">
        <v>110</v>
      </c>
      <c r="BA8">
        <v>115</v>
      </c>
      <c r="BB8">
        <v>117</v>
      </c>
      <c r="BC8">
        <v>132</v>
      </c>
      <c r="BD8">
        <v>133</v>
      </c>
      <c r="BE8">
        <v>136</v>
      </c>
      <c r="BF8">
        <v>137</v>
      </c>
      <c r="BG8">
        <v>139</v>
      </c>
      <c r="BH8">
        <v>143</v>
      </c>
      <c r="BI8">
        <v>146</v>
      </c>
      <c r="BJ8">
        <v>147</v>
      </c>
      <c r="BK8">
        <v>150</v>
      </c>
      <c r="BL8">
        <v>153</v>
      </c>
      <c r="BM8">
        <v>156</v>
      </c>
      <c r="BN8">
        <v>157</v>
      </c>
      <c r="BO8">
        <v>161</v>
      </c>
      <c r="BP8">
        <v>164</v>
      </c>
      <c r="BQ8">
        <v>171</v>
      </c>
      <c r="BR8">
        <v>175</v>
      </c>
      <c r="BS8">
        <v>176</v>
      </c>
      <c r="BT8">
        <v>177</v>
      </c>
      <c r="BU8">
        <v>178</v>
      </c>
      <c r="BV8">
        <v>181</v>
      </c>
      <c r="BW8">
        <v>182</v>
      </c>
      <c r="BX8">
        <v>184</v>
      </c>
      <c r="BY8">
        <v>187</v>
      </c>
      <c r="BZ8">
        <v>191</v>
      </c>
      <c r="CA8">
        <v>196</v>
      </c>
      <c r="CB8">
        <v>250</v>
      </c>
      <c r="CC8">
        <v>2250</v>
      </c>
      <c r="CD8">
        <v>9250</v>
      </c>
      <c r="CE8">
        <v>12250</v>
      </c>
      <c r="CF8">
        <v>13250</v>
      </c>
      <c r="CG8">
        <v>23250</v>
      </c>
      <c r="CH8">
        <v>24250</v>
      </c>
      <c r="CI8">
        <v>30250</v>
      </c>
      <c r="CJ8">
        <v>30300</v>
      </c>
      <c r="CK8">
        <v>30350</v>
      </c>
      <c r="CL8">
        <v>30400</v>
      </c>
      <c r="CM8">
        <v>32040</v>
      </c>
      <c r="CN8">
        <v>32081</v>
      </c>
      <c r="CO8">
        <v>32082</v>
      </c>
      <c r="CP8">
        <v>32121</v>
      </c>
      <c r="CQ8">
        <v>32180</v>
      </c>
      <c r="CR8">
        <v>32200</v>
      </c>
      <c r="CS8">
        <v>32222</v>
      </c>
      <c r="CT8">
        <v>32260</v>
      </c>
      <c r="CU8">
        <v>32280</v>
      </c>
      <c r="CV8">
        <v>32320</v>
      </c>
      <c r="CW8">
        <v>32340</v>
      </c>
      <c r="CX8">
        <v>32360</v>
      </c>
      <c r="CY8">
        <v>32380</v>
      </c>
      <c r="CZ8">
        <v>32400</v>
      </c>
      <c r="DA8">
        <v>32401</v>
      </c>
      <c r="DB8">
        <v>32420</v>
      </c>
      <c r="DC8">
        <v>32421</v>
      </c>
      <c r="DD8">
        <v>32440</v>
      </c>
      <c r="DE8">
        <v>32480</v>
      </c>
      <c r="DF8">
        <v>32500</v>
      </c>
      <c r="DG8">
        <v>32501</v>
      </c>
      <c r="DH8">
        <v>32502</v>
      </c>
      <c r="DI8">
        <v>32521</v>
      </c>
      <c r="DJ8">
        <v>32560</v>
      </c>
      <c r="DK8">
        <v>32582</v>
      </c>
      <c r="DL8">
        <v>32583</v>
      </c>
      <c r="DM8">
        <v>32603</v>
      </c>
      <c r="DN8">
        <v>32643</v>
      </c>
      <c r="DO8">
        <v>32663</v>
      </c>
      <c r="DP8">
        <v>32703</v>
      </c>
      <c r="DQ8">
        <v>32723</v>
      </c>
      <c r="DR8">
        <v>32724</v>
      </c>
      <c r="DS8">
        <v>32783</v>
      </c>
      <c r="DT8">
        <v>32803</v>
      </c>
      <c r="DU8">
        <v>32823</v>
      </c>
      <c r="DV8">
        <v>32824</v>
      </c>
      <c r="DW8">
        <v>32843</v>
      </c>
      <c r="DX8">
        <v>32863</v>
      </c>
      <c r="DY8">
        <v>32883</v>
      </c>
      <c r="DZ8">
        <v>32923</v>
      </c>
      <c r="EA8">
        <v>32963</v>
      </c>
      <c r="EB8">
        <v>32964</v>
      </c>
      <c r="EC8">
        <v>32983</v>
      </c>
      <c r="ED8">
        <v>33003</v>
      </c>
      <c r="EE8">
        <v>33023</v>
      </c>
      <c r="EF8">
        <v>33043</v>
      </c>
      <c r="EG8">
        <v>33063</v>
      </c>
      <c r="EH8">
        <v>33083</v>
      </c>
      <c r="EI8">
        <v>33103</v>
      </c>
      <c r="EJ8">
        <v>33123</v>
      </c>
      <c r="EK8">
        <v>33125</v>
      </c>
      <c r="EL8">
        <v>33129</v>
      </c>
      <c r="EM8">
        <v>33130</v>
      </c>
      <c r="EN8">
        <v>33143</v>
      </c>
      <c r="EO8">
        <v>33164</v>
      </c>
      <c r="EP8">
        <v>33183</v>
      </c>
      <c r="EQ8">
        <v>33203</v>
      </c>
      <c r="ER8">
        <v>33223</v>
      </c>
      <c r="ES8">
        <v>33224</v>
      </c>
      <c r="ET8" t="s">
        <v>7</v>
      </c>
      <c r="EU8" t="s">
        <v>8</v>
      </c>
      <c r="EV8" t="s">
        <v>9</v>
      </c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</row>
    <row r="9" spans="1:271" ht="15" x14ac:dyDescent="0.25">
      <c r="A9" s="1">
        <v>99</v>
      </c>
      <c r="B9" s="1" t="str">
        <v>2019-12-02</v>
      </c>
      <c r="C9" s="1">
        <v>3.9802</v>
      </c>
      <c r="F9" s="8">
        <f t="shared" ref="F9:F72" si="0">A9</f>
        <v>99</v>
      </c>
      <c r="G9" s="9">
        <f t="shared" ref="G9:G72" si="1">DATE(LEFT(B9,4),MID(B9,6,2),RIGHT(B9,2))</f>
        <v>43801</v>
      </c>
      <c r="H9" s="10">
        <f t="shared" ref="H9:H72" si="2">C9</f>
        <v>3.9802</v>
      </c>
      <c r="U9" s="11">
        <v>43801</v>
      </c>
      <c r="V9"/>
      <c r="W9"/>
      <c r="X9"/>
      <c r="Y9"/>
      <c r="Z9"/>
      <c r="AA9"/>
      <c r="AB9"/>
      <c r="AC9"/>
      <c r="AD9">
        <v>3.5562999999999998</v>
      </c>
      <c r="AE9"/>
      <c r="AF9"/>
      <c r="AG9">
        <v>3.4624000000000001</v>
      </c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>
        <v>3.9802</v>
      </c>
      <c r="AW9"/>
      <c r="AX9"/>
      <c r="AY9"/>
      <c r="AZ9"/>
      <c r="BA9"/>
      <c r="BB9"/>
      <c r="BC9"/>
      <c r="BD9"/>
      <c r="BE9"/>
      <c r="BF9"/>
      <c r="BG9"/>
      <c r="BH9">
        <v>3.5</v>
      </c>
      <c r="BI9"/>
      <c r="BJ9">
        <v>3.6585999999999999</v>
      </c>
      <c r="BK9"/>
      <c r="BL9"/>
      <c r="BM9"/>
      <c r="BN9"/>
      <c r="BO9"/>
      <c r="BP9"/>
      <c r="BQ9"/>
      <c r="BR9"/>
      <c r="BS9">
        <v>3.5564</v>
      </c>
      <c r="BT9"/>
      <c r="BU9">
        <v>3.6078000000000001</v>
      </c>
      <c r="BV9"/>
      <c r="BW9"/>
      <c r="BX9"/>
      <c r="BY9"/>
      <c r="BZ9"/>
      <c r="CA9"/>
      <c r="CB9"/>
      <c r="CC9">
        <v>3.3184</v>
      </c>
      <c r="CD9"/>
      <c r="CE9"/>
      <c r="CF9"/>
      <c r="CG9">
        <v>3.7932000000000001</v>
      </c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>
        <v>3.5977999999999999</v>
      </c>
      <c r="CY9"/>
      <c r="CZ9"/>
      <c r="DA9">
        <v>4.2286999999999999</v>
      </c>
      <c r="DB9"/>
      <c r="DC9">
        <v>3.6661000000000001</v>
      </c>
      <c r="DD9"/>
      <c r="DE9"/>
      <c r="DF9"/>
      <c r="DG9"/>
      <c r="DH9"/>
      <c r="DI9"/>
      <c r="DJ9">
        <v>3.5975000000000001</v>
      </c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>
        <v>3.8146</v>
      </c>
      <c r="EB9"/>
      <c r="EC9"/>
      <c r="ED9"/>
      <c r="EE9">
        <v>4</v>
      </c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>
        <v>4</v>
      </c>
      <c r="EU9">
        <v>-9999999</v>
      </c>
      <c r="EV9">
        <v>4.5199999999999996</v>
      </c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</row>
    <row r="10" spans="1:271" ht="15" x14ac:dyDescent="0.25">
      <c r="A10" s="1">
        <v>143</v>
      </c>
      <c r="B10" s="1" t="str">
        <v>2019-12-02</v>
      </c>
      <c r="C10" s="1">
        <v>3.5</v>
      </c>
      <c r="F10" s="8">
        <f t="shared" si="0"/>
        <v>143</v>
      </c>
      <c r="G10" s="9">
        <f t="shared" si="1"/>
        <v>43801</v>
      </c>
      <c r="H10" s="10">
        <f t="shared" si="2"/>
        <v>3.5</v>
      </c>
      <c r="U10" s="11">
        <v>43802</v>
      </c>
      <c r="V10">
        <v>3.7006999999999999</v>
      </c>
      <c r="W10"/>
      <c r="X10"/>
      <c r="Y10"/>
      <c r="Z10"/>
      <c r="AA10"/>
      <c r="AB10"/>
      <c r="AC10"/>
      <c r="AD10"/>
      <c r="AE10"/>
      <c r="AF10"/>
      <c r="AG10"/>
      <c r="AH10"/>
      <c r="AI10"/>
      <c r="AJ10">
        <v>3.6072000000000002</v>
      </c>
      <c r="AK10"/>
      <c r="AL10"/>
      <c r="AM10"/>
      <c r="AN10">
        <v>3.7101999999999999</v>
      </c>
      <c r="AO10"/>
      <c r="AP10"/>
      <c r="AQ10">
        <v>4</v>
      </c>
      <c r="AR10"/>
      <c r="AS10">
        <v>3.5870000000000002</v>
      </c>
      <c r="AT10"/>
      <c r="AU10">
        <v>3.4841000000000002</v>
      </c>
      <c r="AV10">
        <v>3.9802</v>
      </c>
      <c r="AW10"/>
      <c r="AX10"/>
      <c r="AY10"/>
      <c r="AZ10"/>
      <c r="BA10"/>
      <c r="BB10"/>
      <c r="BC10">
        <v>3.8</v>
      </c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</row>
    <row r="11" spans="1:271" ht="15" x14ac:dyDescent="0.25">
      <c r="A11" s="1">
        <v>2250</v>
      </c>
      <c r="B11" s="1" t="str">
        <v>2019-12-02</v>
      </c>
      <c r="C11" s="1">
        <v>3.3184</v>
      </c>
      <c r="F11" s="8">
        <f t="shared" si="0"/>
        <v>2250</v>
      </c>
      <c r="G11" s="9">
        <f t="shared" si="1"/>
        <v>43801</v>
      </c>
      <c r="H11" s="10">
        <f t="shared" si="2"/>
        <v>3.3184</v>
      </c>
      <c r="U11" s="11">
        <v>43803</v>
      </c>
      <c r="V11">
        <v>3.7008999999999999</v>
      </c>
      <c r="W11"/>
      <c r="X11"/>
      <c r="Y11"/>
      <c r="Z11"/>
      <c r="AA11"/>
      <c r="AB11"/>
      <c r="AC11"/>
      <c r="AD11"/>
      <c r="AE11"/>
      <c r="AF11"/>
      <c r="AG11"/>
      <c r="AH11"/>
      <c r="AI11">
        <v>3.55</v>
      </c>
      <c r="AJ11"/>
      <c r="AK11"/>
      <c r="AL11"/>
      <c r="AM11">
        <v>3.597</v>
      </c>
      <c r="AN11"/>
      <c r="AO11"/>
      <c r="AP11"/>
      <c r="AQ11"/>
      <c r="AR11"/>
      <c r="AS11"/>
      <c r="AT11"/>
      <c r="AU11"/>
      <c r="AV11"/>
      <c r="AW11"/>
      <c r="AX11"/>
      <c r="AY11"/>
      <c r="AZ11"/>
      <c r="BA11">
        <v>3.6074999999999999</v>
      </c>
      <c r="BB11"/>
      <c r="BC11"/>
      <c r="BD11"/>
      <c r="BE11"/>
      <c r="BF11"/>
      <c r="BG11"/>
      <c r="BH11"/>
      <c r="BI11"/>
      <c r="BJ11">
        <v>3.6585999999999999</v>
      </c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>
        <v>3.3801999999999999</v>
      </c>
      <c r="CS11"/>
      <c r="CT11"/>
      <c r="CU11"/>
      <c r="CV11"/>
      <c r="CW11"/>
      <c r="CX11">
        <v>3.5977999999999999</v>
      </c>
      <c r="CY11"/>
      <c r="CZ11">
        <v>3.6</v>
      </c>
      <c r="DA11"/>
      <c r="DB11">
        <v>3.6494</v>
      </c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>
        <v>3.5047999999999999</v>
      </c>
      <c r="DS11"/>
      <c r="DT11"/>
      <c r="DU11">
        <v>3.9</v>
      </c>
      <c r="DV11"/>
      <c r="DW11">
        <v>3.7206999999999999</v>
      </c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</row>
    <row r="12" spans="1:271" ht="15" x14ac:dyDescent="0.25">
      <c r="A12" s="1">
        <v>32401</v>
      </c>
      <c r="B12" s="1" t="str">
        <v>2019-12-02</v>
      </c>
      <c r="C12" s="1">
        <v>4.2286999999999999</v>
      </c>
      <c r="F12" s="8">
        <f t="shared" si="0"/>
        <v>32401</v>
      </c>
      <c r="G12" s="9">
        <f t="shared" si="1"/>
        <v>43801</v>
      </c>
      <c r="H12" s="10">
        <f t="shared" si="2"/>
        <v>4.2286999999999999</v>
      </c>
      <c r="U12" s="11">
        <v>43804</v>
      </c>
      <c r="V12">
        <v>3.7008999999999999</v>
      </c>
      <c r="W12"/>
      <c r="X12"/>
      <c r="Y12">
        <v>3.39</v>
      </c>
      <c r="Z12"/>
      <c r="AA12">
        <v>3.8456000000000001</v>
      </c>
      <c r="AB12"/>
      <c r="AC12"/>
      <c r="AD12">
        <v>3.5562999999999998</v>
      </c>
      <c r="AE12">
        <v>3.6076000000000001</v>
      </c>
      <c r="AF12"/>
      <c r="AG12"/>
      <c r="AH12">
        <v>3.4319000000000002</v>
      </c>
      <c r="AI12"/>
      <c r="AJ12"/>
      <c r="AK12"/>
      <c r="AL12"/>
      <c r="AM12">
        <v>3.5663</v>
      </c>
      <c r="AN12"/>
      <c r="AO12"/>
      <c r="AP12"/>
      <c r="AQ12"/>
      <c r="AR12"/>
      <c r="AS12"/>
      <c r="AT12"/>
      <c r="AU12">
        <v>3.4841000000000002</v>
      </c>
      <c r="AV12"/>
      <c r="AW12"/>
      <c r="AX12"/>
      <c r="AY12"/>
      <c r="AZ12"/>
      <c r="BA12"/>
      <c r="BB12"/>
      <c r="BC12"/>
      <c r="BD12"/>
      <c r="BE12"/>
      <c r="BF12"/>
      <c r="BG12">
        <v>3.8041999999999998</v>
      </c>
      <c r="BH12"/>
      <c r="BI12"/>
      <c r="BJ12">
        <v>3.6585999999999999</v>
      </c>
      <c r="BK12"/>
      <c r="BL12"/>
      <c r="BM12"/>
      <c r="BN12">
        <v>3.85</v>
      </c>
      <c r="BO12"/>
      <c r="BP12"/>
      <c r="BQ12">
        <v>3.5144000000000002</v>
      </c>
      <c r="BR12"/>
      <c r="BS12">
        <v>3.5564</v>
      </c>
      <c r="BT12"/>
      <c r="BU12"/>
      <c r="BV12"/>
      <c r="BW12"/>
      <c r="BX12"/>
      <c r="BY12"/>
      <c r="BZ12">
        <v>3.7418</v>
      </c>
      <c r="CA12"/>
      <c r="CB12"/>
      <c r="CC12"/>
      <c r="CD12"/>
      <c r="CE12"/>
      <c r="CF12"/>
      <c r="CG12"/>
      <c r="CH12"/>
      <c r="CI12"/>
      <c r="CJ12"/>
      <c r="CK12"/>
      <c r="CL12">
        <v>3.2366000000000001</v>
      </c>
      <c r="CM12"/>
      <c r="CN12"/>
      <c r="CO12">
        <v>3.4407999999999999</v>
      </c>
      <c r="CP12"/>
      <c r="CQ12"/>
      <c r="CR12"/>
      <c r="CS12"/>
      <c r="CT12"/>
      <c r="CU12">
        <v>3.7</v>
      </c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>
        <v>3.6597</v>
      </c>
      <c r="DL12"/>
      <c r="DM12">
        <v>3.5243000000000002</v>
      </c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>
        <v>3.9108999999999998</v>
      </c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</row>
    <row r="13" spans="1:271" ht="15" x14ac:dyDescent="0.25">
      <c r="A13" s="1">
        <v>32360</v>
      </c>
      <c r="B13" s="1" t="str">
        <v>2019-12-02</v>
      </c>
      <c r="C13" s="1">
        <v>3.5977999999999999</v>
      </c>
      <c r="F13" s="8">
        <f t="shared" si="0"/>
        <v>32360</v>
      </c>
      <c r="G13" s="9">
        <f t="shared" si="1"/>
        <v>43801</v>
      </c>
      <c r="H13" s="10">
        <f t="shared" si="2"/>
        <v>3.5977999999999999</v>
      </c>
      <c r="U13" s="11">
        <v>43805</v>
      </c>
      <c r="V13">
        <v>3.7008999999999999</v>
      </c>
      <c r="W13"/>
      <c r="X13">
        <v>3.5045000000000002</v>
      </c>
      <c r="Y13"/>
      <c r="Z13">
        <v>4.032</v>
      </c>
      <c r="AA13">
        <v>3.7627000000000002</v>
      </c>
      <c r="AB13">
        <v>3.5042</v>
      </c>
      <c r="AC13">
        <v>3.6</v>
      </c>
      <c r="AD13">
        <v>3.6596000000000002</v>
      </c>
      <c r="AE13"/>
      <c r="AF13">
        <v>3.7734999999999999</v>
      </c>
      <c r="AG13">
        <v>3.5962000000000001</v>
      </c>
      <c r="AH13">
        <v>3.3700999999999999</v>
      </c>
      <c r="AI13">
        <v>3.55</v>
      </c>
      <c r="AJ13">
        <v>3.6073</v>
      </c>
      <c r="AK13">
        <v>3.4630000000000001</v>
      </c>
      <c r="AL13"/>
      <c r="AM13">
        <v>3.6076000000000001</v>
      </c>
      <c r="AN13"/>
      <c r="AO13">
        <v>3.5253999999999999</v>
      </c>
      <c r="AP13">
        <v>3.5562999999999998</v>
      </c>
      <c r="AQ13">
        <v>4</v>
      </c>
      <c r="AR13"/>
      <c r="AS13">
        <v>3.3807</v>
      </c>
      <c r="AT13">
        <v>3.8</v>
      </c>
      <c r="AU13">
        <v>3.5345</v>
      </c>
      <c r="AV13">
        <v>3.9802</v>
      </c>
      <c r="AW13">
        <v>3.6613000000000002</v>
      </c>
      <c r="AX13">
        <v>3.3393000000000002</v>
      </c>
      <c r="AY13">
        <v>3.8041999999999998</v>
      </c>
      <c r="AZ13">
        <v>3.6</v>
      </c>
      <c r="BA13">
        <v>3.6177999999999999</v>
      </c>
      <c r="BB13">
        <v>3.6594000000000002</v>
      </c>
      <c r="BC13"/>
      <c r="BD13"/>
      <c r="BE13"/>
      <c r="BF13"/>
      <c r="BG13">
        <v>3.8041999999999998</v>
      </c>
      <c r="BH13">
        <v>3.5</v>
      </c>
      <c r="BI13">
        <v>3.7006999999999999</v>
      </c>
      <c r="BJ13">
        <v>3.6585999999999999</v>
      </c>
      <c r="BK13">
        <v>3.8315000000000001</v>
      </c>
      <c r="BL13"/>
      <c r="BM13">
        <v>3.4529000000000001</v>
      </c>
      <c r="BN13"/>
      <c r="BO13"/>
      <c r="BP13">
        <v>3.6903000000000001</v>
      </c>
      <c r="BQ13">
        <v>3.5144000000000002</v>
      </c>
      <c r="BR13"/>
      <c r="BS13"/>
      <c r="BT13"/>
      <c r="BU13"/>
      <c r="BV13">
        <v>3.6276000000000002</v>
      </c>
      <c r="BW13"/>
      <c r="BX13"/>
      <c r="BY13">
        <v>3.8866000000000001</v>
      </c>
      <c r="BZ13">
        <v>3.7418</v>
      </c>
      <c r="CA13">
        <v>3.5047000000000001</v>
      </c>
      <c r="CB13">
        <v>3.5457999999999998</v>
      </c>
      <c r="CC13">
        <v>3.2361</v>
      </c>
      <c r="CD13">
        <v>3.8</v>
      </c>
      <c r="CE13"/>
      <c r="CF13">
        <v>3.319</v>
      </c>
      <c r="CG13">
        <v>3.7932000000000001</v>
      </c>
      <c r="CH13">
        <v>3.5249000000000001</v>
      </c>
      <c r="CI13">
        <v>3.5045999999999999</v>
      </c>
      <c r="CJ13">
        <v>3.5459999999999998</v>
      </c>
      <c r="CK13"/>
      <c r="CL13"/>
      <c r="CM13"/>
      <c r="CN13">
        <v>3.4527999999999999</v>
      </c>
      <c r="CO13"/>
      <c r="CP13"/>
      <c r="CQ13">
        <v>3.6977000000000002</v>
      </c>
      <c r="CR13"/>
      <c r="CS13"/>
      <c r="CT13">
        <v>3.5964</v>
      </c>
      <c r="CU13"/>
      <c r="CV13">
        <v>3.4940000000000002</v>
      </c>
      <c r="CW13">
        <v>3.5251999999999999</v>
      </c>
      <c r="CX13">
        <v>3.5977999999999999</v>
      </c>
      <c r="CY13"/>
      <c r="CZ13"/>
      <c r="DA13"/>
      <c r="DB13"/>
      <c r="DC13"/>
      <c r="DD13"/>
      <c r="DE13"/>
      <c r="DF13"/>
      <c r="DG13"/>
      <c r="DH13">
        <v>3.2984</v>
      </c>
      <c r="DI13"/>
      <c r="DJ13">
        <v>3.5975000000000001</v>
      </c>
      <c r="DK13"/>
      <c r="DL13"/>
      <c r="DM13">
        <v>3.5243000000000002</v>
      </c>
      <c r="DN13"/>
      <c r="DO13"/>
      <c r="DP13"/>
      <c r="DQ13"/>
      <c r="DR13"/>
      <c r="DS13">
        <v>3.7111000000000001</v>
      </c>
      <c r="DT13">
        <v>3.4628000000000001</v>
      </c>
      <c r="DU13"/>
      <c r="DV13"/>
      <c r="DW13"/>
      <c r="DX13">
        <v>3.2658</v>
      </c>
      <c r="DY13"/>
      <c r="DZ13">
        <v>4.0633999999999997</v>
      </c>
      <c r="EA13"/>
      <c r="EB13"/>
      <c r="EC13"/>
      <c r="ED13"/>
      <c r="EE13">
        <v>4</v>
      </c>
      <c r="EF13">
        <v>3.3184999999999998</v>
      </c>
      <c r="EG13"/>
      <c r="EH13"/>
      <c r="EI13">
        <v>4.0210999999999997</v>
      </c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</row>
    <row r="14" spans="1:271" ht="15" x14ac:dyDescent="0.25">
      <c r="A14" s="1">
        <v>147</v>
      </c>
      <c r="B14" s="1" t="str">
        <v>2019-12-02</v>
      </c>
      <c r="C14" s="1">
        <v>3.6585999999999999</v>
      </c>
      <c r="F14" s="8">
        <f t="shared" si="0"/>
        <v>147</v>
      </c>
      <c r="G14" s="9">
        <f t="shared" si="1"/>
        <v>43801</v>
      </c>
      <c r="H14" s="10">
        <f t="shared" si="2"/>
        <v>3.6585999999999999</v>
      </c>
      <c r="U14" s="11">
        <v>43808</v>
      </c>
      <c r="V14">
        <v>3.7008999999999999</v>
      </c>
      <c r="W14"/>
      <c r="X14"/>
      <c r="Y14"/>
      <c r="Z14"/>
      <c r="AA14"/>
      <c r="AB14"/>
      <c r="AC14"/>
      <c r="AD14">
        <v>3.7008999999999999</v>
      </c>
      <c r="AE14"/>
      <c r="AF14"/>
      <c r="AG14"/>
      <c r="AH14"/>
      <c r="AI14">
        <v>3.55</v>
      </c>
      <c r="AJ14"/>
      <c r="AK14"/>
      <c r="AL14"/>
      <c r="AM14"/>
      <c r="AN14">
        <v>3.7101999999999999</v>
      </c>
      <c r="AO14">
        <v>3.5668000000000002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>
        <v>3.5973000000000002</v>
      </c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>
        <v>3.7107999999999999</v>
      </c>
      <c r="CQ14"/>
      <c r="CR14"/>
      <c r="CS14"/>
      <c r="CT14"/>
      <c r="CU14"/>
      <c r="CV14"/>
      <c r="CW14">
        <v>3.5251999999999999</v>
      </c>
      <c r="CX14">
        <v>3.5977999999999999</v>
      </c>
      <c r="CY14"/>
      <c r="CZ14"/>
      <c r="DA14"/>
      <c r="DB14"/>
      <c r="DC14"/>
      <c r="DD14"/>
      <c r="DE14">
        <v>3.2469000000000001</v>
      </c>
      <c r="DF14"/>
      <c r="DG14"/>
      <c r="DH14"/>
      <c r="DI14"/>
      <c r="DJ14"/>
      <c r="DK14">
        <v>3.6597</v>
      </c>
      <c r="DL14"/>
      <c r="DM14">
        <v>3.5243000000000002</v>
      </c>
      <c r="DN14"/>
      <c r="DO14"/>
      <c r="DP14"/>
      <c r="DQ14"/>
      <c r="DR14"/>
      <c r="DS14">
        <v>3.7111000000000001</v>
      </c>
      <c r="DT14"/>
      <c r="DU14"/>
      <c r="DV14"/>
      <c r="DW14"/>
      <c r="DX14"/>
      <c r="DY14"/>
      <c r="DZ14"/>
      <c r="EA14"/>
      <c r="EB14"/>
      <c r="EC14"/>
      <c r="ED14"/>
      <c r="EE14">
        <v>4</v>
      </c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</row>
    <row r="15" spans="1:271" ht="15" x14ac:dyDescent="0.25">
      <c r="A15" s="1">
        <v>33023</v>
      </c>
      <c r="B15" s="1" t="str">
        <v>2019-12-02</v>
      </c>
      <c r="C15" s="1">
        <v>4</v>
      </c>
      <c r="F15" s="8">
        <f t="shared" si="0"/>
        <v>33023</v>
      </c>
      <c r="G15" s="9">
        <f t="shared" si="1"/>
        <v>43801</v>
      </c>
      <c r="H15" s="10">
        <f t="shared" si="2"/>
        <v>4</v>
      </c>
      <c r="U15" s="11">
        <v>43809</v>
      </c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>
        <v>3.5564</v>
      </c>
      <c r="BT15"/>
      <c r="BU15"/>
      <c r="BV15"/>
      <c r="BW15"/>
      <c r="BX15"/>
      <c r="BY15">
        <v>3.8866000000000001</v>
      </c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>
        <v>3.7</v>
      </c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</row>
    <row r="16" spans="1:271" ht="15" x14ac:dyDescent="0.25">
      <c r="A16" s="1">
        <v>176</v>
      </c>
      <c r="B16" s="1" t="str">
        <v>2019-12-02</v>
      </c>
      <c r="C16" s="1">
        <v>3.5564</v>
      </c>
      <c r="F16" s="8">
        <f t="shared" si="0"/>
        <v>176</v>
      </c>
      <c r="G16" s="9">
        <f t="shared" si="1"/>
        <v>43801</v>
      </c>
      <c r="H16" s="10">
        <f t="shared" si="2"/>
        <v>3.5564</v>
      </c>
      <c r="U16" s="11">
        <v>43810</v>
      </c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>
        <v>3.3393000000000002</v>
      </c>
      <c r="AY16"/>
      <c r="AZ16"/>
      <c r="BA16"/>
      <c r="BB16"/>
      <c r="BC16"/>
      <c r="BD16"/>
      <c r="BE16"/>
      <c r="BF16"/>
      <c r="BG16"/>
      <c r="BH16">
        <v>3.5</v>
      </c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>
        <v>3.8041999999999998</v>
      </c>
      <c r="CL16"/>
      <c r="CM16"/>
      <c r="CN16"/>
      <c r="CO16"/>
      <c r="CP16"/>
      <c r="CQ16"/>
      <c r="CR16"/>
      <c r="CS16"/>
      <c r="CT16"/>
      <c r="CU16"/>
      <c r="CV16"/>
      <c r="CW16"/>
      <c r="CX16">
        <v>3.5977999999999999</v>
      </c>
      <c r="CY16"/>
      <c r="CZ16"/>
      <c r="DA16"/>
      <c r="DB16"/>
      <c r="DC16">
        <v>3.6360000000000001</v>
      </c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</row>
    <row r="17" spans="1:271" ht="15" x14ac:dyDescent="0.25">
      <c r="A17" s="1">
        <v>32</v>
      </c>
      <c r="B17" s="1" t="str">
        <v>2019-12-02</v>
      </c>
      <c r="C17" s="1">
        <v>3.5562999999999998</v>
      </c>
      <c r="F17" s="8">
        <f t="shared" si="0"/>
        <v>32</v>
      </c>
      <c r="G17" s="9">
        <f t="shared" si="1"/>
        <v>43801</v>
      </c>
      <c r="H17" s="10">
        <f t="shared" si="2"/>
        <v>3.5562999999999998</v>
      </c>
      <c r="U17" s="11">
        <v>43811</v>
      </c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>
        <v>3.2363</v>
      </c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>
        <v>3.4842</v>
      </c>
      <c r="DS17"/>
      <c r="DT17"/>
      <c r="DU17"/>
      <c r="DV17"/>
      <c r="DW17"/>
      <c r="DX17"/>
      <c r="DY17"/>
      <c r="DZ17"/>
      <c r="EA17"/>
      <c r="EB17"/>
      <c r="EC17"/>
      <c r="ED17"/>
      <c r="EE17">
        <v>4</v>
      </c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</row>
    <row r="18" spans="1:271" ht="15" x14ac:dyDescent="0.25">
      <c r="A18" s="1">
        <v>178</v>
      </c>
      <c r="B18" s="1" t="str">
        <v>2019-12-02</v>
      </c>
      <c r="C18" s="1">
        <v>3.6078000000000001</v>
      </c>
      <c r="F18" s="8">
        <f t="shared" si="0"/>
        <v>178</v>
      </c>
      <c r="G18" s="9">
        <f t="shared" si="1"/>
        <v>43801</v>
      </c>
      <c r="H18" s="10">
        <f t="shared" si="2"/>
        <v>3.6078000000000001</v>
      </c>
      <c r="U18" s="11">
        <v>43812</v>
      </c>
      <c r="V18">
        <v>3.7008999999999999</v>
      </c>
      <c r="W18"/>
      <c r="X18"/>
      <c r="Y18">
        <v>3.39</v>
      </c>
      <c r="Z18"/>
      <c r="AA18"/>
      <c r="AB18"/>
      <c r="AC18"/>
      <c r="AD18"/>
      <c r="AE18"/>
      <c r="AF18"/>
      <c r="AG18"/>
      <c r="AH18">
        <v>3.3908999999999998</v>
      </c>
      <c r="AI18"/>
      <c r="AJ18"/>
      <c r="AK18">
        <v>3.4628999999999999</v>
      </c>
      <c r="AL18"/>
      <c r="AM18"/>
      <c r="AN18"/>
      <c r="AO18"/>
      <c r="AP18">
        <v>3.5562999999999998</v>
      </c>
      <c r="AQ18"/>
      <c r="AR18"/>
      <c r="AS18"/>
      <c r="AT18"/>
      <c r="AU18"/>
      <c r="AV18">
        <v>3.8561000000000001</v>
      </c>
      <c r="AW18"/>
      <c r="AX18"/>
      <c r="AY18"/>
      <c r="AZ18"/>
      <c r="BA18"/>
      <c r="BB18"/>
      <c r="BC18"/>
      <c r="BD18">
        <v>3.7</v>
      </c>
      <c r="BE18"/>
      <c r="BF18"/>
      <c r="BG18"/>
      <c r="BH18"/>
      <c r="BI18"/>
      <c r="BJ18"/>
      <c r="BK18">
        <v>3.8315000000000001</v>
      </c>
      <c r="BL18"/>
      <c r="BM18"/>
      <c r="BN18"/>
      <c r="BO18"/>
      <c r="BP18"/>
      <c r="BQ18"/>
      <c r="BR18"/>
      <c r="BS18"/>
      <c r="BT18"/>
      <c r="BU18"/>
      <c r="BV18"/>
      <c r="BW18"/>
      <c r="BX18"/>
      <c r="BY18">
        <v>3.8866000000000001</v>
      </c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>
        <v>3.6032999999999999</v>
      </c>
      <c r="CR18"/>
      <c r="CS18"/>
      <c r="CT18"/>
      <c r="CU18"/>
      <c r="CV18"/>
      <c r="CW18">
        <v>3.5148999999999999</v>
      </c>
      <c r="CX18"/>
      <c r="CY18"/>
      <c r="CZ18"/>
      <c r="DA18"/>
      <c r="DB18"/>
      <c r="DC18"/>
      <c r="DD18">
        <v>4.2294999999999998</v>
      </c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>
        <v>4.0210999999999997</v>
      </c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</row>
    <row r="19" spans="1:271" ht="15" x14ac:dyDescent="0.25">
      <c r="A19" s="1">
        <v>32421</v>
      </c>
      <c r="B19" s="1" t="str">
        <v>2019-12-02</v>
      </c>
      <c r="C19" s="1">
        <v>3.6661000000000001</v>
      </c>
      <c r="F19" s="8">
        <f t="shared" si="0"/>
        <v>32421</v>
      </c>
      <c r="G19" s="9">
        <f t="shared" si="1"/>
        <v>43801</v>
      </c>
      <c r="H19" s="10">
        <f t="shared" si="2"/>
        <v>3.6661000000000001</v>
      </c>
      <c r="U19" s="11">
        <v>43815</v>
      </c>
      <c r="V19">
        <v>3.7008999999999999</v>
      </c>
      <c r="W19"/>
      <c r="X19">
        <v>3.4630000000000001</v>
      </c>
      <c r="Y19"/>
      <c r="Z19"/>
      <c r="AA19"/>
      <c r="AB19"/>
      <c r="AC19"/>
      <c r="AD19"/>
      <c r="AE19"/>
      <c r="AF19">
        <v>3.7839</v>
      </c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>
        <v>3.5</v>
      </c>
      <c r="BI19"/>
      <c r="BJ19"/>
      <c r="BK19"/>
      <c r="BL19"/>
      <c r="BM19"/>
      <c r="BN19"/>
      <c r="BO19"/>
      <c r="BP19"/>
      <c r="BQ19">
        <v>3.4628000000000001</v>
      </c>
      <c r="BR19"/>
      <c r="BS19"/>
      <c r="BT19"/>
      <c r="BU19">
        <v>3.5663999999999998</v>
      </c>
      <c r="BV19"/>
      <c r="BW19"/>
      <c r="BX19"/>
      <c r="BY19"/>
      <c r="BZ19"/>
      <c r="CA19"/>
      <c r="CB19"/>
      <c r="CC19"/>
      <c r="CD19"/>
      <c r="CE19"/>
      <c r="CF19">
        <v>2.8151999999999999</v>
      </c>
      <c r="CG19"/>
      <c r="CH19"/>
      <c r="CI19"/>
      <c r="CJ19"/>
      <c r="CK19"/>
      <c r="CL19"/>
      <c r="CM19"/>
      <c r="CN19"/>
      <c r="CO19">
        <v>3.4405000000000001</v>
      </c>
      <c r="CP19"/>
      <c r="CQ19"/>
      <c r="CR19"/>
      <c r="CS19"/>
      <c r="CT19">
        <v>3.5552000000000001</v>
      </c>
      <c r="CU19">
        <v>3.7</v>
      </c>
      <c r="CV19"/>
      <c r="CW19"/>
      <c r="CX19"/>
      <c r="CY19">
        <v>3.5912999999999999</v>
      </c>
      <c r="CZ19"/>
      <c r="DA19">
        <v>4.2286999999999999</v>
      </c>
      <c r="DB19"/>
      <c r="DC19">
        <v>3.6878000000000002</v>
      </c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>
        <v>3.3184999999999998</v>
      </c>
      <c r="EG19"/>
      <c r="EH19"/>
      <c r="EI19">
        <v>4.0210999999999997</v>
      </c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</row>
    <row r="20" spans="1:271" ht="15" x14ac:dyDescent="0.25">
      <c r="A20" s="1">
        <v>32963</v>
      </c>
      <c r="B20" s="1" t="str">
        <v>2019-12-02</v>
      </c>
      <c r="C20" s="1">
        <v>3.8146</v>
      </c>
      <c r="F20" s="8">
        <f t="shared" si="0"/>
        <v>32963</v>
      </c>
      <c r="G20" s="9">
        <f t="shared" si="1"/>
        <v>43801</v>
      </c>
      <c r="H20" s="10">
        <f t="shared" si="2"/>
        <v>3.8146</v>
      </c>
      <c r="U20" s="11">
        <v>43816</v>
      </c>
      <c r="V20">
        <v>3.7008999999999999</v>
      </c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>
        <v>3.4009999999999998</v>
      </c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>
        <v>4</v>
      </c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</row>
    <row r="21" spans="1:271" ht="15" x14ac:dyDescent="0.25">
      <c r="A21" s="1">
        <v>32560</v>
      </c>
      <c r="B21" s="1" t="str">
        <v>2019-12-02</v>
      </c>
      <c r="C21" s="1">
        <v>3.5975000000000001</v>
      </c>
      <c r="F21" s="8">
        <f t="shared" si="0"/>
        <v>32560</v>
      </c>
      <c r="G21" s="9">
        <f t="shared" si="1"/>
        <v>43801</v>
      </c>
      <c r="H21" s="10">
        <f t="shared" si="2"/>
        <v>3.5975000000000001</v>
      </c>
      <c r="U21" s="11">
        <v>43817</v>
      </c>
      <c r="V21"/>
      <c r="W21"/>
      <c r="X21"/>
      <c r="Y21"/>
      <c r="Z21"/>
      <c r="AA21"/>
      <c r="AB21"/>
      <c r="AC21"/>
      <c r="AD21">
        <v>3.7008999999999999</v>
      </c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>
        <v>3.4428000000000001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>
        <v>3.85</v>
      </c>
      <c r="BO21"/>
      <c r="BP21"/>
      <c r="BQ21">
        <v>3.4628000000000001</v>
      </c>
      <c r="BR21"/>
      <c r="BS21"/>
      <c r="BT21">
        <v>3.6798000000000002</v>
      </c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>
        <v>3.1536</v>
      </c>
      <c r="CS21"/>
      <c r="CT21"/>
      <c r="CU21">
        <v>3.7</v>
      </c>
      <c r="CV21"/>
      <c r="CW21"/>
      <c r="CX21"/>
      <c r="CY21"/>
      <c r="CZ21"/>
      <c r="DA21"/>
      <c r="DB21">
        <v>3.7574999999999998</v>
      </c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>
        <v>3.5562999999999998</v>
      </c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</row>
    <row r="22" spans="1:271" ht="15" x14ac:dyDescent="0.25">
      <c r="A22" s="1">
        <v>23250</v>
      </c>
      <c r="B22" s="1" t="str">
        <v>2019-12-02</v>
      </c>
      <c r="C22" s="1">
        <v>3.7932000000000001</v>
      </c>
      <c r="F22" s="8">
        <f t="shared" si="0"/>
        <v>23250</v>
      </c>
      <c r="G22" s="9">
        <f t="shared" si="1"/>
        <v>43801</v>
      </c>
      <c r="H22" s="10">
        <f t="shared" si="2"/>
        <v>3.7932000000000001</v>
      </c>
      <c r="U22" s="11">
        <v>43818</v>
      </c>
      <c r="V22"/>
      <c r="W22"/>
      <c r="X22"/>
      <c r="Y22"/>
      <c r="Z22"/>
      <c r="AA22"/>
      <c r="AB22"/>
      <c r="AC22"/>
      <c r="AD22"/>
      <c r="AE22"/>
      <c r="AF22"/>
      <c r="AG22"/>
      <c r="AH22"/>
      <c r="AI22">
        <v>3.55</v>
      </c>
      <c r="AJ22"/>
      <c r="AK22"/>
      <c r="AL22"/>
      <c r="AM22"/>
      <c r="AN22"/>
      <c r="AO22"/>
      <c r="AP22"/>
      <c r="AQ22">
        <v>4</v>
      </c>
      <c r="AR22">
        <v>3.3605</v>
      </c>
      <c r="AS22"/>
      <c r="AT22"/>
      <c r="AU22"/>
      <c r="AV22"/>
      <c r="AW22"/>
      <c r="AX22"/>
      <c r="AY22"/>
      <c r="AZ22"/>
      <c r="BA22"/>
      <c r="BB22"/>
      <c r="BC22"/>
      <c r="BD22">
        <v>3.7</v>
      </c>
      <c r="BE22"/>
      <c r="BF22"/>
      <c r="BG22">
        <v>3.8041999999999998</v>
      </c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>
        <v>3.6597</v>
      </c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>
        <v>4.0252999999999997</v>
      </c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</row>
    <row r="23" spans="1:271" ht="15" x14ac:dyDescent="0.25">
      <c r="A23" s="1">
        <v>99</v>
      </c>
      <c r="B23" s="1" t="str">
        <v>2019-12-03</v>
      </c>
      <c r="C23" s="1">
        <v>3.9802</v>
      </c>
      <c r="F23" s="8">
        <f t="shared" si="0"/>
        <v>99</v>
      </c>
      <c r="G23" s="9">
        <f t="shared" si="1"/>
        <v>43802</v>
      </c>
      <c r="H23" s="10">
        <f t="shared" si="2"/>
        <v>3.9802</v>
      </c>
      <c r="U23" s="11">
        <v>43819</v>
      </c>
      <c r="V23">
        <v>3.7008999999999999</v>
      </c>
      <c r="W23"/>
      <c r="X23">
        <v>3.4426000000000001</v>
      </c>
      <c r="Y23">
        <v>3.39</v>
      </c>
      <c r="Z23"/>
      <c r="AA23"/>
      <c r="AB23"/>
      <c r="AC23">
        <v>3.6</v>
      </c>
      <c r="AD23">
        <v>3.6181999999999999</v>
      </c>
      <c r="AE23"/>
      <c r="AF23"/>
      <c r="AG23"/>
      <c r="AH23"/>
      <c r="AI23"/>
      <c r="AJ23"/>
      <c r="AK23"/>
      <c r="AL23"/>
      <c r="AM23"/>
      <c r="AN23"/>
      <c r="AO23"/>
      <c r="AP23">
        <v>3.5562999999999998</v>
      </c>
      <c r="AQ23"/>
      <c r="AR23"/>
      <c r="AS23">
        <v>3.4944000000000002</v>
      </c>
      <c r="AT23"/>
      <c r="AU23"/>
      <c r="AV23">
        <v>3.7526999999999999</v>
      </c>
      <c r="AW23"/>
      <c r="AX23"/>
      <c r="AY23">
        <v>3.8351999999999999</v>
      </c>
      <c r="AZ23">
        <v>3.6</v>
      </c>
      <c r="BA23">
        <v>3.6177999999999999</v>
      </c>
      <c r="BB23"/>
      <c r="BC23"/>
      <c r="BD23"/>
      <c r="BE23"/>
      <c r="BF23"/>
      <c r="BG23">
        <v>3.8147000000000002</v>
      </c>
      <c r="BH23"/>
      <c r="BI23"/>
      <c r="BJ23"/>
      <c r="BK23"/>
      <c r="BL23"/>
      <c r="BM23"/>
      <c r="BN23"/>
      <c r="BO23"/>
      <c r="BP23"/>
      <c r="BQ23">
        <v>3.6071</v>
      </c>
      <c r="BR23"/>
      <c r="BS23"/>
      <c r="BT23">
        <v>3.6798000000000002</v>
      </c>
      <c r="BU23"/>
      <c r="BV23"/>
      <c r="BW23"/>
      <c r="BX23"/>
      <c r="BY23"/>
      <c r="BZ23"/>
      <c r="CA23"/>
      <c r="CB23">
        <v>3.5354000000000001</v>
      </c>
      <c r="CC23">
        <v>3.2669000000000001</v>
      </c>
      <c r="CD23"/>
      <c r="CE23"/>
      <c r="CF23">
        <v>2.8765999999999998</v>
      </c>
      <c r="CG23"/>
      <c r="CH23"/>
      <c r="CI23">
        <v>3.6594000000000002</v>
      </c>
      <c r="CJ23"/>
      <c r="CK23"/>
      <c r="CL23"/>
      <c r="CM23"/>
      <c r="CN23"/>
      <c r="CO23"/>
      <c r="CP23"/>
      <c r="CQ23">
        <v>3.6991999999999998</v>
      </c>
      <c r="CR23"/>
      <c r="CS23"/>
      <c r="CT23">
        <v>3.5552000000000001</v>
      </c>
      <c r="CU23"/>
      <c r="CV23"/>
      <c r="CW23"/>
      <c r="CX23">
        <v>3.3086000000000002</v>
      </c>
      <c r="CY23"/>
      <c r="CZ23"/>
      <c r="DA23"/>
      <c r="DB23"/>
      <c r="DC23"/>
      <c r="DD23"/>
      <c r="DE23"/>
      <c r="DF23"/>
      <c r="DG23"/>
      <c r="DH23">
        <v>3.4529999999999998</v>
      </c>
      <c r="DI23"/>
      <c r="DJ23"/>
      <c r="DK23"/>
      <c r="DL23">
        <v>3.5</v>
      </c>
      <c r="DM23"/>
      <c r="DN23"/>
      <c r="DO23"/>
      <c r="DP23"/>
      <c r="DQ23"/>
      <c r="DR23"/>
      <c r="DS23">
        <v>3.7111000000000001</v>
      </c>
      <c r="DT23"/>
      <c r="DU23"/>
      <c r="DV23"/>
      <c r="DW23"/>
      <c r="DX23"/>
      <c r="DY23">
        <v>3.6583999999999999</v>
      </c>
      <c r="DZ23"/>
      <c r="EA23"/>
      <c r="EB23"/>
      <c r="EC23"/>
      <c r="ED23"/>
      <c r="EE23"/>
      <c r="EF23"/>
      <c r="EG23"/>
      <c r="EH23"/>
      <c r="EI23">
        <v>4.0252999999999997</v>
      </c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</row>
    <row r="24" spans="1:271" ht="15" x14ac:dyDescent="0.25">
      <c r="A24" s="1">
        <v>98</v>
      </c>
      <c r="B24" s="1" t="str">
        <v>2019-12-03</v>
      </c>
      <c r="C24" s="1">
        <v>3.4841000000000002</v>
      </c>
      <c r="F24" s="8">
        <f t="shared" si="0"/>
        <v>98</v>
      </c>
      <c r="G24" s="9">
        <f t="shared" si="1"/>
        <v>43802</v>
      </c>
      <c r="H24" s="10">
        <f t="shared" si="2"/>
        <v>3.4841000000000002</v>
      </c>
      <c r="U24" s="11">
        <v>43822</v>
      </c>
      <c r="V24"/>
      <c r="W24"/>
      <c r="X24"/>
      <c r="Y24"/>
      <c r="Z24"/>
      <c r="AA24"/>
      <c r="AB24"/>
      <c r="AC24"/>
      <c r="AD24"/>
      <c r="AE24"/>
      <c r="AF24"/>
      <c r="AG24"/>
      <c r="AH24">
        <v>3.3805000000000001</v>
      </c>
      <c r="AI24"/>
      <c r="AJ24">
        <v>3.6073</v>
      </c>
      <c r="AK24"/>
      <c r="AL24"/>
      <c r="AM24"/>
      <c r="AN24"/>
      <c r="AO24"/>
      <c r="AP24"/>
      <c r="AQ24"/>
      <c r="AR24"/>
      <c r="AS24"/>
      <c r="AT24"/>
      <c r="AU24"/>
      <c r="AV24"/>
      <c r="AW24"/>
      <c r="AX24">
        <v>3.3393000000000002</v>
      </c>
      <c r="AY24"/>
      <c r="AZ24"/>
      <c r="BA24"/>
      <c r="BB24"/>
      <c r="BC24"/>
      <c r="BD24"/>
      <c r="BE24"/>
      <c r="BF24">
        <v>3.3088000000000002</v>
      </c>
      <c r="BG24"/>
      <c r="BH24"/>
      <c r="BI24">
        <v>3.7006999999999999</v>
      </c>
      <c r="BJ24"/>
      <c r="BK24"/>
      <c r="BL24"/>
      <c r="BM24"/>
      <c r="BN24"/>
      <c r="BO24"/>
      <c r="BP24"/>
      <c r="BQ24"/>
      <c r="BR24"/>
      <c r="BS24"/>
      <c r="BT24"/>
      <c r="BU24">
        <v>3.5663999999999998</v>
      </c>
      <c r="BV24"/>
      <c r="BW24"/>
      <c r="BX24">
        <v>3.3184999999999998</v>
      </c>
      <c r="BY24"/>
      <c r="BZ24"/>
      <c r="CA24"/>
      <c r="CB24"/>
      <c r="CC24"/>
      <c r="CD24"/>
      <c r="CE24"/>
      <c r="CF24"/>
      <c r="CG24"/>
      <c r="CH24">
        <v>3.4836</v>
      </c>
      <c r="CI24"/>
      <c r="CJ24"/>
      <c r="CK24"/>
      <c r="CL24">
        <v>3.0310000000000001</v>
      </c>
      <c r="CM24">
        <v>3.5964999999999998</v>
      </c>
      <c r="CN24"/>
      <c r="CO24"/>
      <c r="CP24"/>
      <c r="CQ24"/>
      <c r="CR24"/>
      <c r="CS24">
        <v>3.3186</v>
      </c>
      <c r="CT24"/>
      <c r="CU24"/>
      <c r="CV24"/>
      <c r="CW24"/>
      <c r="CX24"/>
      <c r="CY24"/>
      <c r="CZ24"/>
      <c r="DA24">
        <v>4.2286999999999999</v>
      </c>
      <c r="DB24"/>
      <c r="DC24"/>
      <c r="DD24"/>
      <c r="DE24"/>
      <c r="DF24"/>
      <c r="DG24"/>
      <c r="DH24"/>
      <c r="DI24"/>
      <c r="DJ24"/>
      <c r="DK24">
        <v>3.6597</v>
      </c>
      <c r="DL24"/>
      <c r="DM24"/>
      <c r="DN24"/>
      <c r="DO24">
        <v>3.7012</v>
      </c>
      <c r="DP24">
        <v>3.5554999999999999</v>
      </c>
      <c r="DQ24"/>
      <c r="DR24">
        <v>3.4842</v>
      </c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>
        <v>3.7719</v>
      </c>
      <c r="EI24"/>
      <c r="EJ24">
        <v>3.6179999999999999</v>
      </c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</row>
    <row r="25" spans="1:271" ht="15" x14ac:dyDescent="0.25">
      <c r="A25" s="1">
        <v>90</v>
      </c>
      <c r="B25" s="1" t="str">
        <v>2019-12-03</v>
      </c>
      <c r="C25" s="1">
        <v>3.5870000000000002</v>
      </c>
      <c r="F25" s="8">
        <f t="shared" si="0"/>
        <v>90</v>
      </c>
      <c r="G25" s="9">
        <f t="shared" si="1"/>
        <v>43802</v>
      </c>
      <c r="H25" s="10">
        <f t="shared" si="2"/>
        <v>3.5870000000000002</v>
      </c>
      <c r="U25" s="11">
        <v>43823</v>
      </c>
      <c r="V25">
        <v>3.7010000000000001</v>
      </c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>
        <v>3.6</v>
      </c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</row>
    <row r="26" spans="1:271" ht="15" x14ac:dyDescent="0.25">
      <c r="A26" s="1">
        <v>132</v>
      </c>
      <c r="B26" s="1" t="str">
        <v>2019-12-03</v>
      </c>
      <c r="C26" s="1">
        <v>3.8</v>
      </c>
      <c r="F26" s="8">
        <f t="shared" si="0"/>
        <v>132</v>
      </c>
      <c r="G26" s="9">
        <f t="shared" si="1"/>
        <v>43802</v>
      </c>
      <c r="H26" s="10">
        <f t="shared" si="2"/>
        <v>3.8</v>
      </c>
      <c r="U26" s="11">
        <v>43825</v>
      </c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>
        <v>3.4636</v>
      </c>
      <c r="DS26"/>
      <c r="DT26"/>
      <c r="DU26"/>
      <c r="DV26"/>
      <c r="DW26"/>
      <c r="DX26"/>
      <c r="DY26"/>
      <c r="DZ26"/>
      <c r="EA26"/>
      <c r="EB26">
        <v>3.5272999999999999</v>
      </c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</row>
    <row r="27" spans="1:271" ht="15" x14ac:dyDescent="0.25">
      <c r="A27" s="1">
        <v>59</v>
      </c>
      <c r="B27" s="1" t="str">
        <v>2019-12-03</v>
      </c>
      <c r="C27" s="1">
        <v>3.6072000000000002</v>
      </c>
      <c r="F27" s="8">
        <f t="shared" si="0"/>
        <v>59</v>
      </c>
      <c r="G27" s="9">
        <f t="shared" si="1"/>
        <v>43802</v>
      </c>
      <c r="H27" s="10">
        <f t="shared" si="2"/>
        <v>3.6072000000000002</v>
      </c>
      <c r="U27" s="11">
        <v>43826</v>
      </c>
      <c r="V27">
        <v>3.6080000000000001</v>
      </c>
      <c r="W27"/>
      <c r="X27">
        <v>3.4013</v>
      </c>
      <c r="Y27">
        <v>3.39</v>
      </c>
      <c r="Z27"/>
      <c r="AA27"/>
      <c r="AB27"/>
      <c r="AC27"/>
      <c r="AD27"/>
      <c r="AE27"/>
      <c r="AF27"/>
      <c r="AG27"/>
      <c r="AH27"/>
      <c r="AI27"/>
      <c r="AJ27"/>
      <c r="AK27"/>
      <c r="AL27">
        <v>3.5041000000000002</v>
      </c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>
        <v>3.7</v>
      </c>
      <c r="BE27"/>
      <c r="BF27"/>
      <c r="BG27"/>
      <c r="BH27"/>
      <c r="BI27"/>
      <c r="BJ27"/>
      <c r="BK27">
        <v>3.8315000000000001</v>
      </c>
      <c r="BL27"/>
      <c r="BM27">
        <v>3.7315</v>
      </c>
      <c r="BN27"/>
      <c r="BO27"/>
      <c r="BP27"/>
      <c r="BQ27">
        <v>3.5661</v>
      </c>
      <c r="BR27"/>
      <c r="BS27"/>
      <c r="BT27"/>
      <c r="BU27"/>
      <c r="BV27"/>
      <c r="BW27"/>
      <c r="BX27"/>
      <c r="BY27">
        <v>3.8866000000000001</v>
      </c>
      <c r="BZ27"/>
      <c r="CA27"/>
      <c r="CB27"/>
      <c r="CC27"/>
      <c r="CD27"/>
      <c r="CE27"/>
      <c r="CF27">
        <v>2.7945000000000002</v>
      </c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>
        <v>4.2286999999999999</v>
      </c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>
        <v>3.4842</v>
      </c>
      <c r="DS27"/>
      <c r="DT27"/>
      <c r="DU27"/>
      <c r="DV27"/>
      <c r="DW27"/>
      <c r="DX27"/>
      <c r="DY27"/>
      <c r="DZ27"/>
      <c r="EA27"/>
      <c r="EB27"/>
      <c r="EC27"/>
      <c r="ED27"/>
      <c r="EE27"/>
      <c r="EF27">
        <v>3.4319999999999999</v>
      </c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</row>
    <row r="28" spans="1:271" ht="15" x14ac:dyDescent="0.25">
      <c r="A28" s="1">
        <v>77</v>
      </c>
      <c r="B28" s="1" t="str">
        <v>2019-12-03</v>
      </c>
      <c r="C28" s="1">
        <v>3.7101999999999999</v>
      </c>
      <c r="F28" s="8">
        <f t="shared" si="0"/>
        <v>77</v>
      </c>
      <c r="G28" s="9">
        <f t="shared" si="1"/>
        <v>43802</v>
      </c>
      <c r="H28" s="10">
        <f t="shared" si="2"/>
        <v>3.7101999999999999</v>
      </c>
      <c r="U28" s="11">
        <v>43829</v>
      </c>
      <c r="V28"/>
      <c r="W28"/>
      <c r="X28"/>
      <c r="Y28"/>
      <c r="Z28"/>
      <c r="AA28"/>
      <c r="AB28">
        <v>3.5042</v>
      </c>
      <c r="AC28"/>
      <c r="AD28"/>
      <c r="AE28"/>
      <c r="AF28"/>
      <c r="AG28">
        <v>3.6168</v>
      </c>
      <c r="AH28"/>
      <c r="AI28"/>
      <c r="AJ28"/>
      <c r="AK28"/>
      <c r="AL28"/>
      <c r="AM28"/>
      <c r="AN28"/>
      <c r="AO28"/>
      <c r="AP28"/>
      <c r="AQ28"/>
      <c r="AR28"/>
      <c r="AS28">
        <v>3.5047000000000001</v>
      </c>
      <c r="AT28"/>
      <c r="AU28"/>
      <c r="AV28"/>
      <c r="AW28"/>
      <c r="AX28"/>
      <c r="AY28"/>
      <c r="AZ28"/>
      <c r="BA28"/>
      <c r="BB28">
        <v>3.6076999999999999</v>
      </c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>
        <v>3.5956999999999999</v>
      </c>
      <c r="CP28"/>
      <c r="CQ28"/>
      <c r="CR28"/>
      <c r="CS28"/>
      <c r="CT28"/>
      <c r="CU28"/>
      <c r="CV28"/>
      <c r="CW28"/>
      <c r="CX28"/>
      <c r="CY28"/>
      <c r="CZ28"/>
      <c r="DA28"/>
      <c r="DB28"/>
      <c r="DC28">
        <v>3.6817000000000002</v>
      </c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>
        <v>4.0252999999999997</v>
      </c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</row>
    <row r="29" spans="1:271" ht="15" x14ac:dyDescent="0.25">
      <c r="A29" s="1">
        <v>1</v>
      </c>
      <c r="B29" s="1" t="str">
        <v>2019-12-03</v>
      </c>
      <c r="C29" s="1">
        <v>3.7006999999999999</v>
      </c>
      <c r="F29" s="8">
        <f t="shared" si="0"/>
        <v>1</v>
      </c>
      <c r="G29" s="9">
        <f t="shared" si="1"/>
        <v>43802</v>
      </c>
      <c r="H29" s="10">
        <f t="shared" si="2"/>
        <v>3.7006999999999999</v>
      </c>
      <c r="U29" s="11">
        <v>43830</v>
      </c>
      <c r="V29"/>
      <c r="W29"/>
      <c r="X29"/>
      <c r="Y29"/>
      <c r="Z29"/>
      <c r="AA29"/>
      <c r="AB29"/>
      <c r="AC29"/>
      <c r="AD29"/>
      <c r="AE29"/>
      <c r="AF29"/>
      <c r="AG29"/>
      <c r="AH29">
        <v>3.3803999999999998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>
        <v>3.5047000000000001</v>
      </c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>
        <v>3.3178999999999998</v>
      </c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</row>
    <row r="30" spans="1:271" ht="15" x14ac:dyDescent="0.25">
      <c r="A30" s="1">
        <v>83</v>
      </c>
      <c r="B30" s="1" t="str">
        <v>2019-12-03</v>
      </c>
      <c r="C30" s="1">
        <v>4</v>
      </c>
      <c r="F30" s="8">
        <f t="shared" si="0"/>
        <v>83</v>
      </c>
      <c r="G30" s="9">
        <f t="shared" si="1"/>
        <v>43802</v>
      </c>
      <c r="H30" s="10">
        <f t="shared" si="2"/>
        <v>4</v>
      </c>
      <c r="U30" s="11">
        <v>43832</v>
      </c>
      <c r="V30">
        <v>3.6080000000000001</v>
      </c>
      <c r="W30"/>
      <c r="X30"/>
      <c r="Y30"/>
      <c r="Z30"/>
      <c r="AA30">
        <v>3.7627000000000002</v>
      </c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>
        <v>4</v>
      </c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>
        <v>3.8315000000000001</v>
      </c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>
        <v>3.2469000000000001</v>
      </c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>
        <v>3.4422999999999999</v>
      </c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</row>
    <row r="31" spans="1:271" ht="15" x14ac:dyDescent="0.25">
      <c r="A31" s="1">
        <v>32360</v>
      </c>
      <c r="B31" s="1" t="str">
        <v>2019-12-04</v>
      </c>
      <c r="C31" s="1">
        <v>3.5977999999999999</v>
      </c>
      <c r="F31" s="8">
        <f t="shared" si="0"/>
        <v>32360</v>
      </c>
      <c r="G31" s="9">
        <f t="shared" si="1"/>
        <v>43803</v>
      </c>
      <c r="H31" s="10">
        <f t="shared" si="2"/>
        <v>3.5977999999999999</v>
      </c>
      <c r="U31" s="11">
        <v>43833</v>
      </c>
      <c r="V31"/>
      <c r="W31"/>
      <c r="X31">
        <v>3.3702999999999999</v>
      </c>
      <c r="Y31">
        <v>3.39</v>
      </c>
      <c r="Z31"/>
      <c r="AA31"/>
      <c r="AB31"/>
      <c r="AC31"/>
      <c r="AD31"/>
      <c r="AE31"/>
      <c r="AF31"/>
      <c r="AG31"/>
      <c r="AH31"/>
      <c r="AI31"/>
      <c r="AJ31">
        <v>3.5969000000000002</v>
      </c>
      <c r="AK31"/>
      <c r="AL31"/>
      <c r="AM31"/>
      <c r="AN31"/>
      <c r="AO31"/>
      <c r="AP31">
        <v>3.5562999999999998</v>
      </c>
      <c r="AQ31"/>
      <c r="AR31"/>
      <c r="AS31"/>
      <c r="AT31">
        <v>3.8</v>
      </c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>
        <v>3.7204999999999999</v>
      </c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>
        <v>2.7945000000000002</v>
      </c>
      <c r="CG31"/>
      <c r="CH31">
        <v>3.5044</v>
      </c>
      <c r="CI31"/>
      <c r="CJ31">
        <v>3.5769000000000002</v>
      </c>
      <c r="CK31"/>
      <c r="CL31"/>
      <c r="CM31">
        <v>3.5964</v>
      </c>
      <c r="CN31"/>
      <c r="CO31"/>
      <c r="CP31"/>
      <c r="CQ31"/>
      <c r="CR31">
        <v>3.1536</v>
      </c>
      <c r="CS31"/>
      <c r="CT31">
        <v>3.5036</v>
      </c>
      <c r="CU31"/>
      <c r="CV31"/>
      <c r="CW31"/>
      <c r="CX31">
        <v>3.3086000000000002</v>
      </c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>
        <v>3.4944999999999999</v>
      </c>
      <c r="DS31">
        <v>3.7833999999999999</v>
      </c>
      <c r="DT31"/>
      <c r="DU31"/>
      <c r="DV31"/>
      <c r="DW31"/>
      <c r="DX31"/>
      <c r="DY31"/>
      <c r="DZ31"/>
      <c r="EA31">
        <v>3.8146</v>
      </c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</row>
    <row r="32" spans="1:271" ht="15" x14ac:dyDescent="0.25">
      <c r="A32" s="1">
        <v>115</v>
      </c>
      <c r="B32" s="1" t="str">
        <v>2019-12-04</v>
      </c>
      <c r="C32" s="1">
        <v>3.6074999999999999</v>
      </c>
      <c r="F32" s="8">
        <f t="shared" si="0"/>
        <v>115</v>
      </c>
      <c r="G32" s="9">
        <f t="shared" si="1"/>
        <v>43803</v>
      </c>
      <c r="H32" s="10">
        <f t="shared" si="2"/>
        <v>3.6074999999999999</v>
      </c>
      <c r="U32" s="11">
        <v>43836</v>
      </c>
      <c r="V32"/>
      <c r="W32"/>
      <c r="X32"/>
      <c r="Y32"/>
      <c r="Z32"/>
      <c r="AA32"/>
      <c r="AB32"/>
      <c r="AC32">
        <v>3.6</v>
      </c>
      <c r="AD32"/>
      <c r="AE32"/>
      <c r="AF32"/>
      <c r="AG32"/>
      <c r="AH32">
        <v>3.4628999999999999</v>
      </c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>
        <v>3.5</v>
      </c>
      <c r="BI32"/>
      <c r="BJ32"/>
      <c r="BK32"/>
      <c r="BL32"/>
      <c r="BM32"/>
      <c r="BN32"/>
      <c r="BO32"/>
      <c r="BP32"/>
      <c r="BQ32"/>
      <c r="BR32"/>
      <c r="BS32"/>
      <c r="BT32"/>
      <c r="BU32">
        <v>3.3188</v>
      </c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>
        <v>3.4630999999999998</v>
      </c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>
        <v>3.5975000000000001</v>
      </c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>
        <v>3.8146</v>
      </c>
      <c r="EB32"/>
      <c r="EC32"/>
      <c r="ED32"/>
      <c r="EE32">
        <v>4</v>
      </c>
      <c r="EF32">
        <v>3.4630000000000001</v>
      </c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</row>
    <row r="33" spans="1:271" ht="15" x14ac:dyDescent="0.25">
      <c r="A33" s="1">
        <v>32400</v>
      </c>
      <c r="B33" s="1" t="str">
        <v>2019-12-04</v>
      </c>
      <c r="C33" s="1">
        <v>3.6</v>
      </c>
      <c r="F33" s="8">
        <f t="shared" si="0"/>
        <v>32400</v>
      </c>
      <c r="G33" s="9">
        <f t="shared" si="1"/>
        <v>43803</v>
      </c>
      <c r="H33" s="10">
        <f t="shared" si="2"/>
        <v>3.6</v>
      </c>
      <c r="U33" s="11">
        <v>43837</v>
      </c>
      <c r="V33"/>
      <c r="W33"/>
      <c r="X33"/>
      <c r="Y33"/>
      <c r="Z33"/>
      <c r="AA33"/>
      <c r="AB33"/>
      <c r="AC33"/>
      <c r="AD33"/>
      <c r="AE33">
        <v>3.3910999999999998</v>
      </c>
      <c r="AF33"/>
      <c r="AG33"/>
      <c r="AH33"/>
      <c r="AI33"/>
      <c r="AJ33"/>
      <c r="AK33"/>
      <c r="AL33"/>
      <c r="AM33">
        <v>3.6076000000000001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>
        <v>3.81</v>
      </c>
      <c r="BO33"/>
      <c r="BP33">
        <v>3.7313999999999998</v>
      </c>
      <c r="BQ33"/>
      <c r="BR33"/>
      <c r="BS33"/>
      <c r="BT33"/>
      <c r="BU33"/>
      <c r="BV33">
        <v>3.5857000000000001</v>
      </c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</row>
    <row r="34" spans="1:271" ht="15" x14ac:dyDescent="0.25">
      <c r="A34" s="1">
        <v>147</v>
      </c>
      <c r="B34" s="1" t="str">
        <v>2019-12-04</v>
      </c>
      <c r="C34" s="1">
        <v>3.6585999999999999</v>
      </c>
      <c r="F34" s="8">
        <f t="shared" si="0"/>
        <v>147</v>
      </c>
      <c r="G34" s="9">
        <f t="shared" si="1"/>
        <v>43803</v>
      </c>
      <c r="H34" s="10">
        <f t="shared" si="2"/>
        <v>3.6585999999999999</v>
      </c>
      <c r="U34" s="11">
        <v>43838</v>
      </c>
      <c r="V34"/>
      <c r="W34"/>
      <c r="X34"/>
      <c r="Y34"/>
      <c r="Z34"/>
      <c r="AA34"/>
      <c r="AB34"/>
      <c r="AC34"/>
      <c r="AD34"/>
      <c r="AE34"/>
      <c r="AF34"/>
      <c r="AG34"/>
      <c r="AH34"/>
      <c r="AI34">
        <v>3.4841000000000002</v>
      </c>
      <c r="AJ34"/>
      <c r="AK34"/>
      <c r="AL34"/>
      <c r="AM34">
        <v>3.6381000000000001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>
        <v>3.6173999999999999</v>
      </c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>
        <v>3.02</v>
      </c>
      <c r="CS34"/>
      <c r="CT34"/>
      <c r="CU34"/>
      <c r="CV34"/>
      <c r="CW34"/>
      <c r="CX34"/>
      <c r="CY34"/>
      <c r="CZ34"/>
      <c r="DA34"/>
      <c r="DB34"/>
      <c r="DC34"/>
      <c r="DD34">
        <v>4.2191000000000001</v>
      </c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>
        <v>4</v>
      </c>
      <c r="EF34">
        <v>3.5558999999999998</v>
      </c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</row>
    <row r="35" spans="1:271" ht="15" x14ac:dyDescent="0.25">
      <c r="A35" s="1">
        <v>32200</v>
      </c>
      <c r="B35" s="1" t="str">
        <v>2019-12-04</v>
      </c>
      <c r="C35" s="1">
        <v>3.3801999999999999</v>
      </c>
      <c r="F35" s="8">
        <f t="shared" si="0"/>
        <v>32200</v>
      </c>
      <c r="G35" s="9">
        <f t="shared" si="1"/>
        <v>43803</v>
      </c>
      <c r="H35" s="10">
        <f t="shared" si="2"/>
        <v>3.3801999999999999</v>
      </c>
      <c r="U35" s="11">
        <v>43839</v>
      </c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>
        <v>3.4628999999999999</v>
      </c>
      <c r="AL35"/>
      <c r="AM35"/>
      <c r="AN35"/>
      <c r="AO35"/>
      <c r="AP35"/>
      <c r="AQ35"/>
      <c r="AR35"/>
      <c r="AS35"/>
      <c r="AT35">
        <v>3.8</v>
      </c>
      <c r="AU35"/>
      <c r="AV35"/>
      <c r="AW35">
        <v>3.4155000000000002</v>
      </c>
      <c r="AX35"/>
      <c r="AY35"/>
      <c r="AZ35"/>
      <c r="BA35"/>
      <c r="BB35"/>
      <c r="BC35"/>
      <c r="BD35"/>
      <c r="BE35"/>
      <c r="BF35">
        <v>3.3088000000000002</v>
      </c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>
        <v>3.6385000000000001</v>
      </c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>
        <v>3.5047999999999999</v>
      </c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</row>
    <row r="36" spans="1:271" ht="15" x14ac:dyDescent="0.25">
      <c r="A36" s="1">
        <v>32823</v>
      </c>
      <c r="B36" s="1" t="str">
        <v>2019-12-04</v>
      </c>
      <c r="C36" s="1">
        <v>3.9</v>
      </c>
      <c r="F36" s="8">
        <f t="shared" si="0"/>
        <v>32823</v>
      </c>
      <c r="G36" s="9">
        <f t="shared" si="1"/>
        <v>43803</v>
      </c>
      <c r="H36" s="10">
        <f t="shared" si="2"/>
        <v>3.9</v>
      </c>
      <c r="U36" s="11">
        <v>43840</v>
      </c>
      <c r="V36"/>
      <c r="W36"/>
      <c r="X36">
        <v>3.3601999999999999</v>
      </c>
      <c r="Y36">
        <v>3.39</v>
      </c>
      <c r="Z36"/>
      <c r="AA36"/>
      <c r="AB36"/>
      <c r="AC36"/>
      <c r="AD36"/>
      <c r="AE36"/>
      <c r="AF36"/>
      <c r="AG36"/>
      <c r="AH36"/>
      <c r="AI36">
        <v>3.3397999999999999</v>
      </c>
      <c r="AJ36"/>
      <c r="AK36"/>
      <c r="AL36"/>
      <c r="AM36">
        <v>3.5762</v>
      </c>
      <c r="AN36"/>
      <c r="AO36"/>
      <c r="AP36">
        <v>3.5562999999999998</v>
      </c>
      <c r="AQ36"/>
      <c r="AR36"/>
      <c r="AS36"/>
      <c r="AT36"/>
      <c r="AU36"/>
      <c r="AV36">
        <v>3.504</v>
      </c>
      <c r="AW36"/>
      <c r="AX36"/>
      <c r="AY36"/>
      <c r="AZ36"/>
      <c r="BA36"/>
      <c r="BB36"/>
      <c r="BC36"/>
      <c r="BD36"/>
      <c r="BE36">
        <v>3.4944999999999999</v>
      </c>
      <c r="BF36"/>
      <c r="BG36">
        <v>3.8353999999999999</v>
      </c>
      <c r="BH36"/>
      <c r="BI36"/>
      <c r="BJ36">
        <v>3.5760999999999998</v>
      </c>
      <c r="BK36">
        <v>4.1417999999999999</v>
      </c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>
        <v>3.4525000000000001</v>
      </c>
      <c r="CA36"/>
      <c r="CB36"/>
      <c r="CC36"/>
      <c r="CD36"/>
      <c r="CE36"/>
      <c r="CF36">
        <v>2.7740999999999998</v>
      </c>
      <c r="CG36"/>
      <c r="CH36"/>
      <c r="CI36"/>
      <c r="CJ36"/>
      <c r="CK36"/>
      <c r="CL36"/>
      <c r="CM36"/>
      <c r="CN36"/>
      <c r="CO36"/>
      <c r="CP36">
        <v>3.7107999999999999</v>
      </c>
      <c r="CQ36"/>
      <c r="CR36"/>
      <c r="CS36"/>
      <c r="CT36">
        <v>3.5034999999999998</v>
      </c>
      <c r="CU36"/>
      <c r="CV36"/>
      <c r="CW36">
        <v>3.4325999999999999</v>
      </c>
      <c r="CX36"/>
      <c r="CY36"/>
      <c r="CZ36">
        <v>3.6</v>
      </c>
      <c r="DA36">
        <v>4.2286999999999999</v>
      </c>
      <c r="DB36"/>
      <c r="DC36"/>
      <c r="DD36"/>
      <c r="DE36">
        <v>3.2469000000000001</v>
      </c>
      <c r="DF36"/>
      <c r="DG36"/>
      <c r="DH36"/>
      <c r="DI36"/>
      <c r="DJ36"/>
      <c r="DK36"/>
      <c r="DL36"/>
      <c r="DM36"/>
      <c r="DN36"/>
      <c r="DO36"/>
      <c r="DP36"/>
      <c r="DQ36"/>
      <c r="DR36">
        <v>3.5047999999999999</v>
      </c>
      <c r="DS36"/>
      <c r="DT36"/>
      <c r="DU36"/>
      <c r="DV36"/>
      <c r="DW36"/>
      <c r="DX36"/>
      <c r="DY36"/>
      <c r="DZ36"/>
      <c r="EA36"/>
      <c r="EB36"/>
      <c r="EC36"/>
      <c r="ED36"/>
      <c r="EE36">
        <v>4</v>
      </c>
      <c r="EF36"/>
      <c r="EG36"/>
      <c r="EH36"/>
      <c r="EI36"/>
      <c r="EJ36"/>
      <c r="EK36">
        <v>3.4529000000000001</v>
      </c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</row>
    <row r="37" spans="1:271" ht="15" x14ac:dyDescent="0.25">
      <c r="A37" s="1">
        <v>1</v>
      </c>
      <c r="B37" s="1" t="str">
        <v>2019-12-04</v>
      </c>
      <c r="C37" s="1">
        <v>3.7008999999999999</v>
      </c>
      <c r="F37" s="8">
        <f t="shared" si="0"/>
        <v>1</v>
      </c>
      <c r="G37" s="9">
        <f t="shared" si="1"/>
        <v>43803</v>
      </c>
      <c r="H37" s="10">
        <f t="shared" si="2"/>
        <v>3.7008999999999999</v>
      </c>
      <c r="U37" s="11">
        <v>43843</v>
      </c>
      <c r="V37"/>
      <c r="W37"/>
      <c r="X37"/>
      <c r="Y37"/>
      <c r="Z37"/>
      <c r="AA37"/>
      <c r="AB37"/>
      <c r="AC37"/>
      <c r="AD37"/>
      <c r="AE37">
        <v>3.0926</v>
      </c>
      <c r="AF37"/>
      <c r="AG37"/>
      <c r="AH37"/>
      <c r="AI37"/>
      <c r="AJ37"/>
      <c r="AK37"/>
      <c r="AL37"/>
      <c r="AM37"/>
      <c r="AN37"/>
      <c r="AO37">
        <v>3.5874000000000001</v>
      </c>
      <c r="AP37"/>
      <c r="AQ37"/>
      <c r="AR37"/>
      <c r="AS37"/>
      <c r="AT37"/>
      <c r="AU37"/>
      <c r="AV37"/>
      <c r="AW37">
        <v>3.6696</v>
      </c>
      <c r="AX37">
        <v>3.2671999999999999</v>
      </c>
      <c r="AY37">
        <v>3.7105999999999999</v>
      </c>
      <c r="AZ37"/>
      <c r="BA37"/>
      <c r="BB37"/>
      <c r="BC37">
        <v>3.5975999999999999</v>
      </c>
      <c r="BD37"/>
      <c r="BE37"/>
      <c r="BF37"/>
      <c r="BG37"/>
      <c r="BH37"/>
      <c r="BI37"/>
      <c r="BJ37">
        <v>3.5451999999999999</v>
      </c>
      <c r="BK37"/>
      <c r="BL37"/>
      <c r="BM37"/>
      <c r="BN37"/>
      <c r="BO37"/>
      <c r="BP37"/>
      <c r="BQ37">
        <v>3.4426999999999999</v>
      </c>
      <c r="BR37"/>
      <c r="BS37"/>
      <c r="BT37"/>
      <c r="BU37">
        <v>3.35</v>
      </c>
      <c r="BV37"/>
      <c r="BW37"/>
      <c r="BX37"/>
      <c r="BY37">
        <v>3.6282999999999999</v>
      </c>
      <c r="BZ37"/>
      <c r="CA37"/>
      <c r="CB37"/>
      <c r="CC37"/>
      <c r="CD37"/>
      <c r="CE37"/>
      <c r="CF37"/>
      <c r="CG37"/>
      <c r="CH37"/>
      <c r="CI37"/>
      <c r="CJ37"/>
      <c r="CK37"/>
      <c r="CL37"/>
      <c r="CM37">
        <v>3.4519000000000002</v>
      </c>
      <c r="CN37"/>
      <c r="CO37"/>
      <c r="CP37"/>
      <c r="CQ37">
        <v>3.8203</v>
      </c>
      <c r="CR37"/>
      <c r="CS37"/>
      <c r="CT37"/>
      <c r="CU37"/>
      <c r="CV37">
        <v>3.4014000000000002</v>
      </c>
      <c r="CW37"/>
      <c r="CX37">
        <v>3.7233999999999998</v>
      </c>
      <c r="CY37">
        <v>3.6223000000000001</v>
      </c>
      <c r="CZ37"/>
      <c r="DA37"/>
      <c r="DB37"/>
      <c r="DC37"/>
      <c r="DD37"/>
      <c r="DE37"/>
      <c r="DF37"/>
      <c r="DG37"/>
      <c r="DH37"/>
      <c r="DI37"/>
      <c r="DJ37"/>
      <c r="DK37">
        <v>3.5047999999999999</v>
      </c>
      <c r="DL37"/>
      <c r="DM37"/>
      <c r="DN37"/>
      <c r="DO37"/>
      <c r="DP37"/>
      <c r="DQ37"/>
      <c r="DR37"/>
      <c r="DS37">
        <v>3.8041999999999998</v>
      </c>
      <c r="DT37">
        <v>3.2879999999999998</v>
      </c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</row>
    <row r="38" spans="1:271" ht="15" x14ac:dyDescent="0.25">
      <c r="A38" s="1">
        <v>55</v>
      </c>
      <c r="B38" s="1" t="str">
        <v>2019-12-04</v>
      </c>
      <c r="C38" s="1">
        <v>3.55</v>
      </c>
      <c r="F38" s="8">
        <f t="shared" si="0"/>
        <v>55</v>
      </c>
      <c r="G38" s="9">
        <f t="shared" si="1"/>
        <v>43803</v>
      </c>
      <c r="H38" s="10">
        <f t="shared" si="2"/>
        <v>3.55</v>
      </c>
      <c r="U38" s="11">
        <v>43844</v>
      </c>
      <c r="V38">
        <v>3.5874000000000001</v>
      </c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>
        <v>3.5036</v>
      </c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>
        <v>3.4626999999999999</v>
      </c>
      <c r="BK38"/>
      <c r="BL38"/>
      <c r="BM38"/>
      <c r="BN38">
        <v>3.81</v>
      </c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>
        <v>3.4327000000000001</v>
      </c>
      <c r="DS38"/>
      <c r="DT38"/>
      <c r="DU38"/>
      <c r="DV38"/>
      <c r="DW38"/>
      <c r="DX38"/>
      <c r="DY38"/>
      <c r="DZ38"/>
      <c r="EA38"/>
      <c r="EB38"/>
      <c r="EC38">
        <v>3.7206999999999999</v>
      </c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</row>
    <row r="39" spans="1:271" ht="15" x14ac:dyDescent="0.25">
      <c r="A39" s="1">
        <v>32843</v>
      </c>
      <c r="B39" s="1" t="str">
        <v>2019-12-04</v>
      </c>
      <c r="C39" s="1">
        <v>3.7206999999999999</v>
      </c>
      <c r="F39" s="8">
        <f t="shared" si="0"/>
        <v>32843</v>
      </c>
      <c r="G39" s="9">
        <f t="shared" si="1"/>
        <v>43803</v>
      </c>
      <c r="H39" s="10">
        <f t="shared" si="2"/>
        <v>3.7206999999999999</v>
      </c>
      <c r="U39" s="11">
        <v>43845</v>
      </c>
      <c r="V39">
        <v>3.7010999999999998</v>
      </c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>
        <v>3.4634</v>
      </c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>
        <v>3.4214000000000002</v>
      </c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>
        <v>3.1023000000000001</v>
      </c>
      <c r="CD39"/>
      <c r="CE39"/>
      <c r="CF39"/>
      <c r="CG39"/>
      <c r="CH39"/>
      <c r="CI39"/>
      <c r="CJ39"/>
      <c r="CK39"/>
      <c r="CL39"/>
      <c r="CM39"/>
      <c r="CN39"/>
      <c r="CO39">
        <v>3.4310999999999998</v>
      </c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>
        <v>4.4000000000000004</v>
      </c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</row>
    <row r="40" spans="1:271" ht="15" x14ac:dyDescent="0.25">
      <c r="A40" s="1">
        <v>32724</v>
      </c>
      <c r="B40" s="1" t="str">
        <v>2019-12-04</v>
      </c>
      <c r="C40" s="1">
        <v>3.5047999999999999</v>
      </c>
      <c r="F40" s="8">
        <f t="shared" si="0"/>
        <v>32724</v>
      </c>
      <c r="G40" s="9">
        <f t="shared" si="1"/>
        <v>43803</v>
      </c>
      <c r="H40" s="10">
        <f t="shared" si="2"/>
        <v>3.5047999999999999</v>
      </c>
      <c r="U40" s="11">
        <v>43846</v>
      </c>
      <c r="V40">
        <v>3.6701000000000001</v>
      </c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>
        <v>3.4011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>
        <v>3.6177999999999999</v>
      </c>
      <c r="BB40"/>
      <c r="BC40"/>
      <c r="BD40"/>
      <c r="BE40"/>
      <c r="BF40"/>
      <c r="BG40"/>
      <c r="BH40"/>
      <c r="BI40"/>
      <c r="BJ40">
        <v>3.4525000000000001</v>
      </c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>
        <v>3.5440999999999998</v>
      </c>
      <c r="DD40"/>
      <c r="DE40"/>
      <c r="DF40"/>
      <c r="DG40"/>
      <c r="DH40"/>
      <c r="DI40"/>
      <c r="DJ40"/>
      <c r="DK40"/>
      <c r="DL40"/>
      <c r="DM40"/>
      <c r="DN40"/>
      <c r="DO40"/>
      <c r="DP40"/>
      <c r="DQ40">
        <v>3.4809000000000001</v>
      </c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</row>
    <row r="41" spans="1:271" ht="15" x14ac:dyDescent="0.25">
      <c r="A41" s="1">
        <v>32420</v>
      </c>
      <c r="B41" s="1" t="str">
        <v>2019-12-04</v>
      </c>
      <c r="C41" s="1">
        <v>3.6494</v>
      </c>
      <c r="F41" s="8">
        <f t="shared" si="0"/>
        <v>32420</v>
      </c>
      <c r="G41" s="9">
        <f t="shared" si="1"/>
        <v>43803</v>
      </c>
      <c r="H41" s="10">
        <f t="shared" si="2"/>
        <v>3.6494</v>
      </c>
      <c r="U41" s="11">
        <v>43847</v>
      </c>
      <c r="V41"/>
      <c r="W41"/>
      <c r="X41">
        <v>3.2366000000000001</v>
      </c>
      <c r="Y41">
        <v>3.39</v>
      </c>
      <c r="Z41"/>
      <c r="AA41"/>
      <c r="AB41"/>
      <c r="AC41"/>
      <c r="AD41">
        <v>3.7010000000000001</v>
      </c>
      <c r="AE41"/>
      <c r="AF41"/>
      <c r="AG41"/>
      <c r="AH41"/>
      <c r="AI41"/>
      <c r="AJ41"/>
      <c r="AK41">
        <v>3.3289</v>
      </c>
      <c r="AL41"/>
      <c r="AM41"/>
      <c r="AN41"/>
      <c r="AO41"/>
      <c r="AP41">
        <v>3.5562999999999998</v>
      </c>
      <c r="AQ41"/>
      <c r="AR41"/>
      <c r="AS41"/>
      <c r="AT41"/>
      <c r="AU41"/>
      <c r="AV41">
        <v>3.4424999999999999</v>
      </c>
      <c r="AW41"/>
      <c r="AX41">
        <v>3.2054999999999998</v>
      </c>
      <c r="AY41"/>
      <c r="AZ41"/>
      <c r="BA41"/>
      <c r="BB41"/>
      <c r="BC41"/>
      <c r="BD41"/>
      <c r="BE41"/>
      <c r="BF41"/>
      <c r="BG41"/>
      <c r="BH41">
        <v>3.5</v>
      </c>
      <c r="BI41"/>
      <c r="BJ41"/>
      <c r="BK41">
        <v>4.1417999999999999</v>
      </c>
      <c r="BL41"/>
      <c r="BM41"/>
      <c r="BN41"/>
      <c r="BO41"/>
      <c r="BP41"/>
      <c r="BQ41"/>
      <c r="BR41"/>
      <c r="BS41"/>
      <c r="BT41"/>
      <c r="BU41"/>
      <c r="BV41"/>
      <c r="BW41"/>
      <c r="BX41"/>
      <c r="BY41">
        <v>3.7109999999999999</v>
      </c>
      <c r="BZ41"/>
      <c r="CA41"/>
      <c r="CB41"/>
      <c r="CC41">
        <v>3.1023000000000001</v>
      </c>
      <c r="CD41"/>
      <c r="CE41"/>
      <c r="CF41">
        <v>2.8050999999999999</v>
      </c>
      <c r="CG41"/>
      <c r="CH41"/>
      <c r="CI41"/>
      <c r="CJ41"/>
      <c r="CK41"/>
      <c r="CL41"/>
      <c r="CM41"/>
      <c r="CN41"/>
      <c r="CO41"/>
      <c r="CP41"/>
      <c r="CQ41">
        <v>3.4434999999999998</v>
      </c>
      <c r="CR41"/>
      <c r="CS41"/>
      <c r="CT41">
        <v>3.4007999999999998</v>
      </c>
      <c r="CU41"/>
      <c r="CV41"/>
      <c r="CW41">
        <v>3.4011</v>
      </c>
      <c r="CX41"/>
      <c r="CY41"/>
      <c r="CZ41"/>
      <c r="DA41"/>
      <c r="DB41">
        <v>3.7574999999999998</v>
      </c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>
        <v>3.2978000000000001</v>
      </c>
      <c r="DX41"/>
      <c r="DY41"/>
      <c r="DZ41"/>
      <c r="EA41"/>
      <c r="EB41"/>
      <c r="EC41"/>
      <c r="ED41"/>
      <c r="EE41"/>
      <c r="EF41"/>
      <c r="EG41"/>
      <c r="EH41"/>
      <c r="EI41"/>
      <c r="EJ41"/>
      <c r="EK41">
        <v>3.4529000000000001</v>
      </c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</row>
    <row r="42" spans="1:271" ht="15" x14ac:dyDescent="0.25">
      <c r="A42" s="1">
        <v>72</v>
      </c>
      <c r="B42" s="1" t="str">
        <v>2019-12-04</v>
      </c>
      <c r="C42" s="1">
        <v>3.597</v>
      </c>
      <c r="F42" s="8">
        <f t="shared" si="0"/>
        <v>72</v>
      </c>
      <c r="G42" s="9">
        <f t="shared" si="1"/>
        <v>43803</v>
      </c>
      <c r="H42" s="10">
        <f t="shared" si="2"/>
        <v>3.597</v>
      </c>
      <c r="U42" s="11">
        <v>43850</v>
      </c>
      <c r="V42"/>
      <c r="W42"/>
      <c r="X42"/>
      <c r="Y42"/>
      <c r="Z42"/>
      <c r="AA42"/>
      <c r="AB42"/>
      <c r="AC42"/>
      <c r="AD42"/>
      <c r="AE42"/>
      <c r="AF42"/>
      <c r="AG42"/>
      <c r="AH42"/>
      <c r="AI42">
        <v>3.3603000000000001</v>
      </c>
      <c r="AJ42"/>
      <c r="AK42"/>
      <c r="AL42"/>
      <c r="AM42"/>
      <c r="AN42">
        <v>3.5657999999999999</v>
      </c>
      <c r="AO42"/>
      <c r="AP42"/>
      <c r="AQ42"/>
      <c r="AR42">
        <v>3.4533</v>
      </c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>
        <v>3.4216000000000002</v>
      </c>
      <c r="BK42"/>
      <c r="BL42"/>
      <c r="BM42"/>
      <c r="BN42"/>
      <c r="BO42"/>
      <c r="BP42"/>
      <c r="BQ42"/>
      <c r="BR42"/>
      <c r="BS42"/>
      <c r="BT42"/>
      <c r="BU42">
        <v>3.4117999999999999</v>
      </c>
      <c r="BV42">
        <v>3.5146999999999999</v>
      </c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>
        <v>3.7</v>
      </c>
      <c r="CV42"/>
      <c r="CW42">
        <v>3.4319999999999999</v>
      </c>
      <c r="CX42"/>
      <c r="CY42"/>
      <c r="CZ42"/>
      <c r="DA42"/>
      <c r="DB42"/>
      <c r="DC42">
        <v>3.4125999999999999</v>
      </c>
      <c r="DD42"/>
      <c r="DE42"/>
      <c r="DF42"/>
      <c r="DG42"/>
      <c r="DH42"/>
      <c r="DI42"/>
      <c r="DJ42"/>
      <c r="DK42"/>
      <c r="DL42"/>
      <c r="DM42">
        <v>3.3081</v>
      </c>
      <c r="DN42"/>
      <c r="DO42"/>
      <c r="DP42"/>
      <c r="DQ42"/>
      <c r="DR42"/>
      <c r="DS42"/>
      <c r="DT42">
        <v>3.1953999999999998</v>
      </c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>
        <v>4.0373999999999999</v>
      </c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</row>
    <row r="43" spans="1:271" ht="15" x14ac:dyDescent="0.25">
      <c r="A43" s="1">
        <v>176</v>
      </c>
      <c r="B43" s="1" t="str">
        <v>2019-12-05</v>
      </c>
      <c r="C43" s="1">
        <v>3.5564</v>
      </c>
      <c r="F43" s="8">
        <f t="shared" si="0"/>
        <v>176</v>
      </c>
      <c r="G43" s="9">
        <f t="shared" si="1"/>
        <v>43804</v>
      </c>
      <c r="H43" s="10">
        <f t="shared" si="2"/>
        <v>3.5564</v>
      </c>
      <c r="U43" s="11">
        <v>43851</v>
      </c>
      <c r="V43">
        <v>3.6598000000000002</v>
      </c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>
        <v>3.5253000000000001</v>
      </c>
      <c r="BT43"/>
      <c r="BU43"/>
      <c r="BV43"/>
      <c r="BW43"/>
      <c r="BX43"/>
      <c r="BY43">
        <v>3.6593</v>
      </c>
      <c r="BZ43"/>
      <c r="CA43"/>
      <c r="CB43"/>
      <c r="CC43"/>
      <c r="CD43"/>
      <c r="CE43"/>
      <c r="CF43"/>
      <c r="CG43">
        <v>3.4015</v>
      </c>
      <c r="CH43"/>
      <c r="CI43">
        <v>3.2982999999999998</v>
      </c>
      <c r="CJ43"/>
      <c r="CK43"/>
      <c r="CL43">
        <v>3.0310000000000001</v>
      </c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>
        <v>3.3605</v>
      </c>
      <c r="DS43"/>
      <c r="DT43"/>
      <c r="DU43"/>
      <c r="DV43"/>
      <c r="DW43"/>
      <c r="DX43"/>
      <c r="DY43">
        <v>3.4319000000000002</v>
      </c>
      <c r="DZ43"/>
      <c r="EA43"/>
      <c r="EB43">
        <v>3.5272999999999999</v>
      </c>
      <c r="EC43"/>
      <c r="ED43"/>
      <c r="EE43">
        <v>3.7</v>
      </c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</row>
    <row r="44" spans="1:271" ht="15" x14ac:dyDescent="0.25">
      <c r="A44" s="1">
        <v>147</v>
      </c>
      <c r="B44" s="1" t="str">
        <v>2019-12-05</v>
      </c>
      <c r="C44" s="1">
        <v>3.6585999999999999</v>
      </c>
      <c r="F44" s="8">
        <f t="shared" si="0"/>
        <v>147</v>
      </c>
      <c r="G44" s="9">
        <f t="shared" si="1"/>
        <v>43804</v>
      </c>
      <c r="H44" s="10">
        <f t="shared" si="2"/>
        <v>3.6585999999999999</v>
      </c>
      <c r="U44" s="11">
        <v>43852</v>
      </c>
      <c r="V44"/>
      <c r="W44"/>
      <c r="X44"/>
      <c r="Y44"/>
      <c r="Z44"/>
      <c r="AA44"/>
      <c r="AB44"/>
      <c r="AC44"/>
      <c r="AD44"/>
      <c r="AE44">
        <v>3.0926</v>
      </c>
      <c r="AF44"/>
      <c r="AG44"/>
      <c r="AH44">
        <v>3.3289</v>
      </c>
      <c r="AI44"/>
      <c r="AJ44"/>
      <c r="AK44"/>
      <c r="AL44"/>
      <c r="AM44">
        <v>3.4117999999999999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>
        <v>3.7115999999999998</v>
      </c>
      <c r="BE44"/>
      <c r="BF44"/>
      <c r="BG44"/>
      <c r="BH44"/>
      <c r="BI44"/>
      <c r="BJ44">
        <v>3.3388</v>
      </c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>
        <v>3.2155999999999998</v>
      </c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>
        <v>3.3420000000000001</v>
      </c>
      <c r="EC44"/>
      <c r="ED44"/>
      <c r="EE44">
        <v>3.7</v>
      </c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</row>
    <row r="45" spans="1:271" ht="15" x14ac:dyDescent="0.25">
      <c r="A45" s="1">
        <v>53</v>
      </c>
      <c r="B45" s="1" t="str">
        <v>2019-12-05</v>
      </c>
      <c r="C45" s="1">
        <v>3.4319000000000002</v>
      </c>
      <c r="F45" s="8">
        <f t="shared" si="0"/>
        <v>53</v>
      </c>
      <c r="G45" s="9">
        <f t="shared" si="1"/>
        <v>43804</v>
      </c>
      <c r="H45" s="10">
        <f t="shared" si="2"/>
        <v>3.4319000000000002</v>
      </c>
      <c r="U45" s="11">
        <v>43853</v>
      </c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>
        <v>3.4016000000000002</v>
      </c>
      <c r="AN45"/>
      <c r="AO45"/>
      <c r="AP45"/>
      <c r="AQ45">
        <v>4.0004</v>
      </c>
      <c r="AR45"/>
      <c r="AS45">
        <v>3.5562999999999998</v>
      </c>
      <c r="AT45"/>
      <c r="AU45"/>
      <c r="AV45"/>
      <c r="AW45"/>
      <c r="AX45"/>
      <c r="AY45"/>
      <c r="AZ45"/>
      <c r="BA45">
        <v>3.4942000000000002</v>
      </c>
      <c r="BB45"/>
      <c r="BC45"/>
      <c r="BD45"/>
      <c r="BE45"/>
      <c r="BF45"/>
      <c r="BG45"/>
      <c r="BH45"/>
      <c r="BI45"/>
      <c r="BJ45">
        <v>3.3902999999999999</v>
      </c>
      <c r="BK45"/>
      <c r="BL45"/>
      <c r="BM45"/>
      <c r="BN45"/>
      <c r="BO45"/>
      <c r="BP45"/>
      <c r="BQ45"/>
      <c r="BR45"/>
      <c r="BS45">
        <v>3.5562999999999998</v>
      </c>
      <c r="BT45"/>
      <c r="BU45"/>
      <c r="BV45"/>
      <c r="BW45"/>
      <c r="BX45">
        <v>3.4056000000000002</v>
      </c>
      <c r="BY45"/>
      <c r="BZ45"/>
      <c r="CA45"/>
      <c r="CB45">
        <v>3.4015</v>
      </c>
      <c r="CC45"/>
      <c r="CD45"/>
      <c r="CE45"/>
      <c r="CF45"/>
      <c r="CG45"/>
      <c r="CH45"/>
      <c r="CI45"/>
      <c r="CJ45"/>
      <c r="CK45"/>
      <c r="CL45"/>
      <c r="CM45"/>
      <c r="CN45">
        <v>3.4211999999999998</v>
      </c>
      <c r="CO45"/>
      <c r="CP45"/>
      <c r="CQ45"/>
      <c r="CR45"/>
      <c r="CS45">
        <v>3.1951000000000001</v>
      </c>
      <c r="CT45"/>
      <c r="CU45">
        <v>3.7</v>
      </c>
      <c r="CV45"/>
      <c r="CW45"/>
      <c r="CX45">
        <v>3.7233999999999998</v>
      </c>
      <c r="CY45"/>
      <c r="CZ45"/>
      <c r="DA45"/>
      <c r="DB45"/>
      <c r="DC45"/>
      <c r="DD45"/>
      <c r="DE45"/>
      <c r="DF45"/>
      <c r="DG45"/>
      <c r="DH45"/>
      <c r="DI45"/>
      <c r="DJ45">
        <v>3.4531000000000001</v>
      </c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</row>
    <row r="46" spans="1:271" ht="15" x14ac:dyDescent="0.25">
      <c r="A46" s="1">
        <v>33103</v>
      </c>
      <c r="B46" s="1" t="str">
        <v>2019-12-05</v>
      </c>
      <c r="C46" s="1">
        <v>3.9108999999999998</v>
      </c>
      <c r="F46" s="8">
        <f t="shared" si="0"/>
        <v>33103</v>
      </c>
      <c r="G46" s="9">
        <f t="shared" si="1"/>
        <v>43804</v>
      </c>
      <c r="H46" s="10">
        <f t="shared" si="2"/>
        <v>3.9108999999999998</v>
      </c>
      <c r="U46" s="11">
        <v>43854</v>
      </c>
      <c r="V46">
        <v>3.6080999999999999</v>
      </c>
      <c r="W46"/>
      <c r="X46"/>
      <c r="Y46">
        <v>3.39</v>
      </c>
      <c r="Z46">
        <v>3.5666000000000002</v>
      </c>
      <c r="AA46">
        <v>3.5667</v>
      </c>
      <c r="AB46">
        <v>3.3805000000000001</v>
      </c>
      <c r="AC46">
        <v>3.4</v>
      </c>
      <c r="AD46">
        <v>3.4634</v>
      </c>
      <c r="AE46"/>
      <c r="AF46">
        <v>3.7526999999999999</v>
      </c>
      <c r="AG46">
        <v>2.8454000000000002</v>
      </c>
      <c r="AH46"/>
      <c r="AI46"/>
      <c r="AJ46">
        <v>3.3595999999999999</v>
      </c>
      <c r="AK46">
        <v>3.3289</v>
      </c>
      <c r="AL46"/>
      <c r="AM46">
        <v>3.2366999999999999</v>
      </c>
      <c r="AN46"/>
      <c r="AO46">
        <v>3.5047000000000001</v>
      </c>
      <c r="AP46">
        <v>3.6183999999999998</v>
      </c>
      <c r="AQ46"/>
      <c r="AR46"/>
      <c r="AS46"/>
      <c r="AT46">
        <v>3.8</v>
      </c>
      <c r="AU46">
        <v>3.3180999999999998</v>
      </c>
      <c r="AV46"/>
      <c r="AW46">
        <v>3.6591999999999998</v>
      </c>
      <c r="AX46">
        <v>3.3496000000000001</v>
      </c>
      <c r="AY46">
        <v>3.7105999999999999</v>
      </c>
      <c r="AZ46">
        <v>3.5</v>
      </c>
      <c r="BA46"/>
      <c r="BB46"/>
      <c r="BC46"/>
      <c r="BD46"/>
      <c r="BE46">
        <v>3.5667</v>
      </c>
      <c r="BF46"/>
      <c r="BG46">
        <v>3.8043</v>
      </c>
      <c r="BH46">
        <v>3.0407000000000002</v>
      </c>
      <c r="BI46">
        <v>3.5457999999999998</v>
      </c>
      <c r="BJ46">
        <v>3.4007999999999998</v>
      </c>
      <c r="BK46">
        <v>4.1417999999999999</v>
      </c>
      <c r="BL46"/>
      <c r="BM46"/>
      <c r="BN46"/>
      <c r="BO46"/>
      <c r="BP46"/>
      <c r="BQ46">
        <v>3.2159</v>
      </c>
      <c r="BR46"/>
      <c r="BS46">
        <v>3.4321000000000002</v>
      </c>
      <c r="BT46"/>
      <c r="BU46"/>
      <c r="BV46"/>
      <c r="BW46"/>
      <c r="BX46"/>
      <c r="BY46">
        <v>3.5457999999999998</v>
      </c>
      <c r="BZ46">
        <v>3.4525000000000001</v>
      </c>
      <c r="CA46">
        <v>3.3912</v>
      </c>
      <c r="CB46"/>
      <c r="CC46"/>
      <c r="CD46">
        <v>3.65</v>
      </c>
      <c r="CE46"/>
      <c r="CF46">
        <v>2.8359000000000001</v>
      </c>
      <c r="CG46"/>
      <c r="CH46">
        <v>3.4630000000000001</v>
      </c>
      <c r="CI46">
        <v>3.2467000000000001</v>
      </c>
      <c r="CJ46">
        <v>3.5663999999999998</v>
      </c>
      <c r="CK46"/>
      <c r="CL46">
        <v>3.1766000000000001</v>
      </c>
      <c r="CM46"/>
      <c r="CN46">
        <v>3.4211999999999998</v>
      </c>
      <c r="CO46">
        <v>3.3898000000000001</v>
      </c>
      <c r="CP46">
        <v>3.4624999999999999</v>
      </c>
      <c r="CQ46"/>
      <c r="CR46">
        <v>3.0196000000000001</v>
      </c>
      <c r="CS46"/>
      <c r="CT46">
        <v>3.4011</v>
      </c>
      <c r="CU46"/>
      <c r="CV46"/>
      <c r="CW46"/>
      <c r="CX46">
        <v>3.5836999999999999</v>
      </c>
      <c r="CY46"/>
      <c r="CZ46"/>
      <c r="DA46"/>
      <c r="DB46"/>
      <c r="DC46"/>
      <c r="DD46"/>
      <c r="DE46"/>
      <c r="DF46"/>
      <c r="DG46"/>
      <c r="DH46"/>
      <c r="DI46"/>
      <c r="DJ46"/>
      <c r="DK46"/>
      <c r="DL46">
        <v>3.5</v>
      </c>
      <c r="DM46"/>
      <c r="DN46"/>
      <c r="DO46">
        <v>3.4740000000000002</v>
      </c>
      <c r="DP46"/>
      <c r="DQ46"/>
      <c r="DR46"/>
      <c r="DS46">
        <v>3.6076999999999999</v>
      </c>
      <c r="DT46"/>
      <c r="DU46"/>
      <c r="DV46"/>
      <c r="DW46"/>
      <c r="DX46"/>
      <c r="DY46"/>
      <c r="DZ46"/>
      <c r="EA46"/>
      <c r="EB46"/>
      <c r="EC46"/>
      <c r="ED46">
        <v>3</v>
      </c>
      <c r="EE46"/>
      <c r="EF46"/>
      <c r="EG46"/>
      <c r="EH46">
        <v>3.7801999999999998</v>
      </c>
      <c r="EI46">
        <v>4.0395000000000003</v>
      </c>
      <c r="EJ46">
        <v>3.5972</v>
      </c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</row>
    <row r="47" spans="1:271" ht="15" x14ac:dyDescent="0.25">
      <c r="A47" s="1">
        <v>32</v>
      </c>
      <c r="B47" s="1" t="str">
        <v>2019-12-05</v>
      </c>
      <c r="C47" s="1">
        <v>3.5562999999999998</v>
      </c>
      <c r="F47" s="8">
        <f t="shared" si="0"/>
        <v>32</v>
      </c>
      <c r="G47" s="9">
        <f t="shared" si="1"/>
        <v>43804</v>
      </c>
      <c r="H47" s="10">
        <f t="shared" si="2"/>
        <v>3.5562999999999998</v>
      </c>
      <c r="U47" s="11">
        <v>43857</v>
      </c>
      <c r="V47">
        <v>3.5043000000000002</v>
      </c>
      <c r="W47"/>
      <c r="X47"/>
      <c r="Y47"/>
      <c r="Z47"/>
      <c r="AA47"/>
      <c r="AB47"/>
      <c r="AC47"/>
      <c r="AD47"/>
      <c r="AE47"/>
      <c r="AF47"/>
      <c r="AG47">
        <v>2.8043</v>
      </c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>
        <v>3.1539999999999999</v>
      </c>
      <c r="BD47"/>
      <c r="BE47"/>
      <c r="BF47"/>
      <c r="BG47"/>
      <c r="BH47">
        <v>2.9790000000000001</v>
      </c>
      <c r="BI47"/>
      <c r="BJ47">
        <v>3.4007999999999998</v>
      </c>
      <c r="BK47"/>
      <c r="BL47"/>
      <c r="BM47">
        <v>3.7315</v>
      </c>
      <c r="BN47">
        <v>3.7</v>
      </c>
      <c r="BO47"/>
      <c r="BP47"/>
      <c r="BQ47"/>
      <c r="BR47"/>
      <c r="BS47">
        <v>3.4321000000000002</v>
      </c>
      <c r="BT47">
        <v>3.7315999999999998</v>
      </c>
      <c r="BU47">
        <v>3.4641999999999999</v>
      </c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>
        <v>3.4085999999999999</v>
      </c>
      <c r="CR47"/>
      <c r="CS47">
        <v>3.2050999999999998</v>
      </c>
      <c r="CT47"/>
      <c r="CU47"/>
      <c r="CV47"/>
      <c r="CW47"/>
      <c r="CX47"/>
      <c r="CY47"/>
      <c r="CZ47"/>
      <c r="DA47"/>
      <c r="DB47"/>
      <c r="DC47">
        <v>3.3893</v>
      </c>
      <c r="DD47"/>
      <c r="DE47"/>
      <c r="DF47"/>
      <c r="DG47"/>
      <c r="DH47"/>
      <c r="DI47"/>
      <c r="DJ47"/>
      <c r="DK47">
        <v>3.4842</v>
      </c>
      <c r="DL47"/>
      <c r="DM47"/>
      <c r="DN47"/>
      <c r="DO47"/>
      <c r="DP47"/>
      <c r="DQ47"/>
      <c r="DR47">
        <v>3.3708</v>
      </c>
      <c r="DS47"/>
      <c r="DT47"/>
      <c r="DU47"/>
      <c r="DV47"/>
      <c r="DW47"/>
      <c r="DX47">
        <v>3.3178999999999998</v>
      </c>
      <c r="DY47"/>
      <c r="DZ47"/>
      <c r="EA47"/>
      <c r="EB47"/>
      <c r="EC47"/>
      <c r="ED47"/>
      <c r="EE47"/>
      <c r="EF47"/>
      <c r="EG47"/>
      <c r="EH47"/>
      <c r="EI47">
        <v>4.0395000000000003</v>
      </c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</row>
    <row r="48" spans="1:271" ht="15" x14ac:dyDescent="0.25">
      <c r="A48" s="1">
        <v>34</v>
      </c>
      <c r="B48" s="1" t="str">
        <v>2019-12-05</v>
      </c>
      <c r="C48" s="1">
        <v>3.6076000000000001</v>
      </c>
      <c r="F48" s="8">
        <f t="shared" si="0"/>
        <v>34</v>
      </c>
      <c r="G48" s="9">
        <f t="shared" si="1"/>
        <v>43804</v>
      </c>
      <c r="H48" s="10">
        <f t="shared" si="2"/>
        <v>3.6076000000000001</v>
      </c>
      <c r="U48" s="11">
        <v>43858</v>
      </c>
      <c r="V48">
        <v>3.5044</v>
      </c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>
        <v>3.3</v>
      </c>
      <c r="BT48"/>
      <c r="BU48"/>
      <c r="BV48"/>
      <c r="BW48">
        <v>3.6385000000000001</v>
      </c>
      <c r="BX48"/>
      <c r="BY48"/>
      <c r="BZ48"/>
      <c r="CA48"/>
      <c r="CB48"/>
      <c r="CC48"/>
      <c r="CD48"/>
      <c r="CE48">
        <v>3.5</v>
      </c>
      <c r="CF48"/>
      <c r="CG48"/>
      <c r="CH48"/>
      <c r="CI48"/>
      <c r="CJ48"/>
      <c r="CK48"/>
      <c r="CL48"/>
      <c r="CM48"/>
      <c r="CN48"/>
      <c r="CO48"/>
      <c r="CP48">
        <v>3.7827000000000002</v>
      </c>
      <c r="CQ48"/>
      <c r="CR48"/>
      <c r="CS48"/>
      <c r="CT48"/>
      <c r="CU48"/>
      <c r="CV48"/>
      <c r="CW48"/>
      <c r="CX48"/>
      <c r="CY48"/>
      <c r="CZ48"/>
      <c r="DA48"/>
      <c r="DB48">
        <v>4.0377000000000001</v>
      </c>
      <c r="DC48"/>
      <c r="DD48"/>
      <c r="DE48"/>
      <c r="DF48"/>
      <c r="DG48"/>
      <c r="DH48"/>
      <c r="DI48"/>
      <c r="DJ48"/>
      <c r="DK48">
        <v>3.4842</v>
      </c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</row>
    <row r="49" spans="1:271" ht="15" x14ac:dyDescent="0.25">
      <c r="A49" s="1">
        <v>32082</v>
      </c>
      <c r="B49" s="1" t="str">
        <v>2019-12-05</v>
      </c>
      <c r="C49" s="1">
        <v>3.4407999999999999</v>
      </c>
      <c r="F49" s="8">
        <f t="shared" si="0"/>
        <v>32082</v>
      </c>
      <c r="G49" s="9">
        <f t="shared" si="1"/>
        <v>43804</v>
      </c>
      <c r="H49" s="10">
        <f t="shared" si="2"/>
        <v>3.4407999999999999</v>
      </c>
      <c r="U49" s="11">
        <v>43859</v>
      </c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>
        <v>3.1337000000000002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>
        <v>3.4007999999999998</v>
      </c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>
        <v>3.4106000000000001</v>
      </c>
      <c r="CN49"/>
      <c r="CO49"/>
      <c r="CP49"/>
      <c r="CQ49"/>
      <c r="CR49"/>
      <c r="CS49"/>
      <c r="CT49"/>
      <c r="CU49"/>
      <c r="CV49">
        <v>3.4014000000000002</v>
      </c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>
        <v>3.5668000000000002</v>
      </c>
      <c r="DS49"/>
      <c r="DT49">
        <v>3.0718000000000001</v>
      </c>
      <c r="DU49"/>
      <c r="DV49"/>
      <c r="DW49"/>
      <c r="DX49">
        <v>3.3178999999999998</v>
      </c>
      <c r="DY49"/>
      <c r="DZ49"/>
      <c r="EA49"/>
      <c r="EB49"/>
      <c r="EC49"/>
      <c r="ED49"/>
      <c r="EE49">
        <v>3.7</v>
      </c>
      <c r="EF49">
        <v>3.2158000000000002</v>
      </c>
      <c r="EG49"/>
      <c r="EH49"/>
      <c r="EI49">
        <v>4.0347999999999997</v>
      </c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</row>
    <row r="50" spans="1:271" ht="15" x14ac:dyDescent="0.25">
      <c r="A50" s="1">
        <v>32582</v>
      </c>
      <c r="B50" s="1" t="str">
        <v>2019-12-05</v>
      </c>
      <c r="C50" s="1">
        <v>3.6597</v>
      </c>
      <c r="F50" s="8">
        <f t="shared" si="0"/>
        <v>32582</v>
      </c>
      <c r="G50" s="9">
        <f t="shared" si="1"/>
        <v>43804</v>
      </c>
      <c r="H50" s="10">
        <f t="shared" si="2"/>
        <v>3.6597</v>
      </c>
      <c r="U50" s="11">
        <v>43860</v>
      </c>
      <c r="V50">
        <v>3.5044</v>
      </c>
      <c r="W50"/>
      <c r="X50"/>
      <c r="Y50"/>
      <c r="Z50"/>
      <c r="AA50"/>
      <c r="AB50"/>
      <c r="AC50"/>
      <c r="AD50"/>
      <c r="AE50"/>
      <c r="AF50"/>
      <c r="AG50"/>
      <c r="AH50"/>
      <c r="AI50">
        <v>3.3294000000000001</v>
      </c>
      <c r="AJ50"/>
      <c r="AK50">
        <v>3.3289</v>
      </c>
      <c r="AL50"/>
      <c r="AM50">
        <v>3.1027999999999998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>
        <v>3.3908999999999998</v>
      </c>
      <c r="BB50"/>
      <c r="BC50"/>
      <c r="BD50"/>
      <c r="BE50"/>
      <c r="BF50"/>
      <c r="BG50">
        <v>3.6181999999999999</v>
      </c>
      <c r="BH50"/>
      <c r="BI50"/>
      <c r="BJ50">
        <v>3.37</v>
      </c>
      <c r="BK50">
        <v>4.0384000000000002</v>
      </c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>
        <v>3.1331000000000002</v>
      </c>
      <c r="CM50"/>
      <c r="CN50"/>
      <c r="CO50">
        <v>3.431</v>
      </c>
      <c r="CP50"/>
      <c r="CQ50"/>
      <c r="CR50">
        <v>2.7732000000000001</v>
      </c>
      <c r="CS50"/>
      <c r="CT50">
        <v>3.4114</v>
      </c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>
        <v>3.6697000000000002</v>
      </c>
      <c r="DT50"/>
      <c r="DU50"/>
      <c r="DV50"/>
      <c r="DW50"/>
      <c r="DX50"/>
      <c r="DY50"/>
      <c r="DZ50"/>
      <c r="EA50"/>
      <c r="EB50"/>
      <c r="EC50"/>
      <c r="ED50"/>
      <c r="EE50">
        <v>3.7</v>
      </c>
      <c r="EF50"/>
      <c r="EG50"/>
      <c r="EH50"/>
      <c r="EI50">
        <v>4.0347999999999997</v>
      </c>
      <c r="EJ50"/>
      <c r="EK50">
        <v>3.1644000000000001</v>
      </c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</row>
    <row r="51" spans="1:271" ht="15" x14ac:dyDescent="0.25">
      <c r="A51" s="1">
        <v>139</v>
      </c>
      <c r="B51" s="1" t="str">
        <v>2019-12-05</v>
      </c>
      <c r="C51" s="1">
        <v>3.8041999999999998</v>
      </c>
      <c r="F51" s="8">
        <f t="shared" si="0"/>
        <v>139</v>
      </c>
      <c r="G51" s="9">
        <f t="shared" si="1"/>
        <v>43804</v>
      </c>
      <c r="H51" s="10">
        <f t="shared" si="2"/>
        <v>3.8041999999999998</v>
      </c>
      <c r="U51" s="11">
        <v>43861</v>
      </c>
      <c r="V51">
        <v>3.5044</v>
      </c>
      <c r="W51"/>
      <c r="X51">
        <v>3.2570000000000001</v>
      </c>
      <c r="Y51">
        <v>3.39</v>
      </c>
      <c r="Z51">
        <v>2.9998</v>
      </c>
      <c r="AA51">
        <v>3.4220999999999999</v>
      </c>
      <c r="AB51"/>
      <c r="AC51">
        <v>3.4</v>
      </c>
      <c r="AD51">
        <v>3.4994999999999998</v>
      </c>
      <c r="AE51"/>
      <c r="AF51">
        <v>3.7526999999999999</v>
      </c>
      <c r="AG51">
        <v>2.9173</v>
      </c>
      <c r="AH51">
        <v>3.2464</v>
      </c>
      <c r="AI51"/>
      <c r="AJ51">
        <v>3.1949999999999998</v>
      </c>
      <c r="AK51">
        <v>3.2875000000000001</v>
      </c>
      <c r="AL51">
        <v>3.1124999999999998</v>
      </c>
      <c r="AM51">
        <v>3.2056</v>
      </c>
      <c r="AN51"/>
      <c r="AO51">
        <v>3.4428000000000001</v>
      </c>
      <c r="AP51"/>
      <c r="AQ51"/>
      <c r="AR51"/>
      <c r="AS51">
        <v>3.5666000000000002</v>
      </c>
      <c r="AT51">
        <v>3.8</v>
      </c>
      <c r="AU51">
        <v>3.2153999999999998</v>
      </c>
      <c r="AV51">
        <v>3.4424999999999999</v>
      </c>
      <c r="AW51">
        <v>3.6777000000000002</v>
      </c>
      <c r="AX51">
        <v>3.1747000000000001</v>
      </c>
      <c r="AY51">
        <v>3.3498000000000001</v>
      </c>
      <c r="AZ51"/>
      <c r="BA51"/>
      <c r="BB51"/>
      <c r="BC51"/>
      <c r="BD51"/>
      <c r="BE51">
        <v>3.3292999999999999</v>
      </c>
      <c r="BF51"/>
      <c r="BG51"/>
      <c r="BH51"/>
      <c r="BI51">
        <v>3.4013</v>
      </c>
      <c r="BJ51">
        <v>3.2564000000000002</v>
      </c>
      <c r="BK51"/>
      <c r="BL51"/>
      <c r="BM51">
        <v>3.5768</v>
      </c>
      <c r="BN51"/>
      <c r="BO51"/>
      <c r="BP51"/>
      <c r="BQ51">
        <v>3.1953</v>
      </c>
      <c r="BR51"/>
      <c r="BS51"/>
      <c r="BT51"/>
      <c r="BU51"/>
      <c r="BV51"/>
      <c r="BW51"/>
      <c r="BX51"/>
      <c r="BY51">
        <v>3.6802000000000001</v>
      </c>
      <c r="BZ51">
        <v>3.2360000000000002</v>
      </c>
      <c r="CA51">
        <v>3.2469000000000001</v>
      </c>
      <c r="CB51"/>
      <c r="CC51"/>
      <c r="CD51"/>
      <c r="CE51"/>
      <c r="CF51">
        <v>2.7538</v>
      </c>
      <c r="CG51"/>
      <c r="CH51"/>
      <c r="CI51">
        <v>3.1023999999999998</v>
      </c>
      <c r="CJ51">
        <v>3.3083</v>
      </c>
      <c r="CK51"/>
      <c r="CL51">
        <v>3.1671999999999998</v>
      </c>
      <c r="CM51"/>
      <c r="CN51">
        <v>3.3079000000000001</v>
      </c>
      <c r="CO51">
        <v>3.431</v>
      </c>
      <c r="CP51">
        <v>3.1530999999999998</v>
      </c>
      <c r="CQ51">
        <v>3.2486000000000002</v>
      </c>
      <c r="CR51"/>
      <c r="CS51"/>
      <c r="CT51">
        <v>3.3496999999999999</v>
      </c>
      <c r="CU51"/>
      <c r="CV51"/>
      <c r="CW51">
        <v>3.2667999999999999</v>
      </c>
      <c r="CX51"/>
      <c r="CY51"/>
      <c r="CZ51"/>
      <c r="DA51"/>
      <c r="DB51"/>
      <c r="DC51"/>
      <c r="DD51"/>
      <c r="DE51">
        <v>3.0310999999999999</v>
      </c>
      <c r="DF51"/>
      <c r="DG51"/>
      <c r="DH51"/>
      <c r="DI51"/>
      <c r="DJ51"/>
      <c r="DK51">
        <v>3.2469999999999999</v>
      </c>
      <c r="DL51">
        <v>3.4</v>
      </c>
      <c r="DM51"/>
      <c r="DN51"/>
      <c r="DO51"/>
      <c r="DP51"/>
      <c r="DQ51"/>
      <c r="DR51">
        <v>3.3502000000000001</v>
      </c>
      <c r="DS51">
        <v>3.6698</v>
      </c>
      <c r="DT51"/>
      <c r="DU51"/>
      <c r="DV51"/>
      <c r="DW51"/>
      <c r="DX51">
        <v>3.3178999999999998</v>
      </c>
      <c r="DY51">
        <v>3.3593000000000002</v>
      </c>
      <c r="DZ51"/>
      <c r="EA51"/>
      <c r="EB51"/>
      <c r="EC51"/>
      <c r="ED51"/>
      <c r="EE51"/>
      <c r="EF51"/>
      <c r="EG51"/>
      <c r="EH51"/>
      <c r="EI51"/>
      <c r="EJ51"/>
      <c r="EK51">
        <v>3.1128999999999998</v>
      </c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</row>
    <row r="52" spans="1:271" ht="15" x14ac:dyDescent="0.25">
      <c r="A52" s="1">
        <v>24</v>
      </c>
      <c r="B52" s="1" t="str">
        <v>2019-12-05</v>
      </c>
      <c r="C52" s="1">
        <v>3.8456000000000001</v>
      </c>
      <c r="F52" s="8">
        <f t="shared" si="0"/>
        <v>24</v>
      </c>
      <c r="G52" s="9">
        <f t="shared" si="1"/>
        <v>43804</v>
      </c>
      <c r="H52" s="10">
        <f t="shared" si="2"/>
        <v>3.8456000000000001</v>
      </c>
      <c r="U52" s="11">
        <v>43864</v>
      </c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>
        <v>3.6389999999999998</v>
      </c>
      <c r="AQ52"/>
      <c r="AR52"/>
      <c r="AS52"/>
      <c r="AT52"/>
      <c r="AU52"/>
      <c r="AV52"/>
      <c r="AW52"/>
      <c r="AX52"/>
      <c r="AY52"/>
      <c r="AZ52">
        <v>3.5</v>
      </c>
      <c r="BA52"/>
      <c r="BB52"/>
      <c r="BC52"/>
      <c r="BD52"/>
      <c r="BE52"/>
      <c r="BF52"/>
      <c r="BG52"/>
      <c r="BH52"/>
      <c r="BI52"/>
      <c r="BJ52">
        <v>3.2254</v>
      </c>
      <c r="BK52"/>
      <c r="BL52"/>
      <c r="BM52"/>
      <c r="BN52"/>
      <c r="BO52"/>
      <c r="BP52"/>
      <c r="BQ52"/>
      <c r="BR52"/>
      <c r="BS52"/>
      <c r="BT52"/>
      <c r="BU52">
        <v>3.407</v>
      </c>
      <c r="BV52"/>
      <c r="BW52"/>
      <c r="BX52"/>
      <c r="BY52"/>
      <c r="BZ52"/>
      <c r="CA52"/>
      <c r="CB52"/>
      <c r="CC52">
        <v>3.1023000000000001</v>
      </c>
      <c r="CD52"/>
      <c r="CE52"/>
      <c r="CF52"/>
      <c r="CG52"/>
      <c r="CH52">
        <v>3.4630000000000001</v>
      </c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>
        <v>3.3089</v>
      </c>
      <c r="DS52"/>
      <c r="DT52">
        <v>3.0306999999999999</v>
      </c>
      <c r="DU52"/>
      <c r="DV52"/>
      <c r="DW52"/>
      <c r="DX52">
        <v>3.2355</v>
      </c>
      <c r="DY52"/>
      <c r="DZ52"/>
      <c r="EA52">
        <v>3.7113</v>
      </c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</row>
    <row r="53" spans="1:271" ht="15" x14ac:dyDescent="0.25">
      <c r="A53" s="1">
        <v>171</v>
      </c>
      <c r="B53" s="1" t="str">
        <v>2019-12-05</v>
      </c>
      <c r="C53" s="1">
        <v>3.5144000000000002</v>
      </c>
      <c r="F53" s="8">
        <f t="shared" si="0"/>
        <v>171</v>
      </c>
      <c r="G53" s="9">
        <f t="shared" si="1"/>
        <v>43804</v>
      </c>
      <c r="H53" s="10">
        <f t="shared" si="2"/>
        <v>3.5144000000000002</v>
      </c>
      <c r="U53" s="11">
        <v>43865</v>
      </c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>
        <v>3.1543999999999999</v>
      </c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>
        <v>3.3079000000000001</v>
      </c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>
        <v>3.3372999999999999</v>
      </c>
      <c r="DD53"/>
      <c r="DE53"/>
      <c r="DF53"/>
      <c r="DG53"/>
      <c r="DH53">
        <v>3.2774999999999999</v>
      </c>
      <c r="DI53"/>
      <c r="DJ53"/>
      <c r="DK53"/>
      <c r="DL53"/>
      <c r="DM53"/>
      <c r="DN53"/>
      <c r="DO53"/>
      <c r="DP53"/>
      <c r="DQ53"/>
      <c r="DR53">
        <v>3.2883</v>
      </c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>
        <v>3.5</v>
      </c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</row>
    <row r="54" spans="1:271" ht="15" x14ac:dyDescent="0.25">
      <c r="A54" s="1">
        <v>16</v>
      </c>
      <c r="B54" s="1" t="str">
        <v>2019-12-05</v>
      </c>
      <c r="C54" s="1">
        <v>3.39</v>
      </c>
      <c r="F54" s="8">
        <f t="shared" si="0"/>
        <v>16</v>
      </c>
      <c r="G54" s="9">
        <f t="shared" si="1"/>
        <v>43804</v>
      </c>
      <c r="H54" s="10">
        <f t="shared" si="2"/>
        <v>3.39</v>
      </c>
      <c r="U54" s="11">
        <v>43866</v>
      </c>
      <c r="V54"/>
      <c r="W54"/>
      <c r="X54"/>
      <c r="Y54"/>
      <c r="Z54"/>
      <c r="AA54"/>
      <c r="AB54"/>
      <c r="AC54"/>
      <c r="AD54">
        <v>3.4683999999999999</v>
      </c>
      <c r="AE54"/>
      <c r="AF54"/>
      <c r="AG54"/>
      <c r="AH54"/>
      <c r="AI54"/>
      <c r="AJ54"/>
      <c r="AK54"/>
      <c r="AL54"/>
      <c r="AM54"/>
      <c r="AN54">
        <v>3.5451999999999999</v>
      </c>
      <c r="AO54"/>
      <c r="AP54"/>
      <c r="AQ54"/>
      <c r="AR54"/>
      <c r="AS54"/>
      <c r="AT54"/>
      <c r="AU54"/>
      <c r="AV54"/>
      <c r="AW54"/>
      <c r="AX54"/>
      <c r="AY54"/>
      <c r="AZ54"/>
      <c r="BA54">
        <v>3.3908999999999998</v>
      </c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>
        <v>3.1848999999999998</v>
      </c>
      <c r="BR54"/>
      <c r="BS54"/>
      <c r="BT54"/>
      <c r="BU54"/>
      <c r="BV54">
        <v>3.3803999999999998</v>
      </c>
      <c r="BW54"/>
      <c r="BX54"/>
      <c r="BY54">
        <v>3.5457000000000001</v>
      </c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</row>
    <row r="55" spans="1:271" ht="15" x14ac:dyDescent="0.25">
      <c r="A55" s="1">
        <v>30400</v>
      </c>
      <c r="B55" s="1" t="str">
        <v>2019-12-05</v>
      </c>
      <c r="C55" s="1">
        <v>3.2366000000000001</v>
      </c>
      <c r="F55" s="8">
        <f t="shared" si="0"/>
        <v>30400</v>
      </c>
      <c r="G55" s="9">
        <f t="shared" si="1"/>
        <v>43804</v>
      </c>
      <c r="H55" s="10">
        <f t="shared" si="2"/>
        <v>3.2366000000000001</v>
      </c>
      <c r="U55" s="11">
        <v>43867</v>
      </c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>
        <v>3.6181999999999999</v>
      </c>
      <c r="BH55"/>
      <c r="BI55"/>
      <c r="BJ55"/>
      <c r="BK55"/>
      <c r="BL55"/>
      <c r="BM55"/>
      <c r="BN55"/>
      <c r="BO55"/>
      <c r="BP55"/>
      <c r="BQ55">
        <v>3.1848999999999998</v>
      </c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>
        <v>3.2875000000000001</v>
      </c>
      <c r="DN55"/>
      <c r="DO55"/>
      <c r="DP55"/>
      <c r="DQ55"/>
      <c r="DR55">
        <v>3.3913000000000002</v>
      </c>
      <c r="DS55"/>
      <c r="DT55"/>
      <c r="DU55"/>
      <c r="DV55"/>
      <c r="DW55"/>
      <c r="DX55"/>
      <c r="DY55"/>
      <c r="DZ55"/>
      <c r="EA55"/>
      <c r="EB55"/>
      <c r="EC55"/>
      <c r="ED55"/>
      <c r="EE55">
        <v>3.7</v>
      </c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</row>
    <row r="56" spans="1:271" ht="15" x14ac:dyDescent="0.25">
      <c r="A56" s="1">
        <v>1</v>
      </c>
      <c r="B56" s="1" t="str">
        <v>2019-12-05</v>
      </c>
      <c r="C56" s="1">
        <v>3.7008999999999999</v>
      </c>
      <c r="F56" s="8">
        <f t="shared" si="0"/>
        <v>1</v>
      </c>
      <c r="G56" s="9">
        <f t="shared" si="1"/>
        <v>43804</v>
      </c>
      <c r="H56" s="10">
        <f t="shared" si="2"/>
        <v>3.7008999999999999</v>
      </c>
      <c r="U56" s="11">
        <v>43868</v>
      </c>
      <c r="V56"/>
      <c r="W56"/>
      <c r="X56"/>
      <c r="Y56">
        <v>3.2149000000000001</v>
      </c>
      <c r="Z56"/>
      <c r="AA56"/>
      <c r="AB56"/>
      <c r="AC56"/>
      <c r="AD56">
        <v>3.3241000000000001</v>
      </c>
      <c r="AE56"/>
      <c r="AF56"/>
      <c r="AG56">
        <v>2.8862999999999999</v>
      </c>
      <c r="AH56"/>
      <c r="AI56">
        <v>3.1747999999999998</v>
      </c>
      <c r="AJ56"/>
      <c r="AK56"/>
      <c r="AL56"/>
      <c r="AM56"/>
      <c r="AN56"/>
      <c r="AO56"/>
      <c r="AP56">
        <v>3.2469000000000001</v>
      </c>
      <c r="AQ56"/>
      <c r="AR56"/>
      <c r="AS56"/>
      <c r="AT56"/>
      <c r="AU56"/>
      <c r="AV56">
        <v>3.3502000000000001</v>
      </c>
      <c r="AW56">
        <v>3.6898</v>
      </c>
      <c r="AX56"/>
      <c r="AY56"/>
      <c r="AZ56"/>
      <c r="BA56">
        <v>3.3702999999999999</v>
      </c>
      <c r="BB56"/>
      <c r="BC56"/>
      <c r="BD56"/>
      <c r="BE56"/>
      <c r="BF56"/>
      <c r="BG56"/>
      <c r="BH56"/>
      <c r="BI56"/>
      <c r="BJ56"/>
      <c r="BK56">
        <v>3.6432000000000002</v>
      </c>
      <c r="BL56"/>
      <c r="BM56">
        <v>3.4944000000000002</v>
      </c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>
        <v>2.6717</v>
      </c>
      <c r="CG56"/>
      <c r="CH56"/>
      <c r="CI56">
        <v>3.0510000000000002</v>
      </c>
      <c r="CJ56"/>
      <c r="CK56"/>
      <c r="CL56"/>
      <c r="CM56"/>
      <c r="CN56"/>
      <c r="CO56"/>
      <c r="CP56"/>
      <c r="CQ56"/>
      <c r="CR56">
        <v>2.6604000000000001</v>
      </c>
      <c r="CS56"/>
      <c r="CT56">
        <v>3.0609999999999999</v>
      </c>
      <c r="CU56"/>
      <c r="CV56"/>
      <c r="CW56"/>
      <c r="CX56"/>
      <c r="CY56"/>
      <c r="CZ56">
        <v>3.5</v>
      </c>
      <c r="DA56"/>
      <c r="DB56"/>
      <c r="DC56"/>
      <c r="DD56"/>
      <c r="DE56">
        <v>2.8872</v>
      </c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>
        <v>2.9988000000000001</v>
      </c>
      <c r="DY56"/>
      <c r="DZ56"/>
      <c r="EA56"/>
      <c r="EB56"/>
      <c r="EC56"/>
      <c r="ED56"/>
      <c r="EE56">
        <v>3.5</v>
      </c>
      <c r="EF56"/>
      <c r="EG56"/>
      <c r="EH56"/>
      <c r="EI56">
        <v>4.0160999999999998</v>
      </c>
      <c r="EJ56"/>
      <c r="EK56">
        <v>3.1949000000000001</v>
      </c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</row>
    <row r="57" spans="1:271" ht="15" x14ac:dyDescent="0.25">
      <c r="A57" s="1">
        <v>191</v>
      </c>
      <c r="B57" s="1" t="str">
        <v>2019-12-05</v>
      </c>
      <c r="C57" s="1">
        <v>3.7418</v>
      </c>
      <c r="F57" s="8">
        <f t="shared" si="0"/>
        <v>191</v>
      </c>
      <c r="G57" s="9">
        <f t="shared" si="1"/>
        <v>43804</v>
      </c>
      <c r="H57" s="10">
        <f t="shared" si="2"/>
        <v>3.7418</v>
      </c>
      <c r="U57" s="11">
        <v>43871</v>
      </c>
      <c r="V57"/>
      <c r="W57"/>
      <c r="X57">
        <v>3.2158000000000002</v>
      </c>
      <c r="Y57"/>
      <c r="Z57"/>
      <c r="AA57"/>
      <c r="AB57"/>
      <c r="AC57"/>
      <c r="AD57"/>
      <c r="AE57"/>
      <c r="AF57"/>
      <c r="AG57"/>
      <c r="AH57">
        <v>3.0815000000000001</v>
      </c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>
        <v>3.5</v>
      </c>
      <c r="BO57"/>
      <c r="BP57"/>
      <c r="BQ57">
        <v>3.0306000000000002</v>
      </c>
      <c r="BR57"/>
      <c r="BS57"/>
      <c r="BT57"/>
      <c r="BU57">
        <v>3.1959</v>
      </c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>
        <v>2.9072</v>
      </c>
      <c r="CT57"/>
      <c r="CU57"/>
      <c r="CV57"/>
      <c r="CW57"/>
      <c r="CX57"/>
      <c r="CY57">
        <v>3.3538999999999999</v>
      </c>
      <c r="CZ57"/>
      <c r="DA57"/>
      <c r="DB57"/>
      <c r="DC57">
        <v>3.1337000000000002</v>
      </c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>
        <v>3.2881999999999998</v>
      </c>
      <c r="DS57"/>
      <c r="DT57"/>
      <c r="DU57"/>
      <c r="DV57">
        <v>3.4428000000000001</v>
      </c>
      <c r="DW57"/>
      <c r="DX57"/>
      <c r="DY57"/>
      <c r="DZ57"/>
      <c r="EA57"/>
      <c r="EB57"/>
      <c r="EC57"/>
      <c r="ED57"/>
      <c r="EE57">
        <v>3.3</v>
      </c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</row>
    <row r="58" spans="1:271" ht="15" x14ac:dyDescent="0.25">
      <c r="A58" s="1">
        <v>98</v>
      </c>
      <c r="B58" s="1" t="str">
        <v>2019-12-05</v>
      </c>
      <c r="C58" s="1">
        <v>3.4841000000000002</v>
      </c>
      <c r="F58" s="8">
        <f t="shared" si="0"/>
        <v>98</v>
      </c>
      <c r="G58" s="9">
        <f t="shared" si="1"/>
        <v>43804</v>
      </c>
      <c r="H58" s="10">
        <f t="shared" si="2"/>
        <v>3.4841000000000002</v>
      </c>
      <c r="U58" s="11">
        <v>43872</v>
      </c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>
        <v>3.2056</v>
      </c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>
        <v>3.9695999999999998</v>
      </c>
      <c r="DB58"/>
      <c r="DC58"/>
      <c r="DD58"/>
      <c r="DE58"/>
      <c r="DF58"/>
      <c r="DG58"/>
      <c r="DH58"/>
      <c r="DI58"/>
      <c r="DJ58"/>
      <c r="DK58">
        <v>3.2161</v>
      </c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>
        <v>3.0507</v>
      </c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</row>
    <row r="59" spans="1:271" ht="15" x14ac:dyDescent="0.25">
      <c r="A59" s="1">
        <v>32280</v>
      </c>
      <c r="B59" s="1" t="str">
        <v>2019-12-05</v>
      </c>
      <c r="C59" s="1">
        <v>3.7</v>
      </c>
      <c r="F59" s="8">
        <f t="shared" si="0"/>
        <v>32280</v>
      </c>
      <c r="G59" s="9">
        <f t="shared" si="1"/>
        <v>43804</v>
      </c>
      <c r="H59" s="10">
        <f t="shared" si="2"/>
        <v>3.7</v>
      </c>
      <c r="U59" s="11">
        <v>43873</v>
      </c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>
        <v>3.3089</v>
      </c>
      <c r="DS59"/>
      <c r="DT59"/>
      <c r="DU59"/>
      <c r="DV59"/>
      <c r="DW59">
        <v>3.1353</v>
      </c>
      <c r="DX59">
        <v>3.0609000000000002</v>
      </c>
      <c r="DY59"/>
      <c r="DZ59">
        <v>4.0526</v>
      </c>
      <c r="EA59"/>
      <c r="EB59"/>
      <c r="EC59"/>
      <c r="ED59"/>
      <c r="EE59">
        <v>3.3</v>
      </c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</row>
    <row r="60" spans="1:271" ht="15" x14ac:dyDescent="0.25">
      <c r="A60" s="1">
        <v>32603</v>
      </c>
      <c r="B60" s="1" t="str">
        <v>2019-12-05</v>
      </c>
      <c r="C60" s="1">
        <v>3.5243000000000002</v>
      </c>
      <c r="F60" s="8">
        <f t="shared" si="0"/>
        <v>32603</v>
      </c>
      <c r="G60" s="9">
        <f t="shared" si="1"/>
        <v>43804</v>
      </c>
      <c r="H60" s="10">
        <f t="shared" si="2"/>
        <v>3.5243000000000002</v>
      </c>
      <c r="U60" s="11">
        <v>43874</v>
      </c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>
        <v>3.2980999999999998</v>
      </c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>
        <v>3.7</v>
      </c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</row>
    <row r="61" spans="1:271" ht="15" x14ac:dyDescent="0.25">
      <c r="A61" s="1">
        <v>157</v>
      </c>
      <c r="B61" s="1" t="str">
        <v>2019-12-05</v>
      </c>
      <c r="C61" s="1">
        <v>3.85</v>
      </c>
      <c r="F61" s="8">
        <f t="shared" si="0"/>
        <v>157</v>
      </c>
      <c r="G61" s="9">
        <f t="shared" si="1"/>
        <v>43804</v>
      </c>
      <c r="H61" s="10">
        <f t="shared" si="2"/>
        <v>3.85</v>
      </c>
      <c r="U61" s="11">
        <v>43875</v>
      </c>
      <c r="V61"/>
      <c r="W61"/>
      <c r="X61"/>
      <c r="Y61">
        <v>3.2149000000000001</v>
      </c>
      <c r="Z61"/>
      <c r="AA61"/>
      <c r="AB61"/>
      <c r="AC61"/>
      <c r="AD61">
        <v>3.4735999999999998</v>
      </c>
      <c r="AE61"/>
      <c r="AF61"/>
      <c r="AG61">
        <v>2.9994999999999998</v>
      </c>
      <c r="AH61"/>
      <c r="AI61">
        <v>3.2160000000000002</v>
      </c>
      <c r="AJ61">
        <v>3.1745000000000001</v>
      </c>
      <c r="AK61"/>
      <c r="AL61"/>
      <c r="AM61"/>
      <c r="AN61"/>
      <c r="AO61"/>
      <c r="AP61">
        <v>3.2469000000000001</v>
      </c>
      <c r="AQ61"/>
      <c r="AR61"/>
      <c r="AS61"/>
      <c r="AT61"/>
      <c r="AU61"/>
      <c r="AV61">
        <v>3.3502000000000001</v>
      </c>
      <c r="AW61">
        <v>3.597</v>
      </c>
      <c r="AX61">
        <v>3.1949999999999998</v>
      </c>
      <c r="AY61"/>
      <c r="AZ61"/>
      <c r="BA61"/>
      <c r="BB61"/>
      <c r="BC61"/>
      <c r="BD61"/>
      <c r="BE61"/>
      <c r="BF61"/>
      <c r="BG61"/>
      <c r="BH61"/>
      <c r="BI61"/>
      <c r="BJ61"/>
      <c r="BK61">
        <v>3.6432000000000002</v>
      </c>
      <c r="BL61"/>
      <c r="BM61">
        <v>3.4944000000000002</v>
      </c>
      <c r="BN61"/>
      <c r="BO61"/>
      <c r="BP61">
        <v>3.5457000000000001</v>
      </c>
      <c r="BQ61">
        <v>3.0306000000000002</v>
      </c>
      <c r="BR61"/>
      <c r="BS61"/>
      <c r="BT61">
        <v>3.5663</v>
      </c>
      <c r="BU61"/>
      <c r="BV61">
        <v>3.0510000000000002</v>
      </c>
      <c r="BW61"/>
      <c r="BX61"/>
      <c r="BY61"/>
      <c r="BZ61"/>
      <c r="CA61"/>
      <c r="CB61"/>
      <c r="CC61">
        <v>2.9685999999999999</v>
      </c>
      <c r="CD61"/>
      <c r="CE61"/>
      <c r="CF61"/>
      <c r="CG61"/>
      <c r="CH61"/>
      <c r="CI61"/>
      <c r="CJ61"/>
      <c r="CK61"/>
      <c r="CL61"/>
      <c r="CM61"/>
      <c r="CN61"/>
      <c r="CO61"/>
      <c r="CP61"/>
      <c r="CQ61">
        <v>3.1034000000000002</v>
      </c>
      <c r="CR61"/>
      <c r="CS61"/>
      <c r="CT61"/>
      <c r="CU61"/>
      <c r="CV61"/>
      <c r="CW61">
        <v>3.1741999999999999</v>
      </c>
      <c r="CX61"/>
      <c r="CY61"/>
      <c r="CZ61"/>
      <c r="DA61"/>
      <c r="DB61">
        <v>3.0594999999999999</v>
      </c>
      <c r="DC61"/>
      <c r="DD61"/>
      <c r="DE61"/>
      <c r="DF61">
        <v>3.1646999999999998</v>
      </c>
      <c r="DG61"/>
      <c r="DH61"/>
      <c r="DI61"/>
      <c r="DJ61"/>
      <c r="DK61"/>
      <c r="DL61"/>
      <c r="DM61"/>
      <c r="DN61"/>
      <c r="DO61"/>
      <c r="DP61"/>
      <c r="DQ61"/>
      <c r="DR61"/>
      <c r="DS61">
        <v>3.5560999999999998</v>
      </c>
      <c r="DT61"/>
      <c r="DU61"/>
      <c r="DV61"/>
      <c r="DW61"/>
      <c r="DX61"/>
      <c r="DY61"/>
      <c r="DZ61"/>
      <c r="EA61"/>
      <c r="EB61"/>
      <c r="EC61">
        <v>3.0510000000000002</v>
      </c>
      <c r="ED61"/>
      <c r="EE61"/>
      <c r="EF61"/>
      <c r="EG61"/>
      <c r="EH61"/>
      <c r="EI61">
        <v>4.0160999999999998</v>
      </c>
      <c r="EJ61"/>
      <c r="EK61">
        <v>3.0306999999999999</v>
      </c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</row>
    <row r="62" spans="1:271" ht="15" x14ac:dyDescent="0.25">
      <c r="A62" s="1">
        <v>72</v>
      </c>
      <c r="B62" s="1" t="str">
        <v>2019-12-05</v>
      </c>
      <c r="C62" s="1">
        <v>3.5663</v>
      </c>
      <c r="F62" s="8">
        <f t="shared" si="0"/>
        <v>72</v>
      </c>
      <c r="G62" s="9">
        <f t="shared" si="1"/>
        <v>43804</v>
      </c>
      <c r="H62" s="10">
        <f t="shared" si="2"/>
        <v>3.5663</v>
      </c>
      <c r="U62" s="11">
        <v>43878</v>
      </c>
      <c r="V62">
        <v>3.2056</v>
      </c>
      <c r="W62"/>
      <c r="X62">
        <v>3.1951999999999998</v>
      </c>
      <c r="Y62"/>
      <c r="Z62"/>
      <c r="AA62">
        <v>3.2366000000000001</v>
      </c>
      <c r="AB62"/>
      <c r="AC62"/>
      <c r="AD62">
        <v>3.4424999999999999</v>
      </c>
      <c r="AE62"/>
      <c r="AF62"/>
      <c r="AG62"/>
      <c r="AH62"/>
      <c r="AI62"/>
      <c r="AJ62"/>
      <c r="AK62"/>
      <c r="AL62"/>
      <c r="AM62"/>
      <c r="AN62">
        <v>3.2158000000000002</v>
      </c>
      <c r="AO62"/>
      <c r="AP62"/>
      <c r="AQ62"/>
      <c r="AR62"/>
      <c r="AS62"/>
      <c r="AT62">
        <v>3.35</v>
      </c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>
        <v>3.5</v>
      </c>
      <c r="BO62"/>
      <c r="BP62"/>
      <c r="BQ62"/>
      <c r="BR62"/>
      <c r="BS62">
        <v>3.1436999999999999</v>
      </c>
      <c r="BT62"/>
      <c r="BU62">
        <v>3.2357</v>
      </c>
      <c r="BV62"/>
      <c r="BW62"/>
      <c r="BX62"/>
      <c r="BY62"/>
      <c r="BZ62"/>
      <c r="CA62"/>
      <c r="CB62">
        <v>3.0202</v>
      </c>
      <c r="CC62"/>
      <c r="CD62"/>
      <c r="CE62"/>
      <c r="CF62"/>
      <c r="CG62"/>
      <c r="CH62"/>
      <c r="CI62"/>
      <c r="CJ62"/>
      <c r="CK62"/>
      <c r="CL62"/>
      <c r="CM62"/>
      <c r="CN62">
        <v>3.1637</v>
      </c>
      <c r="CO62"/>
      <c r="CP62"/>
      <c r="CQ62"/>
      <c r="CR62"/>
      <c r="CS62"/>
      <c r="CT62"/>
      <c r="CU62"/>
      <c r="CV62"/>
      <c r="CW62"/>
      <c r="CX62"/>
      <c r="CY62"/>
      <c r="CZ62">
        <v>3.5</v>
      </c>
      <c r="DA62"/>
      <c r="DB62"/>
      <c r="DC62">
        <v>3.1644999999999999</v>
      </c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</row>
    <row r="63" spans="1:271" ht="15" x14ac:dyDescent="0.25">
      <c r="A63" s="1">
        <v>32863</v>
      </c>
      <c r="B63" s="1" t="str">
        <v>2019-12-06</v>
      </c>
      <c r="C63" s="1">
        <v>3.2658</v>
      </c>
      <c r="F63" s="8">
        <f t="shared" si="0"/>
        <v>32863</v>
      </c>
      <c r="G63" s="9">
        <f t="shared" si="1"/>
        <v>43805</v>
      </c>
      <c r="H63" s="10">
        <f t="shared" si="2"/>
        <v>3.2658</v>
      </c>
      <c r="U63" s="11">
        <v>43879</v>
      </c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>
        <v>3.1027999999999998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>
        <v>3.2568000000000001</v>
      </c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</row>
    <row r="64" spans="1:271" ht="15" x14ac:dyDescent="0.25">
      <c r="A64" s="1">
        <v>67</v>
      </c>
      <c r="B64" s="1" t="str">
        <v>2019-12-06</v>
      </c>
      <c r="C64" s="1">
        <v>3.4630000000000001</v>
      </c>
      <c r="F64" s="8">
        <f t="shared" si="0"/>
        <v>67</v>
      </c>
      <c r="G64" s="9">
        <f t="shared" si="1"/>
        <v>43805</v>
      </c>
      <c r="H64" s="10">
        <f t="shared" si="2"/>
        <v>3.4630000000000001</v>
      </c>
      <c r="U64" s="11">
        <v>43880</v>
      </c>
      <c r="V64"/>
      <c r="W64"/>
      <c r="X64"/>
      <c r="Y64"/>
      <c r="Z64"/>
      <c r="AA64"/>
      <c r="AB64"/>
      <c r="AC64"/>
      <c r="AD64">
        <v>3.5249999999999999</v>
      </c>
      <c r="AE64"/>
      <c r="AF64"/>
      <c r="AG64">
        <v>3.1230000000000002</v>
      </c>
      <c r="AH64"/>
      <c r="AI64"/>
      <c r="AJ64"/>
      <c r="AK64"/>
      <c r="AL64"/>
      <c r="AM64"/>
      <c r="AN64"/>
      <c r="AO64"/>
      <c r="AP64"/>
      <c r="AQ64"/>
      <c r="AR64">
        <v>2.9794999999999998</v>
      </c>
      <c r="AS64"/>
      <c r="AT64"/>
      <c r="AU64"/>
      <c r="AV64"/>
      <c r="AW64"/>
      <c r="AX64"/>
      <c r="AY64"/>
      <c r="AZ64"/>
      <c r="BA64"/>
      <c r="BB64"/>
      <c r="BC64"/>
      <c r="BD64">
        <v>3.3601000000000001</v>
      </c>
      <c r="BE64"/>
      <c r="BF64"/>
      <c r="BG64"/>
      <c r="BH64">
        <v>2.5994000000000002</v>
      </c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>
        <v>3.0609999999999999</v>
      </c>
      <c r="CU64"/>
      <c r="CV64"/>
      <c r="CW64"/>
      <c r="CX64"/>
      <c r="CY64"/>
      <c r="CZ64"/>
      <c r="DA64"/>
      <c r="DB64"/>
      <c r="DC64"/>
      <c r="DD64"/>
      <c r="DE64">
        <v>2.8872</v>
      </c>
      <c r="DF64"/>
      <c r="DG64"/>
      <c r="DH64"/>
      <c r="DI64"/>
      <c r="DJ64"/>
      <c r="DK64"/>
      <c r="DL64"/>
      <c r="DM64"/>
      <c r="DN64"/>
      <c r="DO64"/>
      <c r="DP64"/>
      <c r="DQ64"/>
      <c r="DR64">
        <v>3.2161</v>
      </c>
      <c r="DS64"/>
      <c r="DT64">
        <v>3.1337000000000002</v>
      </c>
      <c r="DU64"/>
      <c r="DV64"/>
      <c r="DW64"/>
      <c r="DX64"/>
      <c r="DY64"/>
      <c r="DZ64"/>
      <c r="EA64"/>
      <c r="EB64">
        <v>3.0562999999999998</v>
      </c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</row>
    <row r="65" spans="1:271" ht="15" x14ac:dyDescent="0.25">
      <c r="A65" s="1">
        <v>143</v>
      </c>
      <c r="B65" s="1" t="str">
        <v>2019-12-06</v>
      </c>
      <c r="C65" s="1">
        <v>3.5</v>
      </c>
      <c r="F65" s="8">
        <f t="shared" si="0"/>
        <v>143</v>
      </c>
      <c r="G65" s="9">
        <f t="shared" si="1"/>
        <v>43805</v>
      </c>
      <c r="H65" s="10">
        <f t="shared" si="2"/>
        <v>3.5</v>
      </c>
      <c r="U65" s="11">
        <v>43881</v>
      </c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>
        <v>2.9276</v>
      </c>
      <c r="DN65"/>
      <c r="DO65"/>
      <c r="DP65"/>
      <c r="DQ65"/>
      <c r="DR65"/>
      <c r="DS65"/>
      <c r="DT65"/>
      <c r="DU65">
        <v>3.6</v>
      </c>
      <c r="DV65"/>
      <c r="DW65"/>
      <c r="DX65"/>
      <c r="DY65"/>
      <c r="DZ65"/>
      <c r="EA65"/>
      <c r="EB65"/>
      <c r="EC65"/>
      <c r="ED65"/>
      <c r="EE65">
        <v>3.2</v>
      </c>
      <c r="EF65"/>
      <c r="EG65"/>
      <c r="EH65"/>
      <c r="EI65"/>
      <c r="EJ65">
        <v>3.3083999999999998</v>
      </c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</row>
    <row r="66" spans="1:271" ht="15" x14ac:dyDescent="0.25">
      <c r="A66" s="1">
        <v>32360</v>
      </c>
      <c r="B66" s="1" t="str">
        <v>2019-12-06</v>
      </c>
      <c r="C66" s="1">
        <v>3.5977999999999999</v>
      </c>
      <c r="F66" s="8">
        <f t="shared" si="0"/>
        <v>32360</v>
      </c>
      <c r="G66" s="9">
        <f t="shared" si="1"/>
        <v>43805</v>
      </c>
      <c r="H66" s="10">
        <f t="shared" si="2"/>
        <v>3.5977999999999999</v>
      </c>
      <c r="U66" s="11">
        <v>43882</v>
      </c>
      <c r="V66"/>
      <c r="W66"/>
      <c r="X66">
        <v>3.2776999999999998</v>
      </c>
      <c r="Y66">
        <v>3.2149000000000001</v>
      </c>
      <c r="Z66"/>
      <c r="AA66"/>
      <c r="AB66"/>
      <c r="AC66">
        <v>3.4</v>
      </c>
      <c r="AD66">
        <v>3.5249999999999999</v>
      </c>
      <c r="AE66"/>
      <c r="AF66">
        <v>3.4525000000000001</v>
      </c>
      <c r="AG66">
        <v>2.9895999999999998</v>
      </c>
      <c r="AH66">
        <v>3.1432000000000002</v>
      </c>
      <c r="AI66">
        <v>3.2160000000000002</v>
      </c>
      <c r="AJ66"/>
      <c r="AK66">
        <v>3.1949000000000001</v>
      </c>
      <c r="AL66"/>
      <c r="AM66"/>
      <c r="AN66"/>
      <c r="AO66"/>
      <c r="AP66"/>
      <c r="AQ66"/>
      <c r="AR66"/>
      <c r="AS66">
        <v>3.298</v>
      </c>
      <c r="AT66"/>
      <c r="AU66"/>
      <c r="AV66">
        <v>3.4026000000000001</v>
      </c>
      <c r="AW66"/>
      <c r="AX66">
        <v>3.1438999999999999</v>
      </c>
      <c r="AY66">
        <v>2.8974000000000002</v>
      </c>
      <c r="AZ66"/>
      <c r="BA66">
        <v>3.4424999999999999</v>
      </c>
      <c r="BB66"/>
      <c r="BC66"/>
      <c r="BD66"/>
      <c r="BE66"/>
      <c r="BF66"/>
      <c r="BG66">
        <v>3.4529000000000001</v>
      </c>
      <c r="BH66">
        <v>2.8864999999999998</v>
      </c>
      <c r="BI66">
        <v>3.2467000000000001</v>
      </c>
      <c r="BJ66"/>
      <c r="BK66">
        <v>3.6429999999999998</v>
      </c>
      <c r="BL66"/>
      <c r="BM66"/>
      <c r="BN66"/>
      <c r="BO66"/>
      <c r="BP66"/>
      <c r="BQ66">
        <v>3.0716999999999999</v>
      </c>
      <c r="BR66"/>
      <c r="BS66">
        <v>3.1539999999999999</v>
      </c>
      <c r="BT66"/>
      <c r="BU66"/>
      <c r="BV66"/>
      <c r="BW66">
        <v>3.3188</v>
      </c>
      <c r="BX66"/>
      <c r="BY66">
        <v>3.1949000000000001</v>
      </c>
      <c r="BZ66"/>
      <c r="CA66"/>
      <c r="CB66"/>
      <c r="CC66">
        <v>2.9174000000000002</v>
      </c>
      <c r="CD66">
        <v>3.63</v>
      </c>
      <c r="CE66"/>
      <c r="CF66">
        <v>2.6815000000000002</v>
      </c>
      <c r="CG66"/>
      <c r="CH66">
        <v>3.2155</v>
      </c>
      <c r="CI66"/>
      <c r="CJ66"/>
      <c r="CK66"/>
      <c r="CL66">
        <v>3.1023999999999998</v>
      </c>
      <c r="CM66"/>
      <c r="CN66"/>
      <c r="CO66">
        <v>3.2042000000000002</v>
      </c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>
        <v>3.2572999999999999</v>
      </c>
      <c r="DS66">
        <v>3.4218000000000002</v>
      </c>
      <c r="DT66">
        <v>3.1850999999999998</v>
      </c>
      <c r="DU66"/>
      <c r="DV66"/>
      <c r="DW66"/>
      <c r="DX66">
        <v>2.9887000000000001</v>
      </c>
      <c r="DY66"/>
      <c r="DZ66">
        <v>4.0526</v>
      </c>
      <c r="EA66"/>
      <c r="EB66"/>
      <c r="EC66"/>
      <c r="ED66"/>
      <c r="EE66"/>
      <c r="EF66"/>
      <c r="EG66"/>
      <c r="EH66">
        <v>3.2671000000000001</v>
      </c>
      <c r="EI66"/>
      <c r="EJ66"/>
      <c r="EK66"/>
      <c r="EL66"/>
      <c r="EM66"/>
      <c r="EN66"/>
      <c r="EO66"/>
      <c r="EP66"/>
      <c r="EQ66"/>
      <c r="ER66"/>
      <c r="ES66"/>
      <c r="ET66"/>
      <c r="EU66">
        <v>-9999999</v>
      </c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</row>
    <row r="67" spans="1:271" ht="15" x14ac:dyDescent="0.25">
      <c r="A67" s="1">
        <v>33103</v>
      </c>
      <c r="B67" s="1" t="str">
        <v>2019-12-06</v>
      </c>
      <c r="C67" s="1">
        <v>4.0210999999999997</v>
      </c>
      <c r="F67" s="8">
        <f t="shared" si="0"/>
        <v>33103</v>
      </c>
      <c r="G67" s="9">
        <f t="shared" si="1"/>
        <v>43805</v>
      </c>
      <c r="H67" s="10">
        <f t="shared" si="2"/>
        <v>4.0210999999999997</v>
      </c>
      <c r="U67" s="11">
        <v>43883</v>
      </c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>
        <v>9999999</v>
      </c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</row>
    <row r="68" spans="1:271" ht="15" x14ac:dyDescent="0.25">
      <c r="A68" s="1">
        <v>28</v>
      </c>
      <c r="B68" s="1" t="str">
        <v>2019-12-06</v>
      </c>
      <c r="C68" s="1">
        <v>3.5042</v>
      </c>
      <c r="F68" s="8">
        <f t="shared" si="0"/>
        <v>28</v>
      </c>
      <c r="G68" s="9">
        <f t="shared" si="1"/>
        <v>43805</v>
      </c>
      <c r="H68" s="10">
        <f t="shared" si="2"/>
        <v>3.5042</v>
      </c>
      <c r="U68" s="11">
        <v>43887</v>
      </c>
      <c r="V68"/>
      <c r="W68"/>
      <c r="X68"/>
      <c r="Y68"/>
      <c r="Z68"/>
      <c r="AA68"/>
      <c r="AB68">
        <v>3.0204</v>
      </c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>
        <v>3.0409000000000002</v>
      </c>
      <c r="BD68"/>
      <c r="BE68"/>
      <c r="BF68"/>
      <c r="BG68"/>
      <c r="BH68"/>
      <c r="BI68"/>
      <c r="BJ68"/>
      <c r="BK68"/>
      <c r="BL68">
        <v>3.3603999999999998</v>
      </c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>
        <v>3.2366999999999999</v>
      </c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</row>
    <row r="69" spans="1:271" ht="15" x14ac:dyDescent="0.25">
      <c r="A69" s="1">
        <v>31</v>
      </c>
      <c r="B69" s="1" t="str">
        <v>2019-12-06</v>
      </c>
      <c r="C69" s="1">
        <v>3.6</v>
      </c>
      <c r="F69" s="8">
        <f t="shared" si="0"/>
        <v>31</v>
      </c>
      <c r="G69" s="9">
        <f t="shared" si="1"/>
        <v>43805</v>
      </c>
      <c r="H69" s="10">
        <f t="shared" si="2"/>
        <v>3.6</v>
      </c>
      <c r="U69" s="11">
        <v>43888</v>
      </c>
      <c r="V69"/>
      <c r="W69"/>
      <c r="X69"/>
      <c r="Y69"/>
      <c r="Z69"/>
      <c r="AA69"/>
      <c r="AB69">
        <v>3</v>
      </c>
      <c r="AC69"/>
      <c r="AD69"/>
      <c r="AE69">
        <v>3.2265000000000001</v>
      </c>
      <c r="AF69"/>
      <c r="AG69"/>
      <c r="AH69"/>
      <c r="AI69"/>
      <c r="AJ69"/>
      <c r="AK69"/>
      <c r="AL69"/>
      <c r="AM69"/>
      <c r="AN69">
        <v>3.2158000000000002</v>
      </c>
      <c r="AO69"/>
      <c r="AP69"/>
      <c r="AQ69"/>
      <c r="AR69"/>
      <c r="AS69">
        <v>3.3908999999999998</v>
      </c>
      <c r="AT69"/>
      <c r="AU69"/>
      <c r="AV69"/>
      <c r="AW69"/>
      <c r="AX69"/>
      <c r="AY69"/>
      <c r="AZ69"/>
      <c r="BA69">
        <v>3.4424999999999999</v>
      </c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>
        <v>3.4014000000000002</v>
      </c>
      <c r="CL69"/>
      <c r="CM69"/>
      <c r="CN69"/>
      <c r="CO69"/>
      <c r="CP69"/>
      <c r="CQ69"/>
      <c r="CR69"/>
      <c r="CS69">
        <v>2.9072</v>
      </c>
      <c r="CT69"/>
      <c r="CU69"/>
      <c r="CV69"/>
      <c r="CW69"/>
      <c r="CX69"/>
      <c r="CY69"/>
      <c r="CZ69"/>
      <c r="DA69"/>
      <c r="DB69"/>
      <c r="DC69">
        <v>3.1492</v>
      </c>
      <c r="DD69"/>
      <c r="DE69"/>
      <c r="DF69"/>
      <c r="DG69"/>
      <c r="DH69"/>
      <c r="DI69"/>
      <c r="DJ69"/>
      <c r="DK69"/>
      <c r="DL69"/>
      <c r="DM69"/>
      <c r="DN69"/>
      <c r="DO69"/>
      <c r="DP69">
        <v>3.5143</v>
      </c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</row>
    <row r="70" spans="1:271" ht="15" x14ac:dyDescent="0.25">
      <c r="A70" s="1">
        <v>33023</v>
      </c>
      <c r="B70" s="1" t="str">
        <v>2019-12-06</v>
      </c>
      <c r="C70" s="1">
        <v>4</v>
      </c>
      <c r="F70" s="8">
        <f t="shared" si="0"/>
        <v>33023</v>
      </c>
      <c r="G70" s="9">
        <f t="shared" si="1"/>
        <v>43805</v>
      </c>
      <c r="H70" s="10">
        <f t="shared" si="2"/>
        <v>4</v>
      </c>
      <c r="U70" s="11">
        <v>43889</v>
      </c>
      <c r="V70"/>
      <c r="W70"/>
      <c r="X70">
        <v>3.3290999999999999</v>
      </c>
      <c r="Y70">
        <v>3.2149000000000001</v>
      </c>
      <c r="Z70"/>
      <c r="AA70"/>
      <c r="AB70"/>
      <c r="AC70"/>
      <c r="AD70"/>
      <c r="AE70"/>
      <c r="AF70"/>
      <c r="AG70">
        <v>2.8868999999999998</v>
      </c>
      <c r="AH70"/>
      <c r="AI70"/>
      <c r="AJ70"/>
      <c r="AK70"/>
      <c r="AL70"/>
      <c r="AM70"/>
      <c r="AN70"/>
      <c r="AO70"/>
      <c r="AP70">
        <v>3.2469000000000001</v>
      </c>
      <c r="AQ70"/>
      <c r="AR70"/>
      <c r="AS70"/>
      <c r="AT70"/>
      <c r="AU70"/>
      <c r="AV70">
        <v>3.4013</v>
      </c>
      <c r="AW70"/>
      <c r="AX70"/>
      <c r="AY70">
        <v>3.0514000000000001</v>
      </c>
      <c r="AZ70"/>
      <c r="BA70"/>
      <c r="BB70"/>
      <c r="BC70"/>
      <c r="BD70">
        <v>3.2568999999999999</v>
      </c>
      <c r="BE70"/>
      <c r="BF70"/>
      <c r="BG70"/>
      <c r="BH70"/>
      <c r="BI70"/>
      <c r="BJ70">
        <v>2.9379</v>
      </c>
      <c r="BK70">
        <v>3.6429999999999998</v>
      </c>
      <c r="BL70"/>
      <c r="BM70">
        <v>3.5047999999999999</v>
      </c>
      <c r="BN70"/>
      <c r="BO70"/>
      <c r="BP70"/>
      <c r="BQ70">
        <v>3.0512999999999999</v>
      </c>
      <c r="BR70"/>
      <c r="BS70">
        <v>3.1128</v>
      </c>
      <c r="BT70"/>
      <c r="BU70"/>
      <c r="BV70">
        <v>3.0823</v>
      </c>
      <c r="BW70">
        <v>3.3188</v>
      </c>
      <c r="BX70">
        <v>3.1884000000000001</v>
      </c>
      <c r="BY70">
        <v>3.133</v>
      </c>
      <c r="BZ70"/>
      <c r="CA70"/>
      <c r="CB70"/>
      <c r="CC70">
        <v>2.9171999999999998</v>
      </c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>
        <v>3.1844000000000001</v>
      </c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>
        <v>3.1440000000000001</v>
      </c>
      <c r="DS70"/>
      <c r="DT70"/>
      <c r="DU70"/>
      <c r="DV70"/>
      <c r="DW70"/>
      <c r="DX70">
        <v>3.0295999999999998</v>
      </c>
      <c r="DY70"/>
      <c r="DZ70">
        <v>4.1565000000000003</v>
      </c>
      <c r="EA70"/>
      <c r="EB70"/>
      <c r="EC70"/>
      <c r="ED70">
        <v>3</v>
      </c>
      <c r="EE70">
        <v>3</v>
      </c>
      <c r="EF70"/>
      <c r="EG70"/>
      <c r="EH70"/>
      <c r="EI70">
        <v>3.9413</v>
      </c>
      <c r="EJ70"/>
      <c r="EK70">
        <v>2.9384000000000001</v>
      </c>
      <c r="EL70"/>
      <c r="EM70"/>
      <c r="EN70"/>
      <c r="EO70">
        <v>2.8250000000000002</v>
      </c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</row>
    <row r="71" spans="1:271" ht="15" x14ac:dyDescent="0.25">
      <c r="A71" s="1">
        <v>37</v>
      </c>
      <c r="B71" s="1" t="str">
        <v>2019-12-06</v>
      </c>
      <c r="C71" s="1">
        <v>3.7734999999999999</v>
      </c>
      <c r="F71" s="8">
        <f t="shared" si="0"/>
        <v>37</v>
      </c>
      <c r="G71" s="9">
        <f t="shared" si="1"/>
        <v>43805</v>
      </c>
      <c r="H71" s="10">
        <f t="shared" si="2"/>
        <v>3.7734999999999999</v>
      </c>
      <c r="U71" s="11">
        <v>43892</v>
      </c>
      <c r="V71"/>
      <c r="W71"/>
      <c r="X71"/>
      <c r="Y71"/>
      <c r="Z71">
        <v>3.2980999999999998</v>
      </c>
      <c r="AA71"/>
      <c r="AB71"/>
      <c r="AC71"/>
      <c r="AD71"/>
      <c r="AE71"/>
      <c r="AF71"/>
      <c r="AG71">
        <v>2.8252000000000002</v>
      </c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>
        <v>3.2589999999999999</v>
      </c>
      <c r="BV71"/>
      <c r="BW71"/>
      <c r="BX71">
        <v>3.0188000000000001</v>
      </c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>
        <v>3.2</v>
      </c>
      <c r="CV71"/>
      <c r="CW71"/>
      <c r="CX71"/>
      <c r="CY71"/>
      <c r="CZ71"/>
      <c r="DA71"/>
      <c r="DB71"/>
      <c r="DC71">
        <v>3.0442</v>
      </c>
      <c r="DD71"/>
      <c r="DE71"/>
      <c r="DF71"/>
      <c r="DG71"/>
      <c r="DH71"/>
      <c r="DI71"/>
      <c r="DJ71"/>
      <c r="DK71"/>
      <c r="DL71"/>
      <c r="DM71"/>
      <c r="DN71"/>
      <c r="DO71">
        <v>3.4636999999999998</v>
      </c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>
        <v>2.9070999999999998</v>
      </c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</row>
    <row r="72" spans="1:271" ht="15" x14ac:dyDescent="0.25">
      <c r="A72" s="1">
        <v>99</v>
      </c>
      <c r="B72" s="1" t="str">
        <v>2019-12-06</v>
      </c>
      <c r="C72" s="1">
        <v>3.9802</v>
      </c>
      <c r="F72" s="8">
        <f t="shared" si="0"/>
        <v>99</v>
      </c>
      <c r="G72" s="9">
        <f t="shared" si="1"/>
        <v>43805</v>
      </c>
      <c r="H72" s="10">
        <f t="shared" si="2"/>
        <v>3.9802</v>
      </c>
      <c r="U72" s="11">
        <v>43893</v>
      </c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>
        <v>3.0411000000000001</v>
      </c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>
        <v>3.2665999999999999</v>
      </c>
      <c r="CP72"/>
      <c r="CQ72"/>
      <c r="CR72">
        <v>2.6604000000000001</v>
      </c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</row>
    <row r="73" spans="1:271" ht="15" x14ac:dyDescent="0.25">
      <c r="A73" s="1">
        <v>115</v>
      </c>
      <c r="B73" s="1" t="str">
        <v>2019-12-06</v>
      </c>
      <c r="C73" s="1">
        <v>3.6177999999999999</v>
      </c>
      <c r="F73" s="8">
        <f t="shared" ref="F73:F136" si="3">A73</f>
        <v>115</v>
      </c>
      <c r="G73" s="9">
        <f t="shared" ref="G73:G136" si="4">DATE(LEFT(B73,4),MID(B73,6,2),RIGHT(B73,2))</f>
        <v>43805</v>
      </c>
      <c r="H73" s="10">
        <f t="shared" ref="H73:H136" si="5">C73</f>
        <v>3.6177999999999999</v>
      </c>
      <c r="U73" s="11">
        <v>43894</v>
      </c>
      <c r="V73"/>
      <c r="W73"/>
      <c r="X73"/>
      <c r="Y73"/>
      <c r="Z73"/>
      <c r="AA73"/>
      <c r="AB73"/>
      <c r="AC73"/>
      <c r="AD73"/>
      <c r="AE73"/>
      <c r="AF73"/>
      <c r="AG73">
        <v>2.7330000000000001</v>
      </c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>
        <v>3.3187000000000002</v>
      </c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>
        <v>3.5457000000000001</v>
      </c>
      <c r="BQ73"/>
      <c r="BR73"/>
      <c r="BS73"/>
      <c r="BT73"/>
      <c r="BU73"/>
      <c r="BV73"/>
      <c r="BW73"/>
      <c r="BX73"/>
      <c r="BY73"/>
      <c r="BZ73"/>
      <c r="CA73"/>
      <c r="CB73"/>
      <c r="CC73">
        <v>2.9171999999999998</v>
      </c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>
        <v>2.7530000000000001</v>
      </c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>
        <v>3.0203000000000002</v>
      </c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</row>
    <row r="74" spans="1:271" ht="15" x14ac:dyDescent="0.25">
      <c r="A74" s="1">
        <v>24</v>
      </c>
      <c r="B74" s="1" t="str">
        <v>2019-12-06</v>
      </c>
      <c r="C74" s="1">
        <v>3.7627000000000002</v>
      </c>
      <c r="F74" s="8">
        <f t="shared" si="3"/>
        <v>24</v>
      </c>
      <c r="G74" s="9">
        <f t="shared" si="4"/>
        <v>43805</v>
      </c>
      <c r="H74" s="10">
        <f t="shared" si="5"/>
        <v>3.7627000000000002</v>
      </c>
      <c r="U74" s="11">
        <v>43895</v>
      </c>
      <c r="V74"/>
      <c r="W74"/>
      <c r="X74"/>
      <c r="Y74"/>
      <c r="Z74"/>
      <c r="AA74"/>
      <c r="AB74"/>
      <c r="AC74"/>
      <c r="AD74">
        <v>3.4014000000000002</v>
      </c>
      <c r="AE74"/>
      <c r="AF74"/>
      <c r="AG74"/>
      <c r="AH74"/>
      <c r="AI74"/>
      <c r="AJ74"/>
      <c r="AK74">
        <v>3.3290999999999999</v>
      </c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>
        <v>3.4424999999999999</v>
      </c>
      <c r="BB74"/>
      <c r="BC74"/>
      <c r="BD74"/>
      <c r="BE74"/>
      <c r="BF74"/>
      <c r="BG74">
        <v>3.4426000000000001</v>
      </c>
      <c r="BH74"/>
      <c r="BI74"/>
      <c r="BJ74">
        <v>2.61</v>
      </c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>
        <v>3.133</v>
      </c>
      <c r="BZ74"/>
      <c r="CA74"/>
      <c r="CB74"/>
      <c r="CC74"/>
      <c r="CD74"/>
      <c r="CE74"/>
      <c r="CF74"/>
      <c r="CG74"/>
      <c r="CH74"/>
      <c r="CI74">
        <v>2.9998</v>
      </c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>
        <v>3.1646999999999998</v>
      </c>
      <c r="DG74"/>
      <c r="DH74"/>
      <c r="DI74"/>
      <c r="DJ74">
        <v>3.2052999999999998</v>
      </c>
      <c r="DK74"/>
      <c r="DL74"/>
      <c r="DM74"/>
      <c r="DN74"/>
      <c r="DO74"/>
      <c r="DP74"/>
      <c r="DQ74"/>
      <c r="DR74">
        <v>3.1440000000000001</v>
      </c>
      <c r="DS74"/>
      <c r="DT74"/>
      <c r="DU74"/>
      <c r="DV74"/>
      <c r="DW74"/>
      <c r="DX74"/>
      <c r="DY74">
        <v>2.9272</v>
      </c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>
        <v>3.6</v>
      </c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</row>
    <row r="75" spans="1:271" ht="15" x14ac:dyDescent="0.25">
      <c r="A75" s="1">
        <v>171</v>
      </c>
      <c r="B75" s="1" t="str">
        <v>2019-12-06</v>
      </c>
      <c r="C75" s="1">
        <v>3.5144000000000002</v>
      </c>
      <c r="F75" s="8">
        <f t="shared" si="3"/>
        <v>171</v>
      </c>
      <c r="G75" s="9">
        <f t="shared" si="4"/>
        <v>43805</v>
      </c>
      <c r="H75" s="10">
        <f t="shared" si="5"/>
        <v>3.5144000000000002</v>
      </c>
      <c r="U75" s="11">
        <v>43896</v>
      </c>
      <c r="V75"/>
      <c r="W75"/>
      <c r="X75"/>
      <c r="Y75"/>
      <c r="Z75"/>
      <c r="AA75"/>
      <c r="AB75"/>
      <c r="AC75"/>
      <c r="AD75"/>
      <c r="AE75"/>
      <c r="AF75"/>
      <c r="AG75">
        <v>2.8151000000000002</v>
      </c>
      <c r="AH75"/>
      <c r="AI75"/>
      <c r="AJ75"/>
      <c r="AK75">
        <v>3.2568999999999999</v>
      </c>
      <c r="AL75"/>
      <c r="AM75">
        <v>2.9897999999999998</v>
      </c>
      <c r="AN75"/>
      <c r="AO75">
        <v>3.2982999999999998</v>
      </c>
      <c r="AP75">
        <v>3.1953999999999998</v>
      </c>
      <c r="AQ75"/>
      <c r="AR75"/>
      <c r="AS75"/>
      <c r="AT75"/>
      <c r="AU75"/>
      <c r="AV75">
        <v>3.5045999999999999</v>
      </c>
      <c r="AW75"/>
      <c r="AX75">
        <v>3.0821000000000001</v>
      </c>
      <c r="AY75"/>
      <c r="AZ75"/>
      <c r="BA75"/>
      <c r="BB75"/>
      <c r="BC75"/>
      <c r="BD75"/>
      <c r="BE75"/>
      <c r="BF75"/>
      <c r="BG75"/>
      <c r="BH75"/>
      <c r="BI75"/>
      <c r="BJ75"/>
      <c r="BK75">
        <v>3.6429999999999998</v>
      </c>
      <c r="BL75"/>
      <c r="BM75">
        <v>3.3088000000000002</v>
      </c>
      <c r="BN75"/>
      <c r="BO75"/>
      <c r="BP75"/>
      <c r="BQ75"/>
      <c r="BR75"/>
      <c r="BS75">
        <v>3.1128</v>
      </c>
      <c r="BT75">
        <v>3.3184999999999998</v>
      </c>
      <c r="BU75"/>
      <c r="BV75"/>
      <c r="BW75">
        <v>3.2467999999999999</v>
      </c>
      <c r="BX75"/>
      <c r="BY75"/>
      <c r="BZ75">
        <v>3.1640999999999999</v>
      </c>
      <c r="CA75"/>
      <c r="CB75"/>
      <c r="CC75">
        <v>2.8456000000000001</v>
      </c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>
        <v>3.1644000000000001</v>
      </c>
      <c r="CY75"/>
      <c r="CZ75">
        <v>3.5</v>
      </c>
      <c r="DA75"/>
      <c r="DB75"/>
      <c r="DC75"/>
      <c r="DD75"/>
      <c r="DE75"/>
      <c r="DF75"/>
      <c r="DG75"/>
      <c r="DH75"/>
      <c r="DI75"/>
      <c r="DJ75"/>
      <c r="DK75"/>
      <c r="DL75">
        <v>3.05</v>
      </c>
      <c r="DM75"/>
      <c r="DN75"/>
      <c r="DO75"/>
      <c r="DP75"/>
      <c r="DQ75"/>
      <c r="DR75"/>
      <c r="DS75"/>
      <c r="DT75">
        <v>2.9382000000000001</v>
      </c>
      <c r="DU75"/>
      <c r="DV75"/>
      <c r="DW75"/>
      <c r="DX75">
        <v>2.8864000000000001</v>
      </c>
      <c r="DY75"/>
      <c r="DZ75"/>
      <c r="EA75"/>
      <c r="EB75"/>
      <c r="EC75"/>
      <c r="ED75"/>
      <c r="EE75">
        <v>3</v>
      </c>
      <c r="EF75"/>
      <c r="EG75"/>
      <c r="EH75"/>
      <c r="EI75">
        <v>3.9413</v>
      </c>
      <c r="EJ75"/>
      <c r="EK75"/>
      <c r="EL75">
        <v>2.9070999999999998</v>
      </c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</row>
    <row r="76" spans="1:271" ht="15" x14ac:dyDescent="0.25">
      <c r="A76" s="1">
        <v>55</v>
      </c>
      <c r="B76" s="1" t="str">
        <v>2019-12-06</v>
      </c>
      <c r="C76" s="1">
        <v>3.55</v>
      </c>
      <c r="F76" s="8">
        <f t="shared" si="3"/>
        <v>55</v>
      </c>
      <c r="G76" s="9">
        <f t="shared" si="4"/>
        <v>43805</v>
      </c>
      <c r="H76" s="10">
        <f t="shared" si="5"/>
        <v>3.55</v>
      </c>
      <c r="U76" s="11">
        <v>43899</v>
      </c>
      <c r="V76"/>
      <c r="W76"/>
      <c r="X76">
        <v>3.2158000000000002</v>
      </c>
      <c r="Y76"/>
      <c r="Z76"/>
      <c r="AA76"/>
      <c r="AB76"/>
      <c r="AC76"/>
      <c r="AD76"/>
      <c r="AE76"/>
      <c r="AF76"/>
      <c r="AG76"/>
      <c r="AH76">
        <v>3.1844999999999999</v>
      </c>
      <c r="AI76"/>
      <c r="AJ76"/>
      <c r="AK76"/>
      <c r="AL76"/>
      <c r="AM76"/>
      <c r="AN76"/>
      <c r="AO76"/>
      <c r="AP76"/>
      <c r="AQ76"/>
      <c r="AR76"/>
      <c r="AS76">
        <v>3.298</v>
      </c>
      <c r="AT76">
        <v>3.35</v>
      </c>
      <c r="AU76"/>
      <c r="AV76"/>
      <c r="AW76"/>
      <c r="AX76"/>
      <c r="AY76"/>
      <c r="AZ76"/>
      <c r="BA76"/>
      <c r="BB76"/>
      <c r="BC76">
        <v>2.6614</v>
      </c>
      <c r="BD76"/>
      <c r="BE76"/>
      <c r="BF76"/>
      <c r="BG76"/>
      <c r="BH76"/>
      <c r="BI76"/>
      <c r="BJ76">
        <v>2.4567000000000001</v>
      </c>
      <c r="BK76"/>
      <c r="BL76"/>
      <c r="BM76"/>
      <c r="BN76">
        <v>3.3</v>
      </c>
      <c r="BO76"/>
      <c r="BP76"/>
      <c r="BQ76"/>
      <c r="BR76"/>
      <c r="BS76">
        <v>3.1231</v>
      </c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>
        <v>2.4666999999999999</v>
      </c>
      <c r="CO76"/>
      <c r="CP76"/>
      <c r="CQ76"/>
      <c r="CR76"/>
      <c r="CS76"/>
      <c r="CT76"/>
      <c r="CU76"/>
      <c r="CV76"/>
      <c r="CW76"/>
      <c r="CX76">
        <v>2.7534999999999998</v>
      </c>
      <c r="CY76"/>
      <c r="CZ76"/>
      <c r="DA76"/>
      <c r="DB76"/>
      <c r="DC76">
        <v>3.0293000000000001</v>
      </c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>
        <v>2.9178999999999999</v>
      </c>
      <c r="DS76"/>
      <c r="DT76"/>
      <c r="DU76"/>
      <c r="DV76"/>
      <c r="DW76"/>
      <c r="DX76"/>
      <c r="DY76"/>
      <c r="DZ76"/>
      <c r="EA76"/>
      <c r="EB76"/>
      <c r="EC76"/>
      <c r="ED76"/>
      <c r="EE76">
        <v>3</v>
      </c>
      <c r="EF76"/>
      <c r="EG76"/>
      <c r="EH76"/>
      <c r="EI76"/>
      <c r="EJ76"/>
      <c r="EK76">
        <v>2.5689000000000002</v>
      </c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</row>
    <row r="77" spans="1:271" ht="15" x14ac:dyDescent="0.25">
      <c r="A77" s="1">
        <v>32923</v>
      </c>
      <c r="B77" s="1" t="str">
        <v>2019-12-06</v>
      </c>
      <c r="C77" s="1">
        <v>4.0633999999999997</v>
      </c>
      <c r="F77" s="8">
        <f t="shared" si="3"/>
        <v>32923</v>
      </c>
      <c r="G77" s="9">
        <f t="shared" si="4"/>
        <v>43805</v>
      </c>
      <c r="H77" s="10">
        <f t="shared" si="5"/>
        <v>4.0633999999999997</v>
      </c>
      <c r="U77" s="11">
        <v>43900</v>
      </c>
      <c r="V77"/>
      <c r="W77"/>
      <c r="X77"/>
      <c r="Y77"/>
      <c r="Z77"/>
      <c r="AA77"/>
      <c r="AB77"/>
      <c r="AC77"/>
      <c r="AD77"/>
      <c r="AE77"/>
      <c r="AF77"/>
      <c r="AG77">
        <v>2.8151000000000002</v>
      </c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>
        <v>3.2644000000000002</v>
      </c>
      <c r="BV77"/>
      <c r="BW77"/>
      <c r="BX77"/>
      <c r="BY77"/>
      <c r="BZ77"/>
      <c r="CA77"/>
      <c r="CB77"/>
      <c r="CC77">
        <v>2.5994000000000002</v>
      </c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>
        <v>3.5041000000000002</v>
      </c>
      <c r="DB77"/>
      <c r="DC77"/>
      <c r="DD77"/>
      <c r="DE77"/>
      <c r="DF77"/>
      <c r="DG77"/>
      <c r="DH77">
        <v>3.0409999999999999</v>
      </c>
      <c r="DI77">
        <v>3.7</v>
      </c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</row>
    <row r="78" spans="1:271" ht="15" x14ac:dyDescent="0.25">
      <c r="A78" s="1">
        <v>32</v>
      </c>
      <c r="B78" s="1" t="str">
        <v>2019-12-06</v>
      </c>
      <c r="C78" s="1">
        <v>3.6596000000000002</v>
      </c>
      <c r="F78" s="8">
        <f t="shared" si="3"/>
        <v>32</v>
      </c>
      <c r="G78" s="9">
        <f t="shared" si="4"/>
        <v>43805</v>
      </c>
      <c r="H78" s="10">
        <f t="shared" si="5"/>
        <v>3.6596000000000002</v>
      </c>
      <c r="U78" s="11">
        <v>43901</v>
      </c>
      <c r="V78"/>
      <c r="W78">
        <v>3.3189000000000002</v>
      </c>
      <c r="X78"/>
      <c r="Y78"/>
      <c r="Z78"/>
      <c r="AA78"/>
      <c r="AB78"/>
      <c r="AC78"/>
      <c r="AD78">
        <v>3.4788999999999999</v>
      </c>
      <c r="AE78"/>
      <c r="AF78"/>
      <c r="AG78">
        <v>2.9590000000000001</v>
      </c>
      <c r="AH78"/>
      <c r="AI78"/>
      <c r="AJ78"/>
      <c r="AK78"/>
      <c r="AL78"/>
      <c r="AM78">
        <v>3.0306999999999999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>
        <v>2.6922000000000001</v>
      </c>
      <c r="BD78"/>
      <c r="BE78"/>
      <c r="BF78"/>
      <c r="BG78">
        <v>3.2052999999999998</v>
      </c>
      <c r="BH78"/>
      <c r="BI78"/>
      <c r="BJ78">
        <v>2.5589</v>
      </c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>
        <v>2.7635000000000001</v>
      </c>
      <c r="BZ78"/>
      <c r="CA78"/>
      <c r="CB78"/>
      <c r="CC78"/>
      <c r="CD78"/>
      <c r="CE78"/>
      <c r="CF78"/>
      <c r="CG78">
        <v>2.9998999999999998</v>
      </c>
      <c r="CH78"/>
      <c r="CI78"/>
      <c r="CJ78"/>
      <c r="CK78"/>
      <c r="CL78"/>
      <c r="CM78">
        <v>3.0091000000000001</v>
      </c>
      <c r="CN78">
        <v>2.4771000000000001</v>
      </c>
      <c r="CO78"/>
      <c r="CP78">
        <v>2.7734999999999999</v>
      </c>
      <c r="CQ78"/>
      <c r="CR78"/>
      <c r="CS78"/>
      <c r="CT78"/>
      <c r="CU78"/>
      <c r="CV78"/>
      <c r="CW78">
        <v>3.0406</v>
      </c>
      <c r="CX78">
        <v>2.5922000000000001</v>
      </c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>
        <v>2.7124999999999999</v>
      </c>
      <c r="DU78"/>
      <c r="DV78"/>
      <c r="DW78"/>
      <c r="DX78"/>
      <c r="DY78"/>
      <c r="DZ78">
        <v>3.794</v>
      </c>
      <c r="EA78"/>
      <c r="EB78"/>
      <c r="EC78"/>
      <c r="ED78"/>
      <c r="EE78">
        <v>3</v>
      </c>
      <c r="EF78"/>
      <c r="EG78"/>
      <c r="EH78"/>
      <c r="EI78">
        <v>3.9466999999999999</v>
      </c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</row>
    <row r="79" spans="1:271" ht="15" x14ac:dyDescent="0.25">
      <c r="A79" s="1">
        <v>32340</v>
      </c>
      <c r="B79" s="1" t="str">
        <v>2019-12-06</v>
      </c>
      <c r="C79" s="1">
        <v>3.5251999999999999</v>
      </c>
      <c r="F79" s="8">
        <f t="shared" si="3"/>
        <v>32340</v>
      </c>
      <c r="G79" s="9">
        <f t="shared" si="4"/>
        <v>43805</v>
      </c>
      <c r="H79" s="10">
        <f t="shared" si="5"/>
        <v>3.5251999999999999</v>
      </c>
      <c r="U79" s="11">
        <v>43902</v>
      </c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>
        <v>3.2980999999999998</v>
      </c>
      <c r="AL79"/>
      <c r="AM79"/>
      <c r="AN79"/>
      <c r="AO79"/>
      <c r="AP79"/>
      <c r="AQ79">
        <v>3.1027</v>
      </c>
      <c r="AR79"/>
      <c r="AS79">
        <v>3.4117999999999999</v>
      </c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>
        <v>3.0918000000000001</v>
      </c>
      <c r="CA79"/>
      <c r="CB79">
        <v>3.2778999999999998</v>
      </c>
      <c r="CC79"/>
      <c r="CD79"/>
      <c r="CE79"/>
      <c r="CF79"/>
      <c r="CG79"/>
      <c r="CH79"/>
      <c r="CI79"/>
      <c r="CJ79">
        <v>3.3010999999999999</v>
      </c>
      <c r="CK79">
        <v>3.4013</v>
      </c>
      <c r="CL79">
        <v>3.2155999999999998</v>
      </c>
      <c r="CM79"/>
      <c r="CN79"/>
      <c r="CO79"/>
      <c r="CP79"/>
      <c r="CQ79"/>
      <c r="CR79"/>
      <c r="CS79"/>
      <c r="CT79"/>
      <c r="CU79"/>
      <c r="CV79"/>
      <c r="CW79"/>
      <c r="CX79"/>
      <c r="CY79">
        <v>3.2818999999999998</v>
      </c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>
        <v>3.0617999999999999</v>
      </c>
      <c r="DS79"/>
      <c r="DT79">
        <v>2.5179999999999998</v>
      </c>
      <c r="DU79"/>
      <c r="DV79"/>
      <c r="DW79">
        <v>2.9483999999999999</v>
      </c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</row>
    <row r="80" spans="1:271" ht="15" x14ac:dyDescent="0.25">
      <c r="A80" s="1">
        <v>23250</v>
      </c>
      <c r="B80" s="1" t="str">
        <v>2019-12-06</v>
      </c>
      <c r="C80" s="1">
        <v>3.7932000000000001</v>
      </c>
      <c r="F80" s="8">
        <f t="shared" si="3"/>
        <v>23250</v>
      </c>
      <c r="G80" s="9">
        <f t="shared" si="4"/>
        <v>43805</v>
      </c>
      <c r="H80" s="10">
        <f t="shared" si="5"/>
        <v>3.7932000000000001</v>
      </c>
      <c r="U80" s="11">
        <v>43903</v>
      </c>
      <c r="V80">
        <v>3.2056</v>
      </c>
      <c r="W80"/>
      <c r="X80">
        <v>3.1230000000000002</v>
      </c>
      <c r="Y80">
        <v>3.3393999999999999</v>
      </c>
      <c r="Z80">
        <v>3.2984</v>
      </c>
      <c r="AA80">
        <v>3.2471000000000001</v>
      </c>
      <c r="AB80"/>
      <c r="AC80">
        <v>2.9</v>
      </c>
      <c r="AD80">
        <v>3.4788999999999999</v>
      </c>
      <c r="AE80">
        <v>2.8767999999999998</v>
      </c>
      <c r="AF80">
        <v>3.5972</v>
      </c>
      <c r="AG80">
        <v>2.9076</v>
      </c>
      <c r="AH80"/>
      <c r="AI80">
        <v>2.7845</v>
      </c>
      <c r="AJ80">
        <v>2.8355000000000001</v>
      </c>
      <c r="AK80">
        <v>3.0507</v>
      </c>
      <c r="AL80"/>
      <c r="AM80">
        <v>3.1027</v>
      </c>
      <c r="AN80"/>
      <c r="AO80">
        <v>3.113</v>
      </c>
      <c r="AP80"/>
      <c r="AQ80"/>
      <c r="AR80"/>
      <c r="AS80">
        <v>3.4426999999999999</v>
      </c>
      <c r="AT80"/>
      <c r="AU80">
        <v>3.2258</v>
      </c>
      <c r="AV80">
        <v>3.6080000000000001</v>
      </c>
      <c r="AW80">
        <v>3.0411000000000001</v>
      </c>
      <c r="AX80">
        <v>3.0716999999999999</v>
      </c>
      <c r="AY80">
        <v>2.9693999999999998</v>
      </c>
      <c r="AZ80">
        <v>3.1</v>
      </c>
      <c r="BA80"/>
      <c r="BB80"/>
      <c r="BC80"/>
      <c r="BD80"/>
      <c r="BE80">
        <v>2.9277000000000002</v>
      </c>
      <c r="BF80"/>
      <c r="BG80">
        <v>3.2982</v>
      </c>
      <c r="BH80">
        <v>2.589</v>
      </c>
      <c r="BI80">
        <v>2.9382999999999999</v>
      </c>
      <c r="BJ80">
        <v>2.9586000000000001</v>
      </c>
      <c r="BK80">
        <v>3.5943000000000001</v>
      </c>
      <c r="BL80"/>
      <c r="BM80">
        <v>3.2366999999999999</v>
      </c>
      <c r="BN80"/>
      <c r="BO80"/>
      <c r="BP80"/>
      <c r="BQ80">
        <v>2.6305000000000001</v>
      </c>
      <c r="BR80"/>
      <c r="BS80">
        <v>3.4220000000000002</v>
      </c>
      <c r="BT80"/>
      <c r="BU80"/>
      <c r="BV80"/>
      <c r="BW80"/>
      <c r="BX80"/>
      <c r="BY80">
        <v>3.0102000000000002</v>
      </c>
      <c r="BZ80"/>
      <c r="CA80">
        <v>2.5895000000000001</v>
      </c>
      <c r="CB80"/>
      <c r="CC80">
        <v>2.5891999999999999</v>
      </c>
      <c r="CD80">
        <v>3.04</v>
      </c>
      <c r="CE80"/>
      <c r="CF80">
        <v>2.5282</v>
      </c>
      <c r="CG80"/>
      <c r="CH80">
        <v>3.0202</v>
      </c>
      <c r="CI80">
        <v>2.7738</v>
      </c>
      <c r="CJ80">
        <v>3.226</v>
      </c>
      <c r="CK80"/>
      <c r="CL80">
        <v>2.4872999999999998</v>
      </c>
      <c r="CM80"/>
      <c r="CN80">
        <v>2.5998000000000001</v>
      </c>
      <c r="CO80"/>
      <c r="CP80">
        <v>2.7530000000000001</v>
      </c>
      <c r="CQ80">
        <v>2.3986999999999998</v>
      </c>
      <c r="CR80"/>
      <c r="CS80"/>
      <c r="CT80">
        <v>3.2978999999999998</v>
      </c>
      <c r="CU80"/>
      <c r="CV80"/>
      <c r="CW80">
        <v>2.9891999999999999</v>
      </c>
      <c r="CX80">
        <v>2.4121999999999999</v>
      </c>
      <c r="CY80"/>
      <c r="CZ80"/>
      <c r="DA80">
        <v>3.5249000000000001</v>
      </c>
      <c r="DB80"/>
      <c r="DC80"/>
      <c r="DD80"/>
      <c r="DE80"/>
      <c r="DF80">
        <v>2.8972000000000002</v>
      </c>
      <c r="DG80"/>
      <c r="DH80">
        <v>2.9279999999999999</v>
      </c>
      <c r="DI80"/>
      <c r="DJ80">
        <v>2.9586999999999999</v>
      </c>
      <c r="DK80">
        <v>2.62</v>
      </c>
      <c r="DL80">
        <v>2.7</v>
      </c>
      <c r="DM80">
        <v>2.9382000000000001</v>
      </c>
      <c r="DN80"/>
      <c r="DO80"/>
      <c r="DP80"/>
      <c r="DQ80"/>
      <c r="DR80"/>
      <c r="DS80">
        <v>3.3494999999999999</v>
      </c>
      <c r="DT80"/>
      <c r="DU80"/>
      <c r="DV80"/>
      <c r="DW80"/>
      <c r="DX80">
        <v>2.5377000000000001</v>
      </c>
      <c r="DY80">
        <v>3.04</v>
      </c>
      <c r="DZ80"/>
      <c r="EA80"/>
      <c r="EB80"/>
      <c r="EC80"/>
      <c r="ED80"/>
      <c r="EE80"/>
      <c r="EF80"/>
      <c r="EG80"/>
      <c r="EH80"/>
      <c r="EI80"/>
      <c r="EJ80"/>
      <c r="EK80">
        <v>2.7429000000000001</v>
      </c>
      <c r="EL80">
        <v>2.6714000000000002</v>
      </c>
      <c r="EM80">
        <v>2.7431999999999999</v>
      </c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</row>
    <row r="81" spans="1:271" ht="15" x14ac:dyDescent="0.25">
      <c r="A81" s="1">
        <v>196</v>
      </c>
      <c r="B81" s="1" t="str">
        <v>2019-12-06</v>
      </c>
      <c r="C81" s="1">
        <v>3.5047000000000001</v>
      </c>
      <c r="F81" s="8">
        <f t="shared" si="3"/>
        <v>196</v>
      </c>
      <c r="G81" s="9">
        <f t="shared" si="4"/>
        <v>43805</v>
      </c>
      <c r="H81" s="10">
        <f t="shared" si="5"/>
        <v>3.5047000000000001</v>
      </c>
      <c r="U81" s="11">
        <v>43906</v>
      </c>
      <c r="V81"/>
      <c r="W81"/>
      <c r="X81"/>
      <c r="Y81"/>
      <c r="Z81"/>
      <c r="AA81"/>
      <c r="AB81"/>
      <c r="AC81"/>
      <c r="AD81"/>
      <c r="AE81"/>
      <c r="AF81"/>
      <c r="AG81"/>
      <c r="AH81">
        <v>2.7738</v>
      </c>
      <c r="AI81"/>
      <c r="AJ81"/>
      <c r="AK81"/>
      <c r="AL81"/>
      <c r="AM81"/>
      <c r="AN81"/>
      <c r="AO81"/>
      <c r="AP81">
        <v>3.2467999999999999</v>
      </c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>
        <v>3.5943000000000001</v>
      </c>
      <c r="BL81"/>
      <c r="BM81"/>
      <c r="BN81"/>
      <c r="BO81"/>
      <c r="BP81"/>
      <c r="BQ81"/>
      <c r="BR81"/>
      <c r="BS81"/>
      <c r="BT81"/>
      <c r="BU81">
        <v>3.1753</v>
      </c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>
        <v>2.6821000000000002</v>
      </c>
      <c r="DF81"/>
      <c r="DG81"/>
      <c r="DH81"/>
      <c r="DI81"/>
      <c r="DJ81"/>
      <c r="DK81"/>
      <c r="DL81"/>
      <c r="DM81"/>
      <c r="DN81"/>
      <c r="DO81"/>
      <c r="DP81"/>
      <c r="DQ81"/>
      <c r="DR81">
        <v>3.2057000000000002</v>
      </c>
      <c r="DS81"/>
      <c r="DT81"/>
      <c r="DU81"/>
      <c r="DV81"/>
      <c r="DW81"/>
      <c r="DX81">
        <v>2.4455</v>
      </c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</row>
    <row r="82" spans="1:271" ht="15" x14ac:dyDescent="0.25">
      <c r="A82" s="1">
        <v>94</v>
      </c>
      <c r="B82" s="1" t="str">
        <v>2019-12-06</v>
      </c>
      <c r="C82" s="1">
        <v>3.8</v>
      </c>
      <c r="F82" s="8">
        <f t="shared" si="3"/>
        <v>94</v>
      </c>
      <c r="G82" s="9">
        <f t="shared" si="4"/>
        <v>43805</v>
      </c>
      <c r="H82" s="10">
        <f t="shared" si="5"/>
        <v>3.8</v>
      </c>
      <c r="U82" s="11">
        <v>43907</v>
      </c>
      <c r="V82"/>
      <c r="W82"/>
      <c r="X82"/>
      <c r="Y82"/>
      <c r="Z82"/>
      <c r="AA82"/>
      <c r="AB82"/>
      <c r="AC82"/>
      <c r="AD82"/>
      <c r="AE82"/>
      <c r="AF82"/>
      <c r="AG82">
        <v>2.6406000000000001</v>
      </c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>
        <v>3.4630999999999998</v>
      </c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>
        <v>2.9519000000000002</v>
      </c>
      <c r="CN82"/>
      <c r="CO82"/>
      <c r="CP82"/>
      <c r="CQ82"/>
      <c r="CR82"/>
      <c r="CS82"/>
      <c r="CT82"/>
      <c r="CU82"/>
      <c r="CV82"/>
      <c r="CW82"/>
      <c r="CX82">
        <v>2.4121999999999999</v>
      </c>
      <c r="CY82"/>
      <c r="CZ82"/>
      <c r="DA82"/>
      <c r="DB82"/>
      <c r="DC82">
        <v>2.9658000000000002</v>
      </c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</row>
    <row r="83" spans="1:271" ht="15" x14ac:dyDescent="0.25">
      <c r="A83" s="1">
        <v>109</v>
      </c>
      <c r="B83" s="1" t="str">
        <v>2019-12-06</v>
      </c>
      <c r="C83" s="1">
        <v>3.8041999999999998</v>
      </c>
      <c r="F83" s="8">
        <f t="shared" si="3"/>
        <v>109</v>
      </c>
      <c r="G83" s="9">
        <f t="shared" si="4"/>
        <v>43805</v>
      </c>
      <c r="H83" s="10">
        <f t="shared" si="5"/>
        <v>3.8041999999999998</v>
      </c>
      <c r="U83" s="11">
        <v>43908</v>
      </c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>
        <v>3.0615999999999999</v>
      </c>
      <c r="AO83"/>
      <c r="AP83"/>
      <c r="AQ83">
        <v>2.7021999999999999</v>
      </c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>
        <v>2.4121999999999999</v>
      </c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>
        <v>2.2827999999999999</v>
      </c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>
        <v>3.9466999999999999</v>
      </c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</row>
    <row r="84" spans="1:271" ht="15" x14ac:dyDescent="0.25">
      <c r="A84" s="1">
        <v>98</v>
      </c>
      <c r="B84" s="1" t="str">
        <v>2019-12-06</v>
      </c>
      <c r="C84" s="1">
        <v>3.5345</v>
      </c>
      <c r="F84" s="8">
        <f t="shared" si="3"/>
        <v>98</v>
      </c>
      <c r="G84" s="9">
        <f t="shared" si="4"/>
        <v>43805</v>
      </c>
      <c r="H84" s="10">
        <f t="shared" si="5"/>
        <v>3.5345</v>
      </c>
      <c r="U84" s="11">
        <v>43909</v>
      </c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>
        <v>2.9929000000000001</v>
      </c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>
        <v>3.2818999999999998</v>
      </c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>
        <v>2.4142999999999999</v>
      </c>
      <c r="DY84"/>
      <c r="DZ84"/>
      <c r="EA84"/>
      <c r="EB84"/>
      <c r="EC84"/>
      <c r="ED84"/>
      <c r="EE84">
        <v>2.8</v>
      </c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</row>
    <row r="85" spans="1:271" ht="15" x14ac:dyDescent="0.25">
      <c r="A85" s="1">
        <v>147</v>
      </c>
      <c r="B85" s="1" t="str">
        <v>2019-12-06</v>
      </c>
      <c r="C85" s="1">
        <v>3.6585999999999999</v>
      </c>
      <c r="F85" s="8">
        <f t="shared" si="3"/>
        <v>147</v>
      </c>
      <c r="G85" s="9">
        <f t="shared" si="4"/>
        <v>43805</v>
      </c>
      <c r="H85" s="10">
        <f t="shared" si="5"/>
        <v>3.6585999999999999</v>
      </c>
      <c r="U85" s="11">
        <v>43910</v>
      </c>
      <c r="V85">
        <v>3</v>
      </c>
      <c r="W85"/>
      <c r="X85"/>
      <c r="Y85"/>
      <c r="Z85"/>
      <c r="AA85"/>
      <c r="AB85"/>
      <c r="AC85"/>
      <c r="AD85"/>
      <c r="AE85">
        <v>2.5688</v>
      </c>
      <c r="AF85"/>
      <c r="AG85"/>
      <c r="AH85"/>
      <c r="AI85">
        <v>2.6092</v>
      </c>
      <c r="AJ85">
        <v>2.8355000000000001</v>
      </c>
      <c r="AK85">
        <v>2.9377</v>
      </c>
      <c r="AL85"/>
      <c r="AM85"/>
      <c r="AN85"/>
      <c r="AO85"/>
      <c r="AP85">
        <v>3.2467999999999999</v>
      </c>
      <c r="AQ85"/>
      <c r="AR85"/>
      <c r="AS85"/>
      <c r="AT85"/>
      <c r="AU85"/>
      <c r="AV85">
        <v>3.3088000000000002</v>
      </c>
      <c r="AW85">
        <v>2.5078999999999998</v>
      </c>
      <c r="AX85">
        <v>2.8458999999999999</v>
      </c>
      <c r="AY85"/>
      <c r="AZ85"/>
      <c r="BA85">
        <v>3.1642999999999999</v>
      </c>
      <c r="BB85"/>
      <c r="BC85"/>
      <c r="BD85"/>
      <c r="BE85"/>
      <c r="BF85"/>
      <c r="BG85"/>
      <c r="BH85"/>
      <c r="BI85"/>
      <c r="BJ85"/>
      <c r="BK85"/>
      <c r="BL85"/>
      <c r="BM85">
        <v>3.2366999999999999</v>
      </c>
      <c r="BN85"/>
      <c r="BO85"/>
      <c r="BP85"/>
      <c r="BQ85"/>
      <c r="BR85"/>
      <c r="BS85"/>
      <c r="BT85"/>
      <c r="BU85"/>
      <c r="BV85"/>
      <c r="BW85"/>
      <c r="BX85"/>
      <c r="BY85">
        <v>2.9070999999999998</v>
      </c>
      <c r="BZ85">
        <v>2.8140000000000001</v>
      </c>
      <c r="CA85"/>
      <c r="CB85">
        <v>2.4977999999999998</v>
      </c>
      <c r="CC85">
        <v>1.9967999999999999</v>
      </c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>
        <v>2.5787</v>
      </c>
      <c r="CX85"/>
      <c r="CY85"/>
      <c r="CZ85"/>
      <c r="DA85"/>
      <c r="DB85">
        <v>3.2121</v>
      </c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>
        <v>2.3338999999999999</v>
      </c>
      <c r="DS85">
        <v>3.0407999999999999</v>
      </c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>
        <v>3.9466999999999999</v>
      </c>
      <c r="EJ85"/>
      <c r="EK85">
        <v>2.4253</v>
      </c>
      <c r="EL85">
        <v>2.4359000000000002</v>
      </c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</row>
    <row r="86" spans="1:271" ht="15" x14ac:dyDescent="0.25">
      <c r="A86" s="1">
        <v>32081</v>
      </c>
      <c r="B86" s="1" t="str">
        <v>2019-12-06</v>
      </c>
      <c r="C86" s="1">
        <v>3.4527999999999999</v>
      </c>
      <c r="F86" s="8">
        <f t="shared" si="3"/>
        <v>32081</v>
      </c>
      <c r="G86" s="9">
        <f t="shared" si="4"/>
        <v>43805</v>
      </c>
      <c r="H86" s="10">
        <f t="shared" si="5"/>
        <v>3.4527999999999999</v>
      </c>
      <c r="U86" s="11">
        <v>43913</v>
      </c>
      <c r="V86">
        <v>2.8048000000000002</v>
      </c>
      <c r="W86"/>
      <c r="X86"/>
      <c r="Y86"/>
      <c r="Z86"/>
      <c r="AA86"/>
      <c r="AB86"/>
      <c r="AC86"/>
      <c r="AD86"/>
      <c r="AE86">
        <v>2.5688</v>
      </c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>
        <v>3.1</v>
      </c>
      <c r="AU86"/>
      <c r="AV86"/>
      <c r="AW86">
        <v>2.5179999999999998</v>
      </c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>
        <v>3.0785</v>
      </c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>
        <v>2.7130000000000001</v>
      </c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>
        <v>2.3953000000000002</v>
      </c>
      <c r="DS86"/>
      <c r="DT86"/>
      <c r="DU86"/>
      <c r="DV86"/>
      <c r="DW86"/>
      <c r="DX86"/>
      <c r="DY86"/>
      <c r="DZ86"/>
      <c r="EA86">
        <v>2.9885000000000002</v>
      </c>
      <c r="EB86"/>
      <c r="EC86">
        <v>2.8557999999999999</v>
      </c>
      <c r="ED86"/>
      <c r="EE86"/>
      <c r="EF86"/>
      <c r="EG86"/>
      <c r="EH86"/>
      <c r="EI86"/>
      <c r="EJ86"/>
      <c r="EK86"/>
      <c r="EL86"/>
      <c r="EM86">
        <v>2.4357000000000002</v>
      </c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</row>
    <row r="87" spans="1:271" ht="15" x14ac:dyDescent="0.25">
      <c r="A87" s="1">
        <v>32502</v>
      </c>
      <c r="B87" s="1" t="str">
        <v>2019-12-06</v>
      </c>
      <c r="C87" s="1">
        <v>3.2984</v>
      </c>
      <c r="F87" s="8">
        <f t="shared" si="3"/>
        <v>32502</v>
      </c>
      <c r="G87" s="9">
        <f t="shared" si="4"/>
        <v>43805</v>
      </c>
      <c r="H87" s="10">
        <f t="shared" si="5"/>
        <v>3.2984</v>
      </c>
      <c r="U87" s="11">
        <v>43914</v>
      </c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>
        <v>2.6707000000000001</v>
      </c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>
        <v>2.7219000000000002</v>
      </c>
      <c r="BZ87"/>
      <c r="CA87"/>
      <c r="CB87"/>
      <c r="CC87"/>
      <c r="CD87"/>
      <c r="CE87"/>
      <c r="CF87"/>
      <c r="CG87">
        <v>2.7742</v>
      </c>
      <c r="CH87"/>
      <c r="CI87"/>
      <c r="CJ87"/>
      <c r="CK87"/>
      <c r="CL87"/>
      <c r="CM87"/>
      <c r="CN87"/>
      <c r="CO87"/>
      <c r="CP87"/>
      <c r="CQ87"/>
      <c r="CR87">
        <v>1.5689</v>
      </c>
      <c r="CS87"/>
      <c r="CT87"/>
      <c r="CU87"/>
      <c r="CV87"/>
      <c r="CW87"/>
      <c r="CX87"/>
      <c r="CY87"/>
      <c r="CZ87">
        <v>2.2000000000000002</v>
      </c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>
        <v>2.9588000000000001</v>
      </c>
      <c r="DT87">
        <v>1.1739999999999999</v>
      </c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</row>
    <row r="88" spans="1:271" ht="15" x14ac:dyDescent="0.25">
      <c r="A88" s="1">
        <v>30250</v>
      </c>
      <c r="B88" s="1" t="str">
        <v>2019-12-06</v>
      </c>
      <c r="C88" s="1">
        <v>3.5045999999999999</v>
      </c>
      <c r="F88" s="8">
        <f t="shared" si="3"/>
        <v>30250</v>
      </c>
      <c r="G88" s="9">
        <f t="shared" si="4"/>
        <v>43805</v>
      </c>
      <c r="H88" s="10">
        <f t="shared" si="5"/>
        <v>3.5045999999999999</v>
      </c>
      <c r="U88" s="11">
        <v>43915</v>
      </c>
      <c r="V88"/>
      <c r="W88"/>
      <c r="X88"/>
      <c r="Y88"/>
      <c r="Z88"/>
      <c r="AA88"/>
      <c r="AB88"/>
      <c r="AC88"/>
      <c r="AD88"/>
      <c r="AE88"/>
      <c r="AF88"/>
      <c r="AG88">
        <v>2.6715</v>
      </c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>
        <v>3.3089</v>
      </c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>
        <v>2.8353999999999999</v>
      </c>
      <c r="BT88"/>
      <c r="BU88"/>
      <c r="BV88"/>
      <c r="BW88"/>
      <c r="BX88"/>
      <c r="BY88"/>
      <c r="BZ88"/>
      <c r="CA88"/>
      <c r="CB88"/>
      <c r="CC88"/>
      <c r="CD88"/>
      <c r="CE88"/>
      <c r="CF88"/>
      <c r="CG88">
        <v>2.3538999999999999</v>
      </c>
      <c r="CH88"/>
      <c r="CI88">
        <v>1.8439000000000001</v>
      </c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</row>
    <row r="89" spans="1:271" ht="15" x14ac:dyDescent="0.25">
      <c r="A89" s="1">
        <v>146</v>
      </c>
      <c r="B89" s="1" t="str">
        <v>2019-12-06</v>
      </c>
      <c r="C89" s="1">
        <v>3.7006999999999999</v>
      </c>
      <c r="F89" s="8">
        <f t="shared" si="3"/>
        <v>146</v>
      </c>
      <c r="G89" s="9">
        <f t="shared" si="4"/>
        <v>43805</v>
      </c>
      <c r="H89" s="10">
        <f t="shared" si="5"/>
        <v>3.7006999999999999</v>
      </c>
      <c r="U89" s="11">
        <v>43916</v>
      </c>
      <c r="V89">
        <v>2.7633999999999999</v>
      </c>
      <c r="W89"/>
      <c r="X89"/>
      <c r="Y89"/>
      <c r="Z89">
        <v>3</v>
      </c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>
        <v>2.5385</v>
      </c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>
        <v>1.3140000000000001</v>
      </c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>
        <v>2.7216</v>
      </c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</row>
    <row r="90" spans="1:271" ht="15" x14ac:dyDescent="0.25">
      <c r="A90" s="1">
        <v>150</v>
      </c>
      <c r="B90" s="1" t="str">
        <v>2019-12-06</v>
      </c>
      <c r="C90" s="1">
        <v>3.8315000000000001</v>
      </c>
      <c r="F90" s="8">
        <f t="shared" si="3"/>
        <v>150</v>
      </c>
      <c r="G90" s="9">
        <f t="shared" si="4"/>
        <v>43805</v>
      </c>
      <c r="H90" s="10">
        <f t="shared" si="5"/>
        <v>3.8315000000000001</v>
      </c>
      <c r="U90" s="11">
        <v>43917</v>
      </c>
      <c r="V90">
        <v>2.7019000000000002</v>
      </c>
      <c r="W90"/>
      <c r="X90"/>
      <c r="Y90">
        <v>3.3393999999999999</v>
      </c>
      <c r="Z90"/>
      <c r="AA90">
        <v>2.9085999999999999</v>
      </c>
      <c r="AB90"/>
      <c r="AC90">
        <v>2.9</v>
      </c>
      <c r="AD90"/>
      <c r="AE90"/>
      <c r="AF90">
        <v>3.1749999999999998</v>
      </c>
      <c r="AG90"/>
      <c r="AH90"/>
      <c r="AI90"/>
      <c r="AJ90"/>
      <c r="AK90"/>
      <c r="AL90"/>
      <c r="AM90"/>
      <c r="AN90"/>
      <c r="AO90"/>
      <c r="AP90">
        <v>3.1642999999999999</v>
      </c>
      <c r="AQ90"/>
      <c r="AR90"/>
      <c r="AS90"/>
      <c r="AT90"/>
      <c r="AU90"/>
      <c r="AV90"/>
      <c r="AW90"/>
      <c r="AX90">
        <v>2.3338000000000001</v>
      </c>
      <c r="AY90">
        <v>2.7948</v>
      </c>
      <c r="AZ90"/>
      <c r="BA90"/>
      <c r="BB90"/>
      <c r="BC90"/>
      <c r="BD90"/>
      <c r="BE90"/>
      <c r="BF90"/>
      <c r="BG90"/>
      <c r="BH90"/>
      <c r="BI90">
        <v>2.5282</v>
      </c>
      <c r="BJ90"/>
      <c r="BK90"/>
      <c r="BL90"/>
      <c r="BM90">
        <v>3.1436999999999999</v>
      </c>
      <c r="BN90"/>
      <c r="BO90"/>
      <c r="BP90"/>
      <c r="BQ90"/>
      <c r="BR90"/>
      <c r="BS90"/>
      <c r="BT90"/>
      <c r="BU90"/>
      <c r="BV90"/>
      <c r="BW90"/>
      <c r="BX90"/>
      <c r="BY90">
        <v>2.5369999999999999</v>
      </c>
      <c r="BZ90"/>
      <c r="CA90"/>
      <c r="CB90"/>
      <c r="CC90">
        <v>1.4883999999999999</v>
      </c>
      <c r="CD90"/>
      <c r="CE90"/>
      <c r="CF90">
        <v>1.4447000000000001</v>
      </c>
      <c r="CG90"/>
      <c r="CH90">
        <v>2.3134000000000001</v>
      </c>
      <c r="CI90"/>
      <c r="CJ90"/>
      <c r="CK90"/>
      <c r="CL90">
        <v>1.6095999999999999</v>
      </c>
      <c r="CM90"/>
      <c r="CN90"/>
      <c r="CO90"/>
      <c r="CP90"/>
      <c r="CQ90"/>
      <c r="CR90"/>
      <c r="CS90"/>
      <c r="CT90"/>
      <c r="CU90"/>
      <c r="CV90"/>
      <c r="CW90">
        <v>2.4039000000000001</v>
      </c>
      <c r="CX90"/>
      <c r="CY90">
        <v>2.9257</v>
      </c>
      <c r="CZ90"/>
      <c r="DA90"/>
      <c r="DB90">
        <v>2.9937999999999998</v>
      </c>
      <c r="DC90"/>
      <c r="DD90"/>
      <c r="DE90"/>
      <c r="DF90"/>
      <c r="DG90"/>
      <c r="DH90"/>
      <c r="DI90"/>
      <c r="DJ90"/>
      <c r="DK90">
        <v>1.9452</v>
      </c>
      <c r="DL90">
        <v>2.2000000000000002</v>
      </c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>
        <v>1.9241999999999999</v>
      </c>
      <c r="EL90">
        <v>1.7527999999999999</v>
      </c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</row>
    <row r="91" spans="1:271" ht="15" x14ac:dyDescent="0.25">
      <c r="A91" s="1">
        <v>32803</v>
      </c>
      <c r="B91" s="1" t="str">
        <v>2019-12-06</v>
      </c>
      <c r="C91" s="1">
        <v>3.4628000000000001</v>
      </c>
      <c r="F91" s="8">
        <f t="shared" si="3"/>
        <v>32803</v>
      </c>
      <c r="G91" s="9">
        <f t="shared" si="4"/>
        <v>43805</v>
      </c>
      <c r="H91" s="10">
        <f t="shared" si="5"/>
        <v>3.4628000000000001</v>
      </c>
      <c r="U91" s="11">
        <v>43920</v>
      </c>
      <c r="V91"/>
      <c r="W91"/>
      <c r="X91">
        <v>2.3224999999999998</v>
      </c>
      <c r="Y91"/>
      <c r="Z91"/>
      <c r="AA91"/>
      <c r="AB91">
        <v>2.8144999999999998</v>
      </c>
      <c r="AC91"/>
      <c r="AD91">
        <v>2.4605999999999999</v>
      </c>
      <c r="AE91">
        <v>2.2513000000000001</v>
      </c>
      <c r="AF91"/>
      <c r="AG91">
        <v>2.7227000000000001</v>
      </c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>
        <v>3.3089</v>
      </c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>
        <v>2.7294999999999998</v>
      </c>
      <c r="BV91">
        <v>2.1696</v>
      </c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>
        <v>2.7530000000000001</v>
      </c>
      <c r="CQ91"/>
      <c r="CR91"/>
      <c r="CS91"/>
      <c r="CT91"/>
      <c r="CU91">
        <v>1.8527</v>
      </c>
      <c r="CV91"/>
      <c r="CW91"/>
      <c r="CX91">
        <v>2.4121999999999999</v>
      </c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>
        <v>2.8485</v>
      </c>
      <c r="EI91"/>
      <c r="EJ91"/>
      <c r="EK91"/>
      <c r="EL91"/>
      <c r="EM91"/>
      <c r="EN91"/>
      <c r="EO91">
        <v>2.7019000000000002</v>
      </c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</row>
    <row r="92" spans="1:271" ht="15" x14ac:dyDescent="0.25">
      <c r="A92" s="1">
        <v>32320</v>
      </c>
      <c r="B92" s="1" t="str">
        <v>2019-12-06</v>
      </c>
      <c r="C92" s="1">
        <v>3.4940000000000002</v>
      </c>
      <c r="F92" s="8">
        <f t="shared" si="3"/>
        <v>32320</v>
      </c>
      <c r="G92" s="9">
        <f t="shared" si="4"/>
        <v>43805</v>
      </c>
      <c r="H92" s="10">
        <f t="shared" si="5"/>
        <v>3.4940000000000002</v>
      </c>
      <c r="U92" s="11">
        <v>43921</v>
      </c>
      <c r="V92"/>
      <c r="W92"/>
      <c r="X92"/>
      <c r="Y92"/>
      <c r="Z92"/>
      <c r="AA92"/>
      <c r="AB92"/>
      <c r="AC92"/>
      <c r="AD92"/>
      <c r="AE92"/>
      <c r="AF92"/>
      <c r="AG92"/>
      <c r="AH92"/>
      <c r="AI92">
        <v>2.1084999999999998</v>
      </c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>
        <v>2.4908000000000001</v>
      </c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>
        <v>1.9968999999999999</v>
      </c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</row>
    <row r="93" spans="1:271" ht="15" x14ac:dyDescent="0.25">
      <c r="A93" s="1">
        <v>90</v>
      </c>
      <c r="B93" s="1" t="str">
        <v>2019-12-06</v>
      </c>
      <c r="C93" s="1">
        <v>3.3807</v>
      </c>
      <c r="F93" s="8">
        <f t="shared" si="3"/>
        <v>90</v>
      </c>
      <c r="G93" s="9">
        <f t="shared" si="4"/>
        <v>43805</v>
      </c>
      <c r="H93" s="10">
        <f t="shared" si="5"/>
        <v>3.3807</v>
      </c>
      <c r="U93" s="11">
        <v>43923</v>
      </c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>
        <v>2.5981000000000001</v>
      </c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>
        <v>2.4977999999999998</v>
      </c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>
        <v>2.5992999999999999</v>
      </c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>
        <v>3.7122000000000002</v>
      </c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</row>
    <row r="94" spans="1:271" ht="15" x14ac:dyDescent="0.25">
      <c r="A94" s="1">
        <v>9250</v>
      </c>
      <c r="B94" s="1" t="str">
        <v>2019-12-06</v>
      </c>
      <c r="C94" s="1">
        <v>3.8</v>
      </c>
      <c r="F94" s="8">
        <f t="shared" si="3"/>
        <v>9250</v>
      </c>
      <c r="G94" s="9">
        <f t="shared" si="4"/>
        <v>43805</v>
      </c>
      <c r="H94" s="10">
        <f t="shared" si="5"/>
        <v>3.8</v>
      </c>
      <c r="U94" s="11">
        <v>43924</v>
      </c>
      <c r="V94">
        <v>2.5577999999999999</v>
      </c>
      <c r="W94"/>
      <c r="X94"/>
      <c r="Y94"/>
      <c r="Z94"/>
      <c r="AA94"/>
      <c r="AB94"/>
      <c r="AC94"/>
      <c r="AD94"/>
      <c r="AE94"/>
      <c r="AF94"/>
      <c r="AG94">
        <v>2.3340000000000001</v>
      </c>
      <c r="AH94"/>
      <c r="AI94"/>
      <c r="AJ94"/>
      <c r="AK94"/>
      <c r="AL94"/>
      <c r="AM94"/>
      <c r="AN94"/>
      <c r="AO94"/>
      <c r="AP94">
        <v>2.4655</v>
      </c>
      <c r="AQ94"/>
      <c r="AR94"/>
      <c r="AS94"/>
      <c r="AT94"/>
      <c r="AU94"/>
      <c r="AV94">
        <v>2.9485000000000001</v>
      </c>
      <c r="AW94">
        <v>2.1800999999999999</v>
      </c>
      <c r="AX94">
        <v>2.2416</v>
      </c>
      <c r="AY94"/>
      <c r="AZ94"/>
      <c r="BA94"/>
      <c r="BB94"/>
      <c r="BC94">
        <v>1.7229000000000001</v>
      </c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>
        <v>2.5369999999999999</v>
      </c>
      <c r="BZ94"/>
      <c r="CA94"/>
      <c r="CB94"/>
      <c r="CC94">
        <v>1.5085999999999999</v>
      </c>
      <c r="CD94"/>
      <c r="CE94"/>
      <c r="CF94">
        <v>1.8340000000000001</v>
      </c>
      <c r="CG94"/>
      <c r="CH94"/>
      <c r="CI94"/>
      <c r="CJ94">
        <v>2.3126000000000002</v>
      </c>
      <c r="CK94"/>
      <c r="CL94"/>
      <c r="CM94"/>
      <c r="CN94"/>
      <c r="CO94"/>
      <c r="CP94"/>
      <c r="CQ94">
        <v>1.8204</v>
      </c>
      <c r="CR94"/>
      <c r="CS94"/>
      <c r="CT94">
        <v>2.5369999999999999</v>
      </c>
      <c r="CU94"/>
      <c r="CV94">
        <v>1.9665999999999999</v>
      </c>
      <c r="CW94">
        <v>2.3730000000000002</v>
      </c>
      <c r="CX94"/>
      <c r="CY94"/>
      <c r="CZ94"/>
      <c r="DA94"/>
      <c r="DB94">
        <v>3.2570000000000001</v>
      </c>
      <c r="DC94">
        <v>2.4060999999999999</v>
      </c>
      <c r="DD94"/>
      <c r="DE94"/>
      <c r="DF94"/>
      <c r="DG94"/>
      <c r="DH94">
        <v>2.4965999999999999</v>
      </c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>
        <v>2.2416</v>
      </c>
      <c r="DX94"/>
      <c r="DY94">
        <v>2.3125</v>
      </c>
      <c r="DZ94"/>
      <c r="EA94"/>
      <c r="EB94">
        <v>2.3500999999999999</v>
      </c>
      <c r="EC94"/>
      <c r="ED94"/>
      <c r="EE94">
        <v>2.8</v>
      </c>
      <c r="EF94"/>
      <c r="EG94"/>
      <c r="EH94"/>
      <c r="EI94"/>
      <c r="EJ94"/>
      <c r="EK94"/>
      <c r="EL94"/>
      <c r="EM94">
        <v>1.9556</v>
      </c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</row>
    <row r="95" spans="1:271" ht="15" x14ac:dyDescent="0.25">
      <c r="A95" s="1">
        <v>30300</v>
      </c>
      <c r="B95" s="1" t="str">
        <v>2019-12-06</v>
      </c>
      <c r="C95" s="1">
        <v>3.5459999999999998</v>
      </c>
      <c r="F95" s="8">
        <f t="shared" si="3"/>
        <v>30300</v>
      </c>
      <c r="G95" s="9">
        <f t="shared" si="4"/>
        <v>43805</v>
      </c>
      <c r="H95" s="10">
        <f t="shared" si="5"/>
        <v>3.5459999999999998</v>
      </c>
      <c r="U95" s="11">
        <v>43927</v>
      </c>
      <c r="V95"/>
      <c r="W95"/>
      <c r="X95"/>
      <c r="Y95"/>
      <c r="Z95"/>
      <c r="AA95">
        <v>2.9691999999999998</v>
      </c>
      <c r="AB95"/>
      <c r="AC95"/>
      <c r="AD95"/>
      <c r="AE95"/>
      <c r="AF95"/>
      <c r="AG95"/>
      <c r="AH95">
        <v>2.4146999999999998</v>
      </c>
      <c r="AI95"/>
      <c r="AJ95"/>
      <c r="AK95"/>
      <c r="AL95"/>
      <c r="AM95"/>
      <c r="AN95">
        <v>2.3136999999999999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>
        <v>2.0379</v>
      </c>
      <c r="BH95"/>
      <c r="BI95"/>
      <c r="BJ95"/>
      <c r="BK95"/>
      <c r="BL95"/>
      <c r="BM95"/>
      <c r="BN95">
        <v>3.1</v>
      </c>
      <c r="BO95"/>
      <c r="BP95"/>
      <c r="BQ95"/>
      <c r="BR95"/>
      <c r="BS95"/>
      <c r="BT95"/>
      <c r="BU95">
        <v>2.7202000000000002</v>
      </c>
      <c r="BV95"/>
      <c r="BW95">
        <v>3.0306000000000002</v>
      </c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>
        <v>2.3056999999999999</v>
      </c>
      <c r="DD95"/>
      <c r="DE95"/>
      <c r="DF95"/>
      <c r="DG95"/>
      <c r="DH95"/>
      <c r="DI95"/>
      <c r="DJ95"/>
      <c r="DK95"/>
      <c r="DL95"/>
      <c r="DM95"/>
      <c r="DN95"/>
      <c r="DO95">
        <v>3.0310999999999999</v>
      </c>
      <c r="DP95"/>
      <c r="DQ95"/>
      <c r="DR95">
        <v>2.3439999999999999</v>
      </c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>
        <v>3</v>
      </c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</row>
    <row r="96" spans="1:271" ht="15" x14ac:dyDescent="0.25">
      <c r="A96" s="1">
        <v>24250</v>
      </c>
      <c r="B96" s="1" t="str">
        <v>2019-12-06</v>
      </c>
      <c r="C96" s="1">
        <v>3.5249000000000001</v>
      </c>
      <c r="F96" s="8">
        <f t="shared" si="3"/>
        <v>24250</v>
      </c>
      <c r="G96" s="9">
        <f t="shared" si="4"/>
        <v>43805</v>
      </c>
      <c r="H96" s="10">
        <f t="shared" si="5"/>
        <v>3.5249000000000001</v>
      </c>
      <c r="U96" s="11">
        <v>43928</v>
      </c>
      <c r="V96"/>
      <c r="W96"/>
      <c r="X96"/>
      <c r="Y96">
        <v>2.8149000000000002</v>
      </c>
      <c r="Z96"/>
      <c r="AA96"/>
      <c r="AB96"/>
      <c r="AC96"/>
      <c r="AD96"/>
      <c r="AE96"/>
      <c r="AF96"/>
      <c r="AG96"/>
      <c r="AH96">
        <v>1.528</v>
      </c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>
        <v>2.5167000000000002</v>
      </c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>
        <v>2.6817000000000002</v>
      </c>
      <c r="BT96"/>
      <c r="BU96"/>
      <c r="BV96">
        <v>2.3188</v>
      </c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>
        <v>1.6093999999999999</v>
      </c>
      <c r="CV96"/>
      <c r="CW96"/>
      <c r="CX96"/>
      <c r="CY96"/>
      <c r="CZ96">
        <v>2.2000000000000002</v>
      </c>
      <c r="DA96"/>
      <c r="DB96"/>
      <c r="DC96"/>
      <c r="DD96"/>
      <c r="DE96"/>
      <c r="DF96"/>
      <c r="DG96"/>
      <c r="DH96"/>
      <c r="DI96">
        <v>3</v>
      </c>
      <c r="DJ96"/>
      <c r="DK96"/>
      <c r="DL96"/>
      <c r="DM96">
        <v>2.9485000000000001</v>
      </c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</row>
    <row r="97" spans="1:271" ht="15" x14ac:dyDescent="0.25">
      <c r="A97" s="1">
        <v>72</v>
      </c>
      <c r="B97" s="1" t="str">
        <v>2019-12-06</v>
      </c>
      <c r="C97" s="1">
        <v>3.6076000000000001</v>
      </c>
      <c r="F97" s="8">
        <f t="shared" si="3"/>
        <v>72</v>
      </c>
      <c r="G97" s="9">
        <f t="shared" si="4"/>
        <v>43805</v>
      </c>
      <c r="H97" s="10">
        <f t="shared" si="5"/>
        <v>3.6076000000000001</v>
      </c>
      <c r="U97" s="11">
        <v>43929</v>
      </c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>
        <v>2.6598999999999999</v>
      </c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>
        <v>1.8130999999999999</v>
      </c>
      <c r="BK97">
        <v>3.5943000000000001</v>
      </c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>
        <v>1.7008000000000001</v>
      </c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</row>
    <row r="98" spans="1:271" ht="15" x14ac:dyDescent="0.25">
      <c r="A98" s="1">
        <v>33043</v>
      </c>
      <c r="B98" s="1" t="str">
        <v>2019-12-06</v>
      </c>
      <c r="C98" s="1">
        <v>3.3184999999999998</v>
      </c>
      <c r="F98" s="8">
        <f t="shared" si="3"/>
        <v>33043</v>
      </c>
      <c r="G98" s="9">
        <f t="shared" si="4"/>
        <v>43805</v>
      </c>
      <c r="H98" s="10">
        <f t="shared" si="5"/>
        <v>3.3184999999999998</v>
      </c>
      <c r="U98" s="11">
        <v>43930</v>
      </c>
      <c r="V98">
        <v>2.3531</v>
      </c>
      <c r="W98"/>
      <c r="X98"/>
      <c r="Y98"/>
      <c r="Z98"/>
      <c r="AA98"/>
      <c r="AB98"/>
      <c r="AC98"/>
      <c r="AD98"/>
      <c r="AE98"/>
      <c r="AF98"/>
      <c r="AG98">
        <v>1.8846000000000001</v>
      </c>
      <c r="AH98"/>
      <c r="AI98">
        <v>2.0876999999999999</v>
      </c>
      <c r="AJ98"/>
      <c r="AK98"/>
      <c r="AL98"/>
      <c r="AM98"/>
      <c r="AN98"/>
      <c r="AO98"/>
      <c r="AP98"/>
      <c r="AQ98"/>
      <c r="AR98"/>
      <c r="AS98"/>
      <c r="AT98"/>
      <c r="AU98"/>
      <c r="AV98">
        <v>2.9380999999999999</v>
      </c>
      <c r="AW98"/>
      <c r="AX98">
        <v>2.0375999999999999</v>
      </c>
      <c r="AY98"/>
      <c r="AZ98"/>
      <c r="BA98"/>
      <c r="BB98"/>
      <c r="BC98"/>
      <c r="BD98"/>
      <c r="BE98"/>
      <c r="BF98"/>
      <c r="BG98"/>
      <c r="BH98">
        <v>1.9746999999999999</v>
      </c>
      <c r="BI98"/>
      <c r="BJ98"/>
      <c r="BK98"/>
      <c r="BL98"/>
      <c r="BM98"/>
      <c r="BN98"/>
      <c r="BO98"/>
      <c r="BP98"/>
      <c r="BQ98">
        <v>1.6901999999999999</v>
      </c>
      <c r="BR98"/>
      <c r="BS98"/>
      <c r="BT98">
        <v>2.9055</v>
      </c>
      <c r="BU98"/>
      <c r="BV98"/>
      <c r="BW98"/>
      <c r="BX98"/>
      <c r="BY98"/>
      <c r="BZ98"/>
      <c r="CA98"/>
      <c r="CB98"/>
      <c r="CC98">
        <v>1.468</v>
      </c>
      <c r="CD98"/>
      <c r="CE98"/>
      <c r="CF98"/>
      <c r="CG98"/>
      <c r="CH98"/>
      <c r="CI98"/>
      <c r="CJ98"/>
      <c r="CK98"/>
      <c r="CL98"/>
      <c r="CM98">
        <v>2.1566000000000001</v>
      </c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>
        <v>1.6006</v>
      </c>
      <c r="DG98"/>
      <c r="DH98"/>
      <c r="DI98"/>
      <c r="DJ98"/>
      <c r="DK98"/>
      <c r="DL98"/>
      <c r="DM98"/>
      <c r="DN98"/>
      <c r="DO98"/>
      <c r="DP98"/>
      <c r="DQ98"/>
      <c r="DR98"/>
      <c r="DS98">
        <v>2.7216</v>
      </c>
      <c r="DT98">
        <v>1.0727</v>
      </c>
      <c r="DU98"/>
      <c r="DV98"/>
      <c r="DW98"/>
      <c r="DX98"/>
      <c r="DY98"/>
      <c r="DZ98"/>
      <c r="EA98"/>
      <c r="EB98"/>
      <c r="EC98"/>
      <c r="ED98"/>
      <c r="EE98">
        <v>2.5</v>
      </c>
      <c r="EF98"/>
      <c r="EG98"/>
      <c r="EH98"/>
      <c r="EI98">
        <v>3.7088000000000001</v>
      </c>
      <c r="EJ98"/>
      <c r="EK98">
        <v>1.7009000000000001</v>
      </c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</row>
    <row r="99" spans="1:271" ht="15" x14ac:dyDescent="0.25">
      <c r="A99" s="1">
        <v>32180</v>
      </c>
      <c r="B99" s="1" t="str">
        <v>2019-12-06</v>
      </c>
      <c r="C99" s="1">
        <v>3.6977000000000002</v>
      </c>
      <c r="F99" s="8">
        <f t="shared" si="3"/>
        <v>32180</v>
      </c>
      <c r="G99" s="9">
        <f t="shared" si="4"/>
        <v>43805</v>
      </c>
      <c r="H99" s="10">
        <f t="shared" si="5"/>
        <v>3.6977000000000002</v>
      </c>
      <c r="U99" s="11">
        <v>43934</v>
      </c>
      <c r="V99"/>
      <c r="W99"/>
      <c r="X99">
        <v>1.8541000000000001</v>
      </c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>
        <v>2.4552</v>
      </c>
      <c r="AQ99">
        <v>2.5064000000000002</v>
      </c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>
        <v>2.4716999999999998</v>
      </c>
      <c r="BZ99"/>
      <c r="CA99"/>
      <c r="CB99"/>
      <c r="CC99"/>
      <c r="CD99"/>
      <c r="CE99"/>
      <c r="CF99"/>
      <c r="CG99"/>
      <c r="CH99"/>
      <c r="CI99"/>
      <c r="CJ99"/>
      <c r="CK99">
        <v>3.0613000000000001</v>
      </c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>
        <v>2.3018999999999998</v>
      </c>
      <c r="DD99">
        <v>2.9998999999999998</v>
      </c>
      <c r="DE99"/>
      <c r="DF99"/>
      <c r="DG99"/>
      <c r="DH99"/>
      <c r="DI99"/>
      <c r="DJ99"/>
      <c r="DK99"/>
      <c r="DL99"/>
      <c r="DM99"/>
      <c r="DN99"/>
      <c r="DO99"/>
      <c r="DP99"/>
      <c r="DQ99"/>
      <c r="DR99">
        <v>2.1293000000000002</v>
      </c>
      <c r="DS99"/>
      <c r="DT99"/>
      <c r="DU99"/>
      <c r="DV99"/>
      <c r="DW99"/>
      <c r="DX99"/>
      <c r="DY99"/>
      <c r="DZ99"/>
      <c r="EA99"/>
      <c r="EB99"/>
      <c r="EC99"/>
      <c r="ED99"/>
      <c r="EE99">
        <v>2.1</v>
      </c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</row>
    <row r="100" spans="1:271" ht="15" x14ac:dyDescent="0.25">
      <c r="A100" s="1">
        <v>164</v>
      </c>
      <c r="B100" s="1" t="str">
        <v>2019-12-06</v>
      </c>
      <c r="C100" s="1">
        <v>3.6903000000000001</v>
      </c>
      <c r="F100" s="8">
        <f t="shared" si="3"/>
        <v>164</v>
      </c>
      <c r="G100" s="9">
        <f t="shared" si="4"/>
        <v>43805</v>
      </c>
      <c r="H100" s="10">
        <f t="shared" si="5"/>
        <v>3.6903000000000001</v>
      </c>
      <c r="U100" s="11">
        <v>43935</v>
      </c>
      <c r="V100"/>
      <c r="W100"/>
      <c r="X100"/>
      <c r="Y100"/>
      <c r="Z100"/>
      <c r="AA100"/>
      <c r="AB100"/>
      <c r="AC100"/>
      <c r="AD100"/>
      <c r="AE100"/>
      <c r="AF100"/>
      <c r="AG100"/>
      <c r="AH100">
        <v>1.5075000000000001</v>
      </c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>
        <v>1.9142999999999999</v>
      </c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>
        <v>2.2621000000000002</v>
      </c>
      <c r="BT100"/>
      <c r="BU100">
        <v>2.33</v>
      </c>
      <c r="BV100"/>
      <c r="BW100"/>
      <c r="BX100"/>
      <c r="BY100"/>
      <c r="BZ100"/>
      <c r="CA100"/>
      <c r="CB100"/>
      <c r="CC100"/>
      <c r="CD100"/>
      <c r="CE100"/>
      <c r="CF100"/>
      <c r="CG100">
        <v>2.2107000000000001</v>
      </c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>
        <v>2.4866000000000001</v>
      </c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>
        <v>1.2245999999999999</v>
      </c>
      <c r="DU100"/>
      <c r="DV100"/>
      <c r="DW100"/>
      <c r="DX100"/>
      <c r="DY100"/>
      <c r="DZ100"/>
      <c r="EA100"/>
      <c r="EB100"/>
      <c r="EC100">
        <v>2.2012999999999998</v>
      </c>
      <c r="ED100">
        <v>3</v>
      </c>
      <c r="EE100">
        <v>2.1</v>
      </c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</row>
    <row r="101" spans="1:271" ht="15" x14ac:dyDescent="0.25">
      <c r="A101" s="1">
        <v>250</v>
      </c>
      <c r="B101" s="1" t="str">
        <v>2019-12-06</v>
      </c>
      <c r="C101" s="1">
        <v>3.5457999999999998</v>
      </c>
      <c r="F101" s="8">
        <f t="shared" si="3"/>
        <v>250</v>
      </c>
      <c r="G101" s="9">
        <f t="shared" si="4"/>
        <v>43805</v>
      </c>
      <c r="H101" s="10">
        <f t="shared" si="5"/>
        <v>3.5457999999999998</v>
      </c>
      <c r="U101" s="11">
        <v>43936</v>
      </c>
      <c r="V101">
        <v>2.2507999999999999</v>
      </c>
      <c r="W101">
        <v>1.7024999999999999</v>
      </c>
      <c r="X101"/>
      <c r="Y101"/>
      <c r="Z101"/>
      <c r="AA101">
        <v>2.6301999999999999</v>
      </c>
      <c r="AB101"/>
      <c r="AC101"/>
      <c r="AD101">
        <v>1.8331</v>
      </c>
      <c r="AE101"/>
      <c r="AF101">
        <v>2.3742999999999999</v>
      </c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>
        <v>1.8019000000000001</v>
      </c>
      <c r="BK101"/>
      <c r="BL101">
        <v>2.3536000000000001</v>
      </c>
      <c r="BM101"/>
      <c r="BN101"/>
      <c r="BO101"/>
      <c r="BP101"/>
      <c r="BQ101"/>
      <c r="BR101"/>
      <c r="BS101"/>
      <c r="BT101"/>
      <c r="BU101"/>
      <c r="BV101"/>
      <c r="BW101"/>
      <c r="BX101"/>
      <c r="BY101">
        <v>2.4443999999999999</v>
      </c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>
        <v>1.3248</v>
      </c>
      <c r="DY101"/>
      <c r="DZ101"/>
      <c r="EA101">
        <v>2.8856999999999999</v>
      </c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</row>
    <row r="102" spans="1:271" ht="15" x14ac:dyDescent="0.25">
      <c r="A102" s="1">
        <v>53</v>
      </c>
      <c r="B102" s="1" t="str">
        <v>2019-12-06</v>
      </c>
      <c r="C102" s="1">
        <v>3.3700999999999999</v>
      </c>
      <c r="F102" s="8">
        <f t="shared" si="3"/>
        <v>53</v>
      </c>
      <c r="G102" s="9">
        <f t="shared" si="4"/>
        <v>43805</v>
      </c>
      <c r="H102" s="10">
        <f t="shared" si="5"/>
        <v>3.3700999999999999</v>
      </c>
      <c r="U102" s="11">
        <v>43937</v>
      </c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>
        <v>2.3313999999999999</v>
      </c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>
        <v>2.1280000000000001</v>
      </c>
      <c r="CA102"/>
      <c r="CB102">
        <v>2.2925</v>
      </c>
      <c r="CC102"/>
      <c r="CD102"/>
      <c r="CE102"/>
      <c r="CF102"/>
      <c r="CG102"/>
      <c r="CH102"/>
      <c r="CI102"/>
      <c r="CJ102">
        <v>1.9444999999999999</v>
      </c>
      <c r="CK102"/>
      <c r="CL102">
        <v>1.3554999999999999</v>
      </c>
      <c r="CM102"/>
      <c r="CN102"/>
      <c r="CO102"/>
      <c r="CP102"/>
      <c r="CQ102"/>
      <c r="CR102"/>
      <c r="CS102"/>
      <c r="CT102"/>
      <c r="CU102"/>
      <c r="CV102"/>
      <c r="CW102"/>
      <c r="CX102">
        <v>2.3815</v>
      </c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>
        <v>1.6692</v>
      </c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</row>
    <row r="103" spans="1:271" ht="15" x14ac:dyDescent="0.25">
      <c r="A103" s="1">
        <v>102</v>
      </c>
      <c r="B103" s="1" t="str">
        <v>2019-12-06</v>
      </c>
      <c r="C103" s="1">
        <v>3.3393000000000002</v>
      </c>
      <c r="F103" s="8">
        <f t="shared" si="3"/>
        <v>102</v>
      </c>
      <c r="G103" s="9">
        <f t="shared" si="4"/>
        <v>43805</v>
      </c>
      <c r="H103" s="10">
        <f t="shared" si="5"/>
        <v>3.3393000000000002</v>
      </c>
      <c r="U103" s="11">
        <v>43938</v>
      </c>
      <c r="V103">
        <v>2.2917999999999998</v>
      </c>
      <c r="W103"/>
      <c r="X103"/>
      <c r="Y103">
        <v>2.5893000000000002</v>
      </c>
      <c r="Z103">
        <v>2.4409999999999998</v>
      </c>
      <c r="AA103">
        <v>2.4466000000000001</v>
      </c>
      <c r="AB103">
        <v>2.1179999999999999</v>
      </c>
      <c r="AC103">
        <v>2.25</v>
      </c>
      <c r="AD103">
        <v>1.8224</v>
      </c>
      <c r="AE103">
        <v>2.2399</v>
      </c>
      <c r="AF103">
        <v>2.3742999999999999</v>
      </c>
      <c r="AG103">
        <v>1.6395</v>
      </c>
      <c r="AH103"/>
      <c r="AI103">
        <v>1.9139999999999999</v>
      </c>
      <c r="AJ103">
        <v>1.5893999999999999</v>
      </c>
      <c r="AK103">
        <v>2.2804000000000002</v>
      </c>
      <c r="AL103"/>
      <c r="AM103">
        <v>1.7547999999999999</v>
      </c>
      <c r="AN103"/>
      <c r="AO103">
        <v>2.3018000000000001</v>
      </c>
      <c r="AP103">
        <v>2.4552</v>
      </c>
      <c r="AQ103"/>
      <c r="AR103"/>
      <c r="AS103"/>
      <c r="AT103"/>
      <c r="AU103"/>
      <c r="AV103">
        <v>2.9380999999999999</v>
      </c>
      <c r="AW103"/>
      <c r="AX103">
        <v>1.9446000000000001</v>
      </c>
      <c r="AY103">
        <v>2.4565000000000001</v>
      </c>
      <c r="AZ103">
        <v>2.2000000000000002</v>
      </c>
      <c r="BA103"/>
      <c r="BB103"/>
      <c r="BC103"/>
      <c r="BD103"/>
      <c r="BE103">
        <v>1.7722</v>
      </c>
      <c r="BF103"/>
      <c r="BG103">
        <v>1.8331</v>
      </c>
      <c r="BH103"/>
      <c r="BI103">
        <v>1.8728</v>
      </c>
      <c r="BJ103"/>
      <c r="BK103">
        <v>2.5305</v>
      </c>
      <c r="BL103"/>
      <c r="BM103"/>
      <c r="BN103"/>
      <c r="BO103"/>
      <c r="BP103"/>
      <c r="BQ103">
        <v>1.6088</v>
      </c>
      <c r="BR103"/>
      <c r="BS103"/>
      <c r="BT103"/>
      <c r="BU103"/>
      <c r="BV103"/>
      <c r="BW103">
        <v>2.7942999999999998</v>
      </c>
      <c r="BX103"/>
      <c r="BY103">
        <v>2.4234</v>
      </c>
      <c r="BZ103"/>
      <c r="CA103">
        <v>1.5588</v>
      </c>
      <c r="CB103"/>
      <c r="CC103">
        <v>1.3960999999999999</v>
      </c>
      <c r="CD103">
        <v>2.09</v>
      </c>
      <c r="CE103"/>
      <c r="CF103"/>
      <c r="CG103"/>
      <c r="CH103">
        <v>1.7623</v>
      </c>
      <c r="CI103">
        <v>1.5075000000000001</v>
      </c>
      <c r="CJ103">
        <v>2.0568</v>
      </c>
      <c r="CK103"/>
      <c r="CL103">
        <v>1.264</v>
      </c>
      <c r="CM103"/>
      <c r="CN103">
        <v>1.3751</v>
      </c>
      <c r="CO103"/>
      <c r="CP103">
        <v>2.2603</v>
      </c>
      <c r="CQ103">
        <v>2.2258</v>
      </c>
      <c r="CR103"/>
      <c r="CS103"/>
      <c r="CT103">
        <v>2.1798000000000002</v>
      </c>
      <c r="CU103"/>
      <c r="CV103"/>
      <c r="CW103">
        <v>2.1888000000000001</v>
      </c>
      <c r="CX103">
        <v>2.1092</v>
      </c>
      <c r="CY103"/>
      <c r="CZ103"/>
      <c r="DA103"/>
      <c r="DB103"/>
      <c r="DC103"/>
      <c r="DD103"/>
      <c r="DE103"/>
      <c r="DF103"/>
      <c r="DG103"/>
      <c r="DH103">
        <v>1.8734999999999999</v>
      </c>
      <c r="DI103"/>
      <c r="DJ103">
        <v>2.0167000000000002</v>
      </c>
      <c r="DK103"/>
      <c r="DL103"/>
      <c r="DM103"/>
      <c r="DN103"/>
      <c r="DO103"/>
      <c r="DP103"/>
      <c r="DQ103"/>
      <c r="DR103">
        <v>2.1804000000000001</v>
      </c>
      <c r="DS103">
        <v>2.3933</v>
      </c>
      <c r="DT103">
        <v>1.1738</v>
      </c>
      <c r="DU103"/>
      <c r="DV103"/>
      <c r="DW103"/>
      <c r="DX103">
        <v>1.1324000000000001</v>
      </c>
      <c r="DY103">
        <v>2.6040999999999999</v>
      </c>
      <c r="DZ103"/>
      <c r="EA103"/>
      <c r="EB103"/>
      <c r="EC103"/>
      <c r="ED103"/>
      <c r="EE103"/>
      <c r="EF103"/>
      <c r="EG103"/>
      <c r="EH103"/>
      <c r="EI103"/>
      <c r="EJ103"/>
      <c r="EK103">
        <v>1.7212000000000001</v>
      </c>
      <c r="EL103">
        <v>1.6588000000000001</v>
      </c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</row>
    <row r="104" spans="1:271" ht="15" x14ac:dyDescent="0.25">
      <c r="A104" s="1">
        <v>32260</v>
      </c>
      <c r="B104" s="1" t="str">
        <v>2019-12-06</v>
      </c>
      <c r="C104" s="1">
        <v>3.5964</v>
      </c>
      <c r="F104" s="8">
        <f t="shared" si="3"/>
        <v>32260</v>
      </c>
      <c r="G104" s="9">
        <f t="shared" si="4"/>
        <v>43805</v>
      </c>
      <c r="H104" s="10">
        <f t="shared" si="5"/>
        <v>3.5964</v>
      </c>
      <c r="U104" s="11">
        <v>43941</v>
      </c>
      <c r="V104"/>
      <c r="W104"/>
      <c r="X104">
        <v>1.722</v>
      </c>
      <c r="Y104"/>
      <c r="Z104"/>
      <c r="AA104"/>
      <c r="AB104"/>
      <c r="AC104"/>
      <c r="AD104"/>
      <c r="AE104"/>
      <c r="AF104"/>
      <c r="AG104"/>
      <c r="AH104">
        <v>1.4871000000000001</v>
      </c>
      <c r="AI104"/>
      <c r="AJ104"/>
      <c r="AK104"/>
      <c r="AL104"/>
      <c r="AM104"/>
      <c r="AN104"/>
      <c r="AO104"/>
      <c r="AP104"/>
      <c r="AQ104"/>
      <c r="AR104"/>
      <c r="AS104"/>
      <c r="AT104">
        <v>2.48</v>
      </c>
      <c r="AU104"/>
      <c r="AV104"/>
      <c r="AW104"/>
      <c r="AX104"/>
      <c r="AY104"/>
      <c r="AZ104"/>
      <c r="BA104">
        <v>2.4451000000000001</v>
      </c>
      <c r="BB104"/>
      <c r="BC104"/>
      <c r="BD104">
        <v>2.4651000000000001</v>
      </c>
      <c r="BE104"/>
      <c r="BF104"/>
      <c r="BG104"/>
      <c r="BH104"/>
      <c r="BI104">
        <v>1.8728</v>
      </c>
      <c r="BJ104"/>
      <c r="BK104"/>
      <c r="BL104"/>
      <c r="BM104"/>
      <c r="BN104"/>
      <c r="BO104"/>
      <c r="BP104"/>
      <c r="BQ104"/>
      <c r="BR104"/>
      <c r="BS104">
        <v>1.9248000000000001</v>
      </c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>
        <v>1.3635999999999999</v>
      </c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>
        <v>2.1</v>
      </c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</row>
    <row r="105" spans="1:271" ht="15" x14ac:dyDescent="0.25">
      <c r="A105" s="1">
        <v>187</v>
      </c>
      <c r="B105" s="1" t="str">
        <v>2019-12-06</v>
      </c>
      <c r="C105" s="1">
        <v>3.8866000000000001</v>
      </c>
      <c r="F105" s="8">
        <f t="shared" si="3"/>
        <v>187</v>
      </c>
      <c r="G105" s="9">
        <f t="shared" si="4"/>
        <v>43805</v>
      </c>
      <c r="H105" s="10">
        <f t="shared" si="5"/>
        <v>3.8866000000000001</v>
      </c>
      <c r="U105" s="11">
        <v>43943</v>
      </c>
      <c r="V105">
        <v>2.1585000000000001</v>
      </c>
      <c r="W105">
        <v>0.95279999999999998</v>
      </c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>
        <v>1.2844</v>
      </c>
      <c r="CD105"/>
      <c r="CE105"/>
      <c r="CF105"/>
      <c r="CG105"/>
      <c r="CH105"/>
      <c r="CI105"/>
      <c r="CJ105"/>
      <c r="CK105"/>
      <c r="CL105"/>
      <c r="CM105"/>
      <c r="CN105"/>
      <c r="CO105">
        <v>1.9039999999999999</v>
      </c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>
        <v>2.0985999999999998</v>
      </c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</row>
    <row r="106" spans="1:271" ht="15" x14ac:dyDescent="0.25">
      <c r="A106" s="1">
        <v>181</v>
      </c>
      <c r="B106" s="1" t="str">
        <v>2019-12-06</v>
      </c>
      <c r="C106" s="1">
        <v>3.6276000000000002</v>
      </c>
      <c r="F106" s="8">
        <f t="shared" si="3"/>
        <v>181</v>
      </c>
      <c r="G106" s="9">
        <f t="shared" si="4"/>
        <v>43805</v>
      </c>
      <c r="H106" s="10">
        <f t="shared" si="5"/>
        <v>3.6276000000000002</v>
      </c>
      <c r="U106" s="11">
        <v>43944</v>
      </c>
      <c r="V106"/>
      <c r="W106"/>
      <c r="X106"/>
      <c r="Y106"/>
      <c r="Z106"/>
      <c r="AA106"/>
      <c r="AB106"/>
      <c r="AC106"/>
      <c r="AD106"/>
      <c r="AE106"/>
      <c r="AF106"/>
      <c r="AG106"/>
      <c r="AH106">
        <v>1.3027</v>
      </c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>
        <v>2.4857</v>
      </c>
      <c r="BN106"/>
      <c r="BO106"/>
      <c r="BP106"/>
      <c r="BQ106"/>
      <c r="BR106"/>
      <c r="BS106"/>
      <c r="BT106"/>
      <c r="BU106">
        <v>2.2555999999999998</v>
      </c>
      <c r="BV106">
        <v>2.2715000000000001</v>
      </c>
      <c r="BW106"/>
      <c r="BX106"/>
      <c r="BY106">
        <v>2.2496999999999998</v>
      </c>
      <c r="BZ106"/>
      <c r="CA106"/>
      <c r="CB106"/>
      <c r="CC106"/>
      <c r="CD106"/>
      <c r="CE106"/>
      <c r="CF106">
        <v>1.4155</v>
      </c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>
        <v>3.7088000000000001</v>
      </c>
      <c r="EJ106"/>
      <c r="EK106"/>
      <c r="EL106"/>
      <c r="EM106">
        <v>1.8733</v>
      </c>
      <c r="EN106"/>
      <c r="EO106"/>
      <c r="EP106">
        <v>1.6</v>
      </c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</row>
    <row r="107" spans="1:271" ht="15" x14ac:dyDescent="0.25">
      <c r="A107" s="1">
        <v>156</v>
      </c>
      <c r="B107" s="1" t="str">
        <v>2019-12-06</v>
      </c>
      <c r="C107" s="1">
        <v>3.4529000000000001</v>
      </c>
      <c r="F107" s="8">
        <f t="shared" si="3"/>
        <v>156</v>
      </c>
      <c r="G107" s="9">
        <f t="shared" si="4"/>
        <v>43805</v>
      </c>
      <c r="H107" s="10">
        <f t="shared" si="5"/>
        <v>3.4529000000000001</v>
      </c>
      <c r="U107" s="11">
        <v>43945</v>
      </c>
      <c r="V107"/>
      <c r="W107"/>
      <c r="X107"/>
      <c r="Y107">
        <v>2.5893000000000002</v>
      </c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>
        <v>2.2932999999999999</v>
      </c>
      <c r="AO107"/>
      <c r="AP107">
        <v>2.4552</v>
      </c>
      <c r="AQ107"/>
      <c r="AR107"/>
      <c r="AS107"/>
      <c r="AT107"/>
      <c r="AU107"/>
      <c r="AV107">
        <v>2.9380999999999999</v>
      </c>
      <c r="AW107">
        <v>1.8628</v>
      </c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>
        <v>2.5</v>
      </c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>
        <v>2.2496999999999998</v>
      </c>
      <c r="BZ107"/>
      <c r="CA107"/>
      <c r="CB107"/>
      <c r="CC107">
        <v>1.2844</v>
      </c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>
        <v>1.8976</v>
      </c>
      <c r="CR107"/>
      <c r="CS107"/>
      <c r="CT107"/>
      <c r="CU107"/>
      <c r="CV107"/>
      <c r="CW107"/>
      <c r="CX107"/>
      <c r="CY107"/>
      <c r="CZ107"/>
      <c r="DA107"/>
      <c r="DB107">
        <v>2.4355000000000002</v>
      </c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</row>
    <row r="108" spans="1:271" ht="15" x14ac:dyDescent="0.25">
      <c r="A108" s="1">
        <v>117</v>
      </c>
      <c r="B108" s="1" t="str">
        <v>2019-12-06</v>
      </c>
      <c r="C108" s="1">
        <v>3.6594000000000002</v>
      </c>
      <c r="F108" s="8">
        <f t="shared" si="3"/>
        <v>117</v>
      </c>
      <c r="G108" s="9">
        <f t="shared" si="4"/>
        <v>43805</v>
      </c>
      <c r="H108" s="10">
        <f t="shared" si="5"/>
        <v>3.6594000000000002</v>
      </c>
      <c r="U108" s="11">
        <v>43948</v>
      </c>
      <c r="V108"/>
      <c r="W108"/>
      <c r="X108">
        <v>1.6405000000000001</v>
      </c>
      <c r="Y108"/>
      <c r="Z108"/>
      <c r="AA108"/>
      <c r="AB108">
        <v>1.9959</v>
      </c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>
        <v>1.2746</v>
      </c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>
        <v>1.8019000000000001</v>
      </c>
      <c r="BK108"/>
      <c r="BL108"/>
      <c r="BM108"/>
      <c r="BN108"/>
      <c r="BO108"/>
      <c r="BP108"/>
      <c r="BQ108"/>
      <c r="BR108"/>
      <c r="BS108">
        <v>1.9238999999999999</v>
      </c>
      <c r="BT108"/>
      <c r="BU108">
        <v>2.1640000000000001</v>
      </c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>
        <v>1.5598000000000001</v>
      </c>
      <c r="CN108"/>
      <c r="CO108"/>
      <c r="CP108"/>
      <c r="CQ108"/>
      <c r="CR108"/>
      <c r="CS108">
        <v>1.4046000000000001</v>
      </c>
      <c r="CT108"/>
      <c r="CU108"/>
      <c r="CV108"/>
      <c r="CW108"/>
      <c r="CX108"/>
      <c r="CY108"/>
      <c r="CZ108"/>
      <c r="DA108"/>
      <c r="DB108"/>
      <c r="DC108">
        <v>1.897</v>
      </c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>
        <v>3.1511999999999998</v>
      </c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</row>
    <row r="109" spans="1:271" ht="15" x14ac:dyDescent="0.25">
      <c r="A109" s="1">
        <v>191</v>
      </c>
      <c r="B109" s="1" t="str">
        <v>2019-12-06</v>
      </c>
      <c r="C109" s="1">
        <v>3.7418</v>
      </c>
      <c r="F109" s="8">
        <f t="shared" si="3"/>
        <v>191</v>
      </c>
      <c r="G109" s="9">
        <f t="shared" si="4"/>
        <v>43805</v>
      </c>
      <c r="H109" s="10">
        <f t="shared" si="5"/>
        <v>3.7418</v>
      </c>
      <c r="U109" s="11">
        <v>43949</v>
      </c>
      <c r="V109">
        <v>1.9033</v>
      </c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>
        <v>2.48</v>
      </c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>
        <v>1.7597</v>
      </c>
      <c r="BK109"/>
      <c r="BL109"/>
      <c r="BM109">
        <v>2.5880999999999998</v>
      </c>
      <c r="BN109">
        <v>2.5</v>
      </c>
      <c r="BO109"/>
      <c r="BP109"/>
      <c r="BQ109"/>
      <c r="BR109"/>
      <c r="BS109"/>
      <c r="BT109"/>
      <c r="BU109"/>
      <c r="BV109">
        <v>2.1488</v>
      </c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>
        <v>2.0169999999999999</v>
      </c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>
        <v>2.2719</v>
      </c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</row>
    <row r="110" spans="1:271" ht="15" x14ac:dyDescent="0.25">
      <c r="A110" s="1">
        <v>101</v>
      </c>
      <c r="B110" s="1" t="str">
        <v>2019-12-06</v>
      </c>
      <c r="C110" s="1">
        <v>3.6613000000000002</v>
      </c>
      <c r="F110" s="8">
        <f t="shared" si="3"/>
        <v>101</v>
      </c>
      <c r="G110" s="9">
        <f t="shared" si="4"/>
        <v>43805</v>
      </c>
      <c r="H110" s="10">
        <f t="shared" si="5"/>
        <v>3.6613000000000002</v>
      </c>
      <c r="U110" s="11">
        <v>43950</v>
      </c>
      <c r="V110">
        <v>1.6997</v>
      </c>
      <c r="W110"/>
      <c r="X110"/>
      <c r="Y110"/>
      <c r="Z110"/>
      <c r="AA110"/>
      <c r="AB110"/>
      <c r="AC110"/>
      <c r="AD110">
        <v>1.7693000000000001</v>
      </c>
      <c r="AE110"/>
      <c r="AF110"/>
      <c r="AG110">
        <v>1.5264</v>
      </c>
      <c r="AH110">
        <v>1.181</v>
      </c>
      <c r="AI110">
        <v>1.3243</v>
      </c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>
        <v>1.3442000000000001</v>
      </c>
      <c r="CG110"/>
      <c r="CH110"/>
      <c r="CI110"/>
      <c r="CJ110"/>
      <c r="CK110"/>
      <c r="CL110"/>
      <c r="CM110"/>
      <c r="CN110">
        <v>0.66659999999999997</v>
      </c>
      <c r="CO110"/>
      <c r="CP110"/>
      <c r="CQ110"/>
      <c r="CR110">
        <v>1.1408</v>
      </c>
      <c r="CS110"/>
      <c r="CT110"/>
      <c r="CU110"/>
      <c r="CV110"/>
      <c r="CW110"/>
      <c r="CX110">
        <v>1.0295000000000001</v>
      </c>
      <c r="CY110"/>
      <c r="CZ110"/>
      <c r="DA110"/>
      <c r="DB110"/>
      <c r="DC110"/>
      <c r="DD110"/>
      <c r="DE110"/>
      <c r="DF110"/>
      <c r="DG110"/>
      <c r="DH110"/>
      <c r="DI110"/>
      <c r="DJ110"/>
      <c r="DK110">
        <v>1.4271</v>
      </c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>
        <v>1.9746999999999999</v>
      </c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</row>
    <row r="111" spans="1:271" ht="15" x14ac:dyDescent="0.25">
      <c r="A111" s="1">
        <v>110</v>
      </c>
      <c r="B111" s="1" t="str">
        <v>2019-12-06</v>
      </c>
      <c r="C111" s="1">
        <v>3.6</v>
      </c>
      <c r="F111" s="8">
        <f t="shared" si="3"/>
        <v>110</v>
      </c>
      <c r="G111" s="9">
        <f t="shared" si="4"/>
        <v>43805</v>
      </c>
      <c r="H111" s="10">
        <f t="shared" si="5"/>
        <v>3.6</v>
      </c>
      <c r="U111" s="11">
        <v>43951</v>
      </c>
      <c r="V111">
        <v>1.5670999999999999</v>
      </c>
      <c r="W111"/>
      <c r="X111"/>
      <c r="Y111"/>
      <c r="Z111">
        <v>2.2151000000000001</v>
      </c>
      <c r="AA111">
        <v>2.1981000000000002</v>
      </c>
      <c r="AB111"/>
      <c r="AC111">
        <v>2</v>
      </c>
      <c r="AD111">
        <v>1.6876</v>
      </c>
      <c r="AE111"/>
      <c r="AF111">
        <v>2.3618000000000001</v>
      </c>
      <c r="AG111">
        <v>1.5971</v>
      </c>
      <c r="AH111"/>
      <c r="AI111"/>
      <c r="AJ111">
        <v>1.1938</v>
      </c>
      <c r="AK111">
        <v>1.9634</v>
      </c>
      <c r="AL111"/>
      <c r="AM111">
        <v>1.4257</v>
      </c>
      <c r="AN111"/>
      <c r="AO111">
        <v>2.1574</v>
      </c>
      <c r="AP111"/>
      <c r="AQ111"/>
      <c r="AR111"/>
      <c r="AS111">
        <v>1.7995000000000001</v>
      </c>
      <c r="AT111"/>
      <c r="AU111"/>
      <c r="AV111"/>
      <c r="AW111">
        <v>1.7302999999999999</v>
      </c>
      <c r="AX111">
        <v>1.3413999999999999</v>
      </c>
      <c r="AY111">
        <v>2.3536000000000001</v>
      </c>
      <c r="AZ111">
        <v>2.16</v>
      </c>
      <c r="BA111">
        <v>2.1678999999999999</v>
      </c>
      <c r="BB111"/>
      <c r="BC111"/>
      <c r="BD111"/>
      <c r="BE111">
        <v>1.5777000000000001</v>
      </c>
      <c r="BF111"/>
      <c r="BG111">
        <v>1.5474000000000001</v>
      </c>
      <c r="BH111"/>
      <c r="BI111">
        <v>1.8821000000000001</v>
      </c>
      <c r="BJ111"/>
      <c r="BK111"/>
      <c r="BL111"/>
      <c r="BM111"/>
      <c r="BN111"/>
      <c r="BO111"/>
      <c r="BP111"/>
      <c r="BQ111">
        <v>1.4458</v>
      </c>
      <c r="BR111"/>
      <c r="BS111">
        <v>1.8935999999999999</v>
      </c>
      <c r="BT111"/>
      <c r="BU111"/>
      <c r="BV111"/>
      <c r="BW111"/>
      <c r="BX111"/>
      <c r="BY111"/>
      <c r="BZ111">
        <v>1.8413999999999999</v>
      </c>
      <c r="CA111">
        <v>1.3554999999999999</v>
      </c>
      <c r="CB111"/>
      <c r="CC111"/>
      <c r="CD111"/>
      <c r="CE111"/>
      <c r="CF111"/>
      <c r="CG111"/>
      <c r="CH111">
        <v>1.4970000000000001</v>
      </c>
      <c r="CI111">
        <v>0.98</v>
      </c>
      <c r="CJ111">
        <v>1.9941</v>
      </c>
      <c r="CK111">
        <v>2.2787000000000002</v>
      </c>
      <c r="CL111">
        <v>0.8891</v>
      </c>
      <c r="CM111"/>
      <c r="CN111">
        <v>0.67669999999999997</v>
      </c>
      <c r="CO111"/>
      <c r="CP111">
        <v>1.6375</v>
      </c>
      <c r="CQ111"/>
      <c r="CR111"/>
      <c r="CS111">
        <v>1.181</v>
      </c>
      <c r="CT111">
        <v>1.8211999999999999</v>
      </c>
      <c r="CU111"/>
      <c r="CV111"/>
      <c r="CW111">
        <v>1.9224000000000001</v>
      </c>
      <c r="CX111">
        <v>1.0295000000000001</v>
      </c>
      <c r="CY111"/>
      <c r="CZ111"/>
      <c r="DA111"/>
      <c r="DB111">
        <v>1.6432</v>
      </c>
      <c r="DC111"/>
      <c r="DD111"/>
      <c r="DE111"/>
      <c r="DF111"/>
      <c r="DG111"/>
      <c r="DH111">
        <v>1.4765999999999999</v>
      </c>
      <c r="DI111"/>
      <c r="DJ111"/>
      <c r="DK111">
        <v>1.5585</v>
      </c>
      <c r="DL111">
        <v>1.4</v>
      </c>
      <c r="DM111"/>
      <c r="DN111"/>
      <c r="DO111"/>
      <c r="DP111"/>
      <c r="DQ111"/>
      <c r="DR111">
        <v>1.9455</v>
      </c>
      <c r="DS111">
        <v>2.2494000000000001</v>
      </c>
      <c r="DT111">
        <v>1.2736000000000001</v>
      </c>
      <c r="DU111"/>
      <c r="DV111"/>
      <c r="DW111"/>
      <c r="DX111">
        <v>1.2622</v>
      </c>
      <c r="DY111">
        <v>2.6088</v>
      </c>
      <c r="DZ111">
        <v>2.7738</v>
      </c>
      <c r="EA111"/>
      <c r="EB111"/>
      <c r="EC111"/>
      <c r="ED111"/>
      <c r="EE111"/>
      <c r="EF111"/>
      <c r="EG111"/>
      <c r="EH111">
        <v>2.1720999999999999</v>
      </c>
      <c r="EI111"/>
      <c r="EJ111"/>
      <c r="EK111"/>
      <c r="EL111">
        <v>1.202</v>
      </c>
      <c r="EM111"/>
      <c r="EN111"/>
      <c r="EO111"/>
      <c r="EP111">
        <v>1.4</v>
      </c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</row>
    <row r="112" spans="1:271" ht="15" x14ac:dyDescent="0.25">
      <c r="A112" s="1">
        <v>139</v>
      </c>
      <c r="B112" s="1" t="str">
        <v>2019-12-06</v>
      </c>
      <c r="C112" s="1">
        <v>3.8041999999999998</v>
      </c>
      <c r="F112" s="8">
        <f t="shared" si="3"/>
        <v>139</v>
      </c>
      <c r="G112" s="9">
        <f t="shared" si="4"/>
        <v>43805</v>
      </c>
      <c r="H112" s="10">
        <f t="shared" si="5"/>
        <v>3.8041999999999998</v>
      </c>
      <c r="U112" s="11">
        <v>43955</v>
      </c>
      <c r="V112"/>
      <c r="W112"/>
      <c r="X112">
        <v>1.5382</v>
      </c>
      <c r="Y112"/>
      <c r="Z112"/>
      <c r="AA112"/>
      <c r="AB112"/>
      <c r="AC112"/>
      <c r="AD112"/>
      <c r="AE112">
        <v>1.8512</v>
      </c>
      <c r="AF112"/>
      <c r="AG112"/>
      <c r="AH112"/>
      <c r="AI112"/>
      <c r="AJ112"/>
      <c r="AK112"/>
      <c r="AL112"/>
      <c r="AM112"/>
      <c r="AN112"/>
      <c r="AO112"/>
      <c r="AP112"/>
      <c r="AQ112">
        <v>2.25</v>
      </c>
      <c r="AR112"/>
      <c r="AS112"/>
      <c r="AT112"/>
      <c r="AU112"/>
      <c r="AV112"/>
      <c r="AW112"/>
      <c r="AX112"/>
      <c r="AY112"/>
      <c r="AZ112"/>
      <c r="BA112"/>
      <c r="BB112"/>
      <c r="BC112"/>
      <c r="BD112">
        <v>2.1884999999999999</v>
      </c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>
        <v>1.8420000000000001</v>
      </c>
      <c r="BV112"/>
      <c r="BW112">
        <v>2.5888</v>
      </c>
      <c r="BX112"/>
      <c r="BY112"/>
      <c r="BZ112"/>
      <c r="CA112"/>
      <c r="CB112"/>
      <c r="CC112"/>
      <c r="CD112"/>
      <c r="CE112"/>
      <c r="CF112"/>
      <c r="CG112">
        <v>1.8024</v>
      </c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>
        <v>2.3365999999999998</v>
      </c>
      <c r="CZ112"/>
      <c r="DA112"/>
      <c r="DB112"/>
      <c r="DC112">
        <v>1.6357999999999999</v>
      </c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>
        <v>2</v>
      </c>
      <c r="EF112"/>
      <c r="EG112"/>
      <c r="EH112"/>
      <c r="EI112"/>
      <c r="EJ112"/>
      <c r="EK112"/>
      <c r="EL112"/>
      <c r="EM112"/>
      <c r="EN112">
        <v>2.5</v>
      </c>
      <c r="EO112"/>
      <c r="EP112">
        <v>1.4</v>
      </c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</row>
    <row r="113" spans="1:271" ht="15" x14ac:dyDescent="0.25">
      <c r="A113" s="1">
        <v>81</v>
      </c>
      <c r="B113" s="1" t="str">
        <v>2019-12-06</v>
      </c>
      <c r="C113" s="1">
        <v>3.5562999999999998</v>
      </c>
      <c r="F113" s="8">
        <f t="shared" si="3"/>
        <v>81</v>
      </c>
      <c r="G113" s="9">
        <f t="shared" si="4"/>
        <v>43805</v>
      </c>
      <c r="H113" s="10">
        <f t="shared" si="5"/>
        <v>3.5562999999999998</v>
      </c>
      <c r="U113" s="11">
        <v>43956</v>
      </c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>
        <v>0.97250000000000003</v>
      </c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>
        <v>2.57</v>
      </c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>
        <v>3.0823</v>
      </c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</row>
    <row r="114" spans="1:271" ht="15" x14ac:dyDescent="0.25">
      <c r="A114" s="1">
        <v>20</v>
      </c>
      <c r="B114" s="1" t="str">
        <v>2019-12-06</v>
      </c>
      <c r="C114" s="1">
        <v>4.032</v>
      </c>
      <c r="F114" s="8">
        <f t="shared" si="3"/>
        <v>20</v>
      </c>
      <c r="G114" s="9">
        <f t="shared" si="4"/>
        <v>43805</v>
      </c>
      <c r="H114" s="10">
        <f t="shared" si="5"/>
        <v>4.032</v>
      </c>
      <c r="U114" s="11">
        <v>43957</v>
      </c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>
        <v>1.1021000000000001</v>
      </c>
      <c r="BK114"/>
      <c r="BL114"/>
      <c r="BM114"/>
      <c r="BN114">
        <v>2.5</v>
      </c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>
        <v>1.0719000000000001</v>
      </c>
      <c r="DX114"/>
      <c r="DY114"/>
      <c r="DZ114"/>
      <c r="EA114"/>
      <c r="EB114"/>
      <c r="EC114"/>
      <c r="ED114"/>
      <c r="EE114">
        <v>2</v>
      </c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</row>
    <row r="115" spans="1:271" ht="15" x14ac:dyDescent="0.25">
      <c r="A115" s="1">
        <v>13250</v>
      </c>
      <c r="B115" s="1" t="str">
        <v>2019-12-06</v>
      </c>
      <c r="C115" s="1">
        <v>3.319</v>
      </c>
      <c r="F115" s="8">
        <f t="shared" si="3"/>
        <v>13250</v>
      </c>
      <c r="G115" s="9">
        <f t="shared" si="4"/>
        <v>43805</v>
      </c>
      <c r="H115" s="10">
        <f t="shared" si="5"/>
        <v>3.319</v>
      </c>
      <c r="U115" s="11">
        <v>43958</v>
      </c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>
        <v>1.7101</v>
      </c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>
        <v>1.3244</v>
      </c>
      <c r="CV115"/>
      <c r="CW115"/>
      <c r="CX115"/>
      <c r="CY115"/>
      <c r="CZ115"/>
      <c r="DA115"/>
      <c r="DB115"/>
      <c r="DC115"/>
      <c r="DD115"/>
      <c r="DE115">
        <v>1.6812</v>
      </c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>
        <v>2.9738000000000002</v>
      </c>
      <c r="EJ115"/>
      <c r="EK115"/>
      <c r="EL115"/>
      <c r="EM115">
        <v>2.1476999999999999</v>
      </c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</row>
    <row r="116" spans="1:271" ht="15" x14ac:dyDescent="0.25">
      <c r="A116" s="1">
        <v>49</v>
      </c>
      <c r="B116" s="1" t="str">
        <v>2019-12-06</v>
      </c>
      <c r="C116" s="1">
        <v>3.5962000000000001</v>
      </c>
      <c r="F116" s="8">
        <f t="shared" si="3"/>
        <v>49</v>
      </c>
      <c r="G116" s="9">
        <f t="shared" si="4"/>
        <v>43805</v>
      </c>
      <c r="H116" s="10">
        <f t="shared" si="5"/>
        <v>3.5962000000000001</v>
      </c>
      <c r="U116" s="11">
        <v>43959</v>
      </c>
      <c r="V116">
        <v>1.5168999999999999</v>
      </c>
      <c r="W116"/>
      <c r="X116"/>
      <c r="Y116"/>
      <c r="Z116"/>
      <c r="AA116"/>
      <c r="AB116"/>
      <c r="AC116"/>
      <c r="AD116"/>
      <c r="AE116"/>
      <c r="AF116"/>
      <c r="AG116">
        <v>1.1830000000000001</v>
      </c>
      <c r="AH116"/>
      <c r="AI116">
        <v>1.2939000000000001</v>
      </c>
      <c r="AJ116"/>
      <c r="AK116">
        <v>1.9424999999999999</v>
      </c>
      <c r="AL116"/>
      <c r="AM116"/>
      <c r="AN116"/>
      <c r="AO116"/>
      <c r="AP116">
        <v>1.9843999999999999</v>
      </c>
      <c r="AQ116"/>
      <c r="AR116"/>
      <c r="AS116"/>
      <c r="AT116"/>
      <c r="AU116"/>
      <c r="AV116"/>
      <c r="AW116">
        <v>1.6082000000000001</v>
      </c>
      <c r="AX116">
        <v>1.5469999999999999</v>
      </c>
      <c r="AY116"/>
      <c r="AZ116"/>
      <c r="BA116"/>
      <c r="BB116"/>
      <c r="BC116"/>
      <c r="BD116">
        <v>1.9735</v>
      </c>
      <c r="BE116"/>
      <c r="BF116"/>
      <c r="BG116"/>
      <c r="BH116">
        <v>1.9742999999999999</v>
      </c>
      <c r="BI116"/>
      <c r="BJ116"/>
      <c r="BK116">
        <v>1.6933</v>
      </c>
      <c r="BL116"/>
      <c r="BM116">
        <v>2.0350999999999999</v>
      </c>
      <c r="BN116"/>
      <c r="BO116"/>
      <c r="BP116"/>
      <c r="BQ116">
        <v>1.4155</v>
      </c>
      <c r="BR116"/>
      <c r="BS116"/>
      <c r="BT116">
        <v>2.0047000000000001</v>
      </c>
      <c r="BU116"/>
      <c r="BV116"/>
      <c r="BW116">
        <v>2.5888</v>
      </c>
      <c r="BX116"/>
      <c r="BY116">
        <v>1.3759999999999999</v>
      </c>
      <c r="BZ116"/>
      <c r="CA116"/>
      <c r="CB116"/>
      <c r="CC116">
        <v>0.49730000000000002</v>
      </c>
      <c r="CD116"/>
      <c r="CE116"/>
      <c r="CF116"/>
      <c r="CG116">
        <v>1.3039000000000001</v>
      </c>
      <c r="CH116"/>
      <c r="CI116"/>
      <c r="CJ116"/>
      <c r="CK116"/>
      <c r="CL116"/>
      <c r="CM116"/>
      <c r="CN116"/>
      <c r="CO116"/>
      <c r="CP116"/>
      <c r="CQ116">
        <v>1.8625</v>
      </c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>
        <v>1.6392</v>
      </c>
      <c r="DI116"/>
      <c r="DJ116">
        <v>1.4766999999999999</v>
      </c>
      <c r="DK116"/>
      <c r="DL116">
        <v>1.4</v>
      </c>
      <c r="DM116"/>
      <c r="DN116"/>
      <c r="DO116"/>
      <c r="DP116"/>
      <c r="DQ116"/>
      <c r="DR116">
        <v>0.84989999999999999</v>
      </c>
      <c r="DS116">
        <v>2.2595999999999998</v>
      </c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>
        <v>2.637</v>
      </c>
      <c r="EJ116"/>
      <c r="EK116">
        <v>2.2780999999999998</v>
      </c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</row>
    <row r="117" spans="1:271" ht="15" x14ac:dyDescent="0.25">
      <c r="A117" s="1">
        <v>59</v>
      </c>
      <c r="B117" s="1" t="str">
        <v>2019-12-06</v>
      </c>
      <c r="C117" s="1">
        <v>3.6073</v>
      </c>
      <c r="F117" s="8">
        <f t="shared" si="3"/>
        <v>59</v>
      </c>
      <c r="G117" s="9">
        <f t="shared" si="4"/>
        <v>43805</v>
      </c>
      <c r="H117" s="10">
        <f t="shared" si="5"/>
        <v>3.6073</v>
      </c>
      <c r="U117" s="11">
        <v>43962</v>
      </c>
      <c r="V117"/>
      <c r="W117"/>
      <c r="X117"/>
      <c r="Y117">
        <v>1.3873</v>
      </c>
      <c r="Z117"/>
      <c r="AA117"/>
      <c r="AB117">
        <v>1.5177</v>
      </c>
      <c r="AC117"/>
      <c r="AD117"/>
      <c r="AE117"/>
      <c r="AF117"/>
      <c r="AG117"/>
      <c r="AH117"/>
      <c r="AI117"/>
      <c r="AJ117">
        <v>1.204</v>
      </c>
      <c r="AK117"/>
      <c r="AL117"/>
      <c r="AM117"/>
      <c r="AN117">
        <v>1.6607000000000001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>
        <v>2</v>
      </c>
      <c r="BO117"/>
      <c r="BP117"/>
      <c r="BQ117"/>
      <c r="BR117"/>
      <c r="BS117"/>
      <c r="BT117"/>
      <c r="BU117">
        <v>1.7939000000000001</v>
      </c>
      <c r="BV117"/>
      <c r="BW117"/>
      <c r="BX117"/>
      <c r="BY117"/>
      <c r="BZ117"/>
      <c r="CA117"/>
      <c r="CB117"/>
      <c r="CC117"/>
      <c r="CD117"/>
      <c r="CE117"/>
      <c r="CF117">
        <v>1.2325999999999999</v>
      </c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>
        <v>1.6997</v>
      </c>
      <c r="CU117"/>
      <c r="CV117"/>
      <c r="CW117"/>
      <c r="CX117"/>
      <c r="CY117"/>
      <c r="CZ117"/>
      <c r="DA117"/>
      <c r="DB117"/>
      <c r="DC117">
        <v>1.5297000000000001</v>
      </c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>
        <v>1.0521</v>
      </c>
      <c r="DS117"/>
      <c r="DT117"/>
      <c r="DU117"/>
      <c r="DV117"/>
      <c r="DW117"/>
      <c r="DX117"/>
      <c r="DY117"/>
      <c r="DZ117"/>
      <c r="EA117">
        <v>1.7806999999999999</v>
      </c>
      <c r="EB117"/>
      <c r="EC117">
        <v>1.2272000000000001</v>
      </c>
      <c r="ED117"/>
      <c r="EE117">
        <v>1.5</v>
      </c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</row>
    <row r="118" spans="1:271" ht="15" x14ac:dyDescent="0.25">
      <c r="A118" s="1">
        <v>32783</v>
      </c>
      <c r="B118" s="1" t="str">
        <v>2019-12-06</v>
      </c>
      <c r="C118" s="1">
        <v>3.7111000000000001</v>
      </c>
      <c r="F118" s="8">
        <f t="shared" si="3"/>
        <v>32783</v>
      </c>
      <c r="G118" s="9">
        <f t="shared" si="4"/>
        <v>43805</v>
      </c>
      <c r="H118" s="10">
        <f t="shared" si="5"/>
        <v>3.7111000000000001</v>
      </c>
      <c r="U118" s="11">
        <v>43963</v>
      </c>
      <c r="V118"/>
      <c r="W118"/>
      <c r="X118"/>
      <c r="Y118"/>
      <c r="Z118"/>
      <c r="AA118"/>
      <c r="AB118"/>
      <c r="AC118"/>
      <c r="AD118"/>
      <c r="AE118">
        <v>1.7591000000000001</v>
      </c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>
        <v>1.6997</v>
      </c>
      <c r="CU118"/>
      <c r="CV118"/>
      <c r="CW118"/>
      <c r="CX118">
        <v>1.0221</v>
      </c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>
        <v>1.6057999999999999</v>
      </c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</row>
    <row r="119" spans="1:271" ht="15" x14ac:dyDescent="0.25">
      <c r="A119" s="1">
        <v>1</v>
      </c>
      <c r="B119" s="1" t="str">
        <v>2019-12-06</v>
      </c>
      <c r="C119" s="1">
        <v>3.7008999999999999</v>
      </c>
      <c r="F119" s="8">
        <f t="shared" si="3"/>
        <v>1</v>
      </c>
      <c r="G119" s="9">
        <f t="shared" si="4"/>
        <v>43805</v>
      </c>
      <c r="H119" s="10">
        <f t="shared" si="5"/>
        <v>3.7008999999999999</v>
      </c>
      <c r="U119" s="11">
        <v>43964</v>
      </c>
      <c r="V119"/>
      <c r="W119"/>
      <c r="X119"/>
      <c r="Y119"/>
      <c r="Z119"/>
      <c r="AA119"/>
      <c r="AB119"/>
      <c r="AC119"/>
      <c r="AD119"/>
      <c r="AE119"/>
      <c r="AF119"/>
      <c r="AG119"/>
      <c r="AH119">
        <v>1.2523</v>
      </c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>
        <v>2.7494999999999998</v>
      </c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>
        <v>1.5431999999999999</v>
      </c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>
        <v>0.72850000000000004</v>
      </c>
      <c r="CO119"/>
      <c r="CP119"/>
      <c r="CQ119"/>
      <c r="CR119"/>
      <c r="CS119"/>
      <c r="CT119"/>
      <c r="CU119"/>
      <c r="CV119"/>
      <c r="CW119"/>
      <c r="CX119">
        <v>1.0221</v>
      </c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>
        <v>1.6057999999999999</v>
      </c>
      <c r="EC119"/>
      <c r="ED119"/>
      <c r="EE119"/>
      <c r="EF119"/>
      <c r="EG119"/>
      <c r="EH119"/>
      <c r="EI119"/>
      <c r="EJ119"/>
      <c r="EK119"/>
      <c r="EL119"/>
      <c r="EM119">
        <v>1.893</v>
      </c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</row>
    <row r="120" spans="1:271" ht="15" x14ac:dyDescent="0.25">
      <c r="A120" s="1">
        <v>83</v>
      </c>
      <c r="B120" s="1" t="str">
        <v>2019-12-06</v>
      </c>
      <c r="C120" s="1">
        <v>4</v>
      </c>
      <c r="F120" s="8">
        <f t="shared" si="3"/>
        <v>83</v>
      </c>
      <c r="G120" s="9">
        <f t="shared" si="4"/>
        <v>43805</v>
      </c>
      <c r="H120" s="10">
        <f t="shared" si="5"/>
        <v>4</v>
      </c>
      <c r="U120" s="11">
        <v>43965</v>
      </c>
      <c r="V120"/>
      <c r="W120">
        <v>2.0973000000000002</v>
      </c>
      <c r="X120"/>
      <c r="Y120"/>
      <c r="Z120"/>
      <c r="AA120"/>
      <c r="AB120"/>
      <c r="AC120"/>
      <c r="AD120"/>
      <c r="AE120"/>
      <c r="AF120">
        <v>1.5263</v>
      </c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>
        <v>1.6989000000000001</v>
      </c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>
        <v>0.99050000000000005</v>
      </c>
      <c r="CM120"/>
      <c r="CN120"/>
      <c r="CO120">
        <v>1.3554999999999999</v>
      </c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</row>
    <row r="121" spans="1:271" ht="15" x14ac:dyDescent="0.25">
      <c r="A121" s="1">
        <v>78</v>
      </c>
      <c r="B121" s="1" t="str">
        <v>2019-12-06</v>
      </c>
      <c r="C121" s="1">
        <v>3.5253999999999999</v>
      </c>
      <c r="F121" s="8">
        <f t="shared" si="3"/>
        <v>78</v>
      </c>
      <c r="G121" s="9">
        <f t="shared" si="4"/>
        <v>43805</v>
      </c>
      <c r="H121" s="10">
        <f t="shared" si="5"/>
        <v>3.5253999999999999</v>
      </c>
      <c r="U121" s="11">
        <v>43966</v>
      </c>
      <c r="V121"/>
      <c r="W121"/>
      <c r="X121">
        <v>1.4573</v>
      </c>
      <c r="Y121">
        <v>1.3873</v>
      </c>
      <c r="Z121"/>
      <c r="AA121">
        <v>2.1572</v>
      </c>
      <c r="AB121"/>
      <c r="AC121"/>
      <c r="AD121"/>
      <c r="AE121"/>
      <c r="AF121"/>
      <c r="AG121">
        <v>1.1830000000000001</v>
      </c>
      <c r="AH121"/>
      <c r="AI121"/>
      <c r="AJ121"/>
      <c r="AK121"/>
      <c r="AL121"/>
      <c r="AM121"/>
      <c r="AN121"/>
      <c r="AO121"/>
      <c r="AP121">
        <v>1.9843999999999999</v>
      </c>
      <c r="AQ121"/>
      <c r="AR121"/>
      <c r="AS121"/>
      <c r="AT121"/>
      <c r="AU121"/>
      <c r="AV121"/>
      <c r="AW121">
        <v>1.6487000000000001</v>
      </c>
      <c r="AX121">
        <v>1.446</v>
      </c>
      <c r="AY121">
        <v>1.8329</v>
      </c>
      <c r="AZ121"/>
      <c r="BA121"/>
      <c r="BB121"/>
      <c r="BC121"/>
      <c r="BD121"/>
      <c r="BE121"/>
      <c r="BF121"/>
      <c r="BG121"/>
      <c r="BH121"/>
      <c r="BI121"/>
      <c r="BJ121">
        <v>1.1322000000000001</v>
      </c>
      <c r="BK121">
        <v>1.5913999999999999</v>
      </c>
      <c r="BL121"/>
      <c r="BM121">
        <v>1.9742999999999999</v>
      </c>
      <c r="BN121"/>
      <c r="BO121"/>
      <c r="BP121"/>
      <c r="BQ121"/>
      <c r="BR121"/>
      <c r="BS121"/>
      <c r="BT121"/>
      <c r="BU121"/>
      <c r="BV121"/>
      <c r="BW121">
        <v>1.7806</v>
      </c>
      <c r="BX121"/>
      <c r="BY121">
        <v>1.4467000000000001</v>
      </c>
      <c r="BZ121"/>
      <c r="CA121"/>
      <c r="CB121"/>
      <c r="CC121"/>
      <c r="CD121"/>
      <c r="CE121"/>
      <c r="CF121"/>
      <c r="CG121"/>
      <c r="CH121">
        <v>1.5073000000000001</v>
      </c>
      <c r="CI121"/>
      <c r="CJ121">
        <v>1.8621000000000001</v>
      </c>
      <c r="CK121"/>
      <c r="CL121"/>
      <c r="CM121"/>
      <c r="CN121"/>
      <c r="CO121"/>
      <c r="CP121"/>
      <c r="CQ121">
        <v>1.8625</v>
      </c>
      <c r="CR121"/>
      <c r="CS121"/>
      <c r="CT121"/>
      <c r="CU121"/>
      <c r="CV121"/>
      <c r="CW121"/>
      <c r="CX121"/>
      <c r="CY121"/>
      <c r="CZ121"/>
      <c r="DA121"/>
      <c r="DB121">
        <v>1.5806</v>
      </c>
      <c r="DC121">
        <v>1.5297000000000001</v>
      </c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>
        <v>2.6091000000000002</v>
      </c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</row>
    <row r="122" spans="1:271" ht="15" x14ac:dyDescent="0.25">
      <c r="A122" s="1">
        <v>32603</v>
      </c>
      <c r="B122" s="1" t="str">
        <v>2019-12-06</v>
      </c>
      <c r="C122" s="1">
        <v>3.5243000000000002</v>
      </c>
      <c r="F122" s="8">
        <f t="shared" si="3"/>
        <v>32603</v>
      </c>
      <c r="G122" s="9">
        <f t="shared" si="4"/>
        <v>43805</v>
      </c>
      <c r="H122" s="10">
        <f t="shared" si="5"/>
        <v>3.5243000000000002</v>
      </c>
      <c r="U122" s="11">
        <v>43969</v>
      </c>
      <c r="V122"/>
      <c r="W122"/>
      <c r="X122"/>
      <c r="Y122"/>
      <c r="Z122"/>
      <c r="AA122"/>
      <c r="AB122"/>
      <c r="AC122"/>
      <c r="AD122"/>
      <c r="AE122"/>
      <c r="AF122"/>
      <c r="AG122">
        <v>1.1830000000000001</v>
      </c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>
        <v>1.7939000000000001</v>
      </c>
      <c r="BV122"/>
      <c r="BW122"/>
      <c r="BX122"/>
      <c r="BY122"/>
      <c r="BZ122"/>
      <c r="CA122"/>
      <c r="CB122">
        <v>1.3658999999999999</v>
      </c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>
        <v>1.9</v>
      </c>
      <c r="DA122">
        <v>2.2098</v>
      </c>
      <c r="DB122"/>
      <c r="DC122">
        <v>1.5297000000000001</v>
      </c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>
        <v>1.3028999999999999</v>
      </c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</row>
    <row r="123" spans="1:271" ht="15" x14ac:dyDescent="0.25">
      <c r="A123" s="1">
        <v>10</v>
      </c>
      <c r="B123" s="1" t="str">
        <v>2019-12-06</v>
      </c>
      <c r="C123" s="1">
        <v>3.5045000000000002</v>
      </c>
      <c r="F123" s="8">
        <f t="shared" si="3"/>
        <v>10</v>
      </c>
      <c r="G123" s="9">
        <f t="shared" si="4"/>
        <v>43805</v>
      </c>
      <c r="H123" s="10">
        <f t="shared" si="5"/>
        <v>3.5045000000000002</v>
      </c>
      <c r="U123" s="11">
        <v>43970</v>
      </c>
      <c r="V123"/>
      <c r="W123">
        <v>2.0973000000000002</v>
      </c>
      <c r="X123"/>
      <c r="Y123"/>
      <c r="Z123"/>
      <c r="AA123"/>
      <c r="AB123"/>
      <c r="AC123"/>
      <c r="AD123"/>
      <c r="AE123">
        <v>1.8507</v>
      </c>
      <c r="AF123">
        <v>1.5263</v>
      </c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>
        <v>1.3434999999999999</v>
      </c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</row>
    <row r="124" spans="1:271" ht="15" x14ac:dyDescent="0.25">
      <c r="A124" s="1">
        <v>32560</v>
      </c>
      <c r="B124" s="1" t="str">
        <v>2019-12-06</v>
      </c>
      <c r="C124" s="1">
        <v>3.5975000000000001</v>
      </c>
      <c r="F124" s="8">
        <f t="shared" si="3"/>
        <v>32560</v>
      </c>
      <c r="G124" s="9">
        <f t="shared" si="4"/>
        <v>43805</v>
      </c>
      <c r="H124" s="10">
        <f t="shared" si="5"/>
        <v>3.5975000000000001</v>
      </c>
      <c r="U124" s="11">
        <v>43971</v>
      </c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>
        <v>1.4157</v>
      </c>
      <c r="BI124"/>
      <c r="BJ124">
        <v>1.3039000000000001</v>
      </c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>
        <v>2.6147999999999998</v>
      </c>
      <c r="EJ124"/>
      <c r="EK124"/>
      <c r="EL124"/>
      <c r="EM124">
        <v>1.7199</v>
      </c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</row>
    <row r="125" spans="1:271" ht="15" x14ac:dyDescent="0.25">
      <c r="A125" s="1">
        <v>2250</v>
      </c>
      <c r="B125" s="1" t="str">
        <v>2019-12-06</v>
      </c>
      <c r="C125" s="1">
        <v>3.2361</v>
      </c>
      <c r="F125" s="8">
        <f t="shared" si="3"/>
        <v>2250</v>
      </c>
      <c r="G125" s="9">
        <f t="shared" si="4"/>
        <v>43805</v>
      </c>
      <c r="H125" s="10">
        <f t="shared" si="5"/>
        <v>3.2361</v>
      </c>
      <c r="U125" s="11">
        <v>43972</v>
      </c>
      <c r="V125"/>
      <c r="W125"/>
      <c r="X125"/>
      <c r="Y125"/>
      <c r="Z125"/>
      <c r="AA125"/>
      <c r="AB125"/>
      <c r="AC125"/>
      <c r="AD125">
        <v>1.9014</v>
      </c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>
        <v>1.45</v>
      </c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>
        <v>1.7097</v>
      </c>
      <c r="CU125"/>
      <c r="CV125"/>
      <c r="CW125"/>
      <c r="CX125">
        <v>1.0221</v>
      </c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>
        <v>2.2595999999999998</v>
      </c>
      <c r="DT125">
        <v>1.153</v>
      </c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</row>
    <row r="126" spans="1:271" ht="15" x14ac:dyDescent="0.25">
      <c r="A126" s="1">
        <v>1</v>
      </c>
      <c r="B126" s="1" t="str">
        <v>2019-12-09</v>
      </c>
      <c r="C126" s="1">
        <v>3.7008999999999999</v>
      </c>
      <c r="F126" s="8">
        <f t="shared" si="3"/>
        <v>1</v>
      </c>
      <c r="G126" s="9">
        <f t="shared" si="4"/>
        <v>43808</v>
      </c>
      <c r="H126" s="10">
        <f t="shared" si="5"/>
        <v>3.7008999999999999</v>
      </c>
      <c r="U126" s="11">
        <v>43973</v>
      </c>
      <c r="V126"/>
      <c r="W126"/>
      <c r="X126">
        <v>1.3759999999999999</v>
      </c>
      <c r="Y126">
        <v>1.3873</v>
      </c>
      <c r="Z126"/>
      <c r="AA126"/>
      <c r="AB126"/>
      <c r="AC126"/>
      <c r="AD126"/>
      <c r="AE126"/>
      <c r="AF126">
        <v>1.5263</v>
      </c>
      <c r="AG126"/>
      <c r="AH126">
        <v>1.2939000000000001</v>
      </c>
      <c r="AI126">
        <v>1.3349</v>
      </c>
      <c r="AJ126"/>
      <c r="AK126"/>
      <c r="AL126"/>
      <c r="AM126"/>
      <c r="AN126"/>
      <c r="AO126">
        <v>1.9431</v>
      </c>
      <c r="AP126">
        <v>1.9843999999999999</v>
      </c>
      <c r="AQ126">
        <v>1.5980000000000001</v>
      </c>
      <c r="AR126"/>
      <c r="AS126"/>
      <c r="AT126">
        <v>1.45</v>
      </c>
      <c r="AU126"/>
      <c r="AV126">
        <v>2.7494999999999998</v>
      </c>
      <c r="AW126">
        <v>1.7297</v>
      </c>
      <c r="AX126">
        <v>1.446</v>
      </c>
      <c r="AY126"/>
      <c r="AZ126"/>
      <c r="BA126">
        <v>2.0655999999999999</v>
      </c>
      <c r="BB126"/>
      <c r="BC126"/>
      <c r="BD126"/>
      <c r="BE126"/>
      <c r="BF126">
        <v>1.9943</v>
      </c>
      <c r="BG126">
        <v>1.345</v>
      </c>
      <c r="BH126"/>
      <c r="BI126"/>
      <c r="BJ126">
        <v>1.1418999999999999</v>
      </c>
      <c r="BK126">
        <v>1.5302</v>
      </c>
      <c r="BL126"/>
      <c r="BM126"/>
      <c r="BN126"/>
      <c r="BO126"/>
      <c r="BP126"/>
      <c r="BQ126"/>
      <c r="BR126"/>
      <c r="BS126"/>
      <c r="BT126"/>
      <c r="BU126"/>
      <c r="BV126"/>
      <c r="BW126">
        <v>1.7806</v>
      </c>
      <c r="BX126"/>
      <c r="BY126"/>
      <c r="BZ126"/>
      <c r="CA126"/>
      <c r="CB126"/>
      <c r="CC126">
        <v>0.8397</v>
      </c>
      <c r="CD126"/>
      <c r="CE126"/>
      <c r="CF126"/>
      <c r="CG126"/>
      <c r="CH126"/>
      <c r="CI126"/>
      <c r="CJ126"/>
      <c r="CK126"/>
      <c r="CL126"/>
      <c r="CM126"/>
      <c r="CN126">
        <v>0.67849999999999999</v>
      </c>
      <c r="CO126"/>
      <c r="CP126"/>
      <c r="CQ126"/>
      <c r="CR126"/>
      <c r="CS126"/>
      <c r="CT126">
        <v>1.6587000000000001</v>
      </c>
      <c r="CU126"/>
      <c r="CV126"/>
      <c r="CW126">
        <v>1.9016</v>
      </c>
      <c r="CX126"/>
      <c r="CY126"/>
      <c r="CZ126"/>
      <c r="DA126"/>
      <c r="DB126">
        <v>1.597</v>
      </c>
      <c r="DC126"/>
      <c r="DD126"/>
      <c r="DE126"/>
      <c r="DF126">
        <v>1.0212000000000001</v>
      </c>
      <c r="DG126"/>
      <c r="DH126"/>
      <c r="DI126"/>
      <c r="DJ126"/>
      <c r="DK126"/>
      <c r="DL126"/>
      <c r="DM126"/>
      <c r="DN126"/>
      <c r="DO126"/>
      <c r="DP126"/>
      <c r="DQ126"/>
      <c r="DR126">
        <v>1.2341</v>
      </c>
      <c r="DS126"/>
      <c r="DT126"/>
      <c r="DU126"/>
      <c r="DV126"/>
      <c r="DW126"/>
      <c r="DX126"/>
      <c r="DY126"/>
      <c r="DZ126"/>
      <c r="EA126">
        <v>1.2939000000000001</v>
      </c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</row>
    <row r="127" spans="1:271" ht="15" x14ac:dyDescent="0.25">
      <c r="A127" s="1">
        <v>32603</v>
      </c>
      <c r="B127" s="1" t="str">
        <v>2019-12-09</v>
      </c>
      <c r="C127" s="1">
        <v>3.5243000000000002</v>
      </c>
      <c r="F127" s="8">
        <f t="shared" si="3"/>
        <v>32603</v>
      </c>
      <c r="G127" s="9">
        <f t="shared" si="4"/>
        <v>43808</v>
      </c>
      <c r="H127" s="10">
        <f t="shared" si="5"/>
        <v>3.5243000000000002</v>
      </c>
      <c r="U127" s="11">
        <v>43976</v>
      </c>
      <c r="V127"/>
      <c r="W127"/>
      <c r="X127"/>
      <c r="Y127"/>
      <c r="Z127"/>
      <c r="AA127">
        <v>2.1572</v>
      </c>
      <c r="AB127"/>
      <c r="AC127"/>
      <c r="AD127"/>
      <c r="AE127">
        <v>1.9628000000000001</v>
      </c>
      <c r="AF127"/>
      <c r="AG127"/>
      <c r="AH127"/>
      <c r="AI127"/>
      <c r="AJ127"/>
      <c r="AK127"/>
      <c r="AL127"/>
      <c r="AM127"/>
      <c r="AN127"/>
      <c r="AO127"/>
      <c r="AP127"/>
      <c r="AQ127"/>
      <c r="AR127">
        <v>1.8816999999999999</v>
      </c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>
        <v>1.6998</v>
      </c>
      <c r="BV127">
        <v>1.8420000000000001</v>
      </c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>
        <v>1.9737</v>
      </c>
      <c r="DB127"/>
      <c r="DC127">
        <v>1.3617999999999999</v>
      </c>
      <c r="DD127"/>
      <c r="DE127"/>
      <c r="DF127"/>
      <c r="DG127"/>
      <c r="DH127"/>
      <c r="DI127"/>
      <c r="DJ127"/>
      <c r="DK127"/>
      <c r="DL127"/>
      <c r="DM127">
        <v>0.96160000000000001</v>
      </c>
      <c r="DN127"/>
      <c r="DO127"/>
      <c r="DP127"/>
      <c r="DQ127">
        <v>2.1135999999999999</v>
      </c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</row>
    <row r="128" spans="1:271" ht="15" x14ac:dyDescent="0.25">
      <c r="A128" s="1">
        <v>32783</v>
      </c>
      <c r="B128" s="1" t="str">
        <v>2019-12-09</v>
      </c>
      <c r="C128" s="1">
        <v>3.7111000000000001</v>
      </c>
      <c r="F128" s="8">
        <f t="shared" si="3"/>
        <v>32783</v>
      </c>
      <c r="G128" s="9">
        <f t="shared" si="4"/>
        <v>43808</v>
      </c>
      <c r="H128" s="10">
        <f t="shared" si="5"/>
        <v>3.7111000000000001</v>
      </c>
      <c r="U128" s="11">
        <v>43977</v>
      </c>
      <c r="V128">
        <v>1.5471999999999999</v>
      </c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>
        <v>1.1327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>
        <v>1.6068</v>
      </c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>
        <v>1.3248</v>
      </c>
      <c r="CP128"/>
      <c r="CQ128"/>
      <c r="CR128">
        <v>1.1617999999999999</v>
      </c>
      <c r="CS128"/>
      <c r="CT128"/>
      <c r="CU128"/>
      <c r="CV128"/>
      <c r="CW128"/>
      <c r="CX128"/>
      <c r="CY128"/>
      <c r="CZ128"/>
      <c r="DA128"/>
      <c r="DB128"/>
      <c r="DC128"/>
      <c r="DD128">
        <v>2.0554999999999999</v>
      </c>
      <c r="DE128"/>
      <c r="DF128"/>
      <c r="DG128"/>
      <c r="DH128"/>
      <c r="DI128"/>
      <c r="DJ128"/>
      <c r="DK128">
        <v>1.0097</v>
      </c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>
        <v>2.0575999999999999</v>
      </c>
      <c r="EJ128"/>
      <c r="EK128"/>
      <c r="EL128"/>
      <c r="EM128"/>
      <c r="EN128">
        <v>2</v>
      </c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</row>
    <row r="129" spans="1:271" ht="15" x14ac:dyDescent="0.25">
      <c r="A129" s="1">
        <v>78</v>
      </c>
      <c r="B129" s="1" t="str">
        <v>2019-12-09</v>
      </c>
      <c r="C129" s="1">
        <v>3.5668000000000002</v>
      </c>
      <c r="F129" s="8">
        <f t="shared" si="3"/>
        <v>78</v>
      </c>
      <c r="G129" s="9">
        <f t="shared" si="4"/>
        <v>43808</v>
      </c>
      <c r="H129" s="10">
        <f t="shared" si="5"/>
        <v>3.5668000000000002</v>
      </c>
      <c r="U129" s="11">
        <v>43978</v>
      </c>
      <c r="V129">
        <v>1.5569999999999999</v>
      </c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>
        <v>1.2937000000000001</v>
      </c>
      <c r="BT129"/>
      <c r="BU129"/>
      <c r="BV129"/>
      <c r="BW129"/>
      <c r="BX129"/>
      <c r="BY129">
        <v>1.5567</v>
      </c>
      <c r="BZ129"/>
      <c r="CA129"/>
      <c r="CB129"/>
      <c r="CC129">
        <v>0.8397</v>
      </c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>
        <v>1.486</v>
      </c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>
        <v>1.7192000000000001</v>
      </c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</row>
    <row r="130" spans="1:271" ht="15" x14ac:dyDescent="0.25">
      <c r="A130" s="1">
        <v>32360</v>
      </c>
      <c r="B130" s="1" t="str">
        <v>2019-12-09</v>
      </c>
      <c r="C130" s="1">
        <v>3.5977999999999999</v>
      </c>
      <c r="F130" s="8">
        <f t="shared" si="3"/>
        <v>32360</v>
      </c>
      <c r="G130" s="9">
        <f t="shared" si="4"/>
        <v>43808</v>
      </c>
      <c r="H130" s="10">
        <f t="shared" si="5"/>
        <v>3.5977999999999999</v>
      </c>
      <c r="U130" s="11">
        <v>43979</v>
      </c>
      <c r="V130"/>
      <c r="W130">
        <v>2.0042</v>
      </c>
      <c r="X130"/>
      <c r="Y130"/>
      <c r="Z130"/>
      <c r="AA130"/>
      <c r="AB130"/>
      <c r="AC130"/>
      <c r="AD130"/>
      <c r="AE130"/>
      <c r="AF130"/>
      <c r="AG130">
        <v>0.9909</v>
      </c>
      <c r="AH130"/>
      <c r="AI130"/>
      <c r="AJ130"/>
      <c r="AK130"/>
      <c r="AL130"/>
      <c r="AM130"/>
      <c r="AN130"/>
      <c r="AO130"/>
      <c r="AP130"/>
      <c r="AQ130">
        <v>1.5469999999999999</v>
      </c>
      <c r="AR130"/>
      <c r="AS130"/>
      <c r="AT130"/>
      <c r="AU130"/>
      <c r="AV130"/>
      <c r="AW130"/>
      <c r="AX130"/>
      <c r="AY130"/>
      <c r="AZ130"/>
      <c r="BA130"/>
      <c r="BB130"/>
      <c r="BC130"/>
      <c r="BD130">
        <v>1.8304</v>
      </c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>
        <v>1.1920999999999999</v>
      </c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</row>
    <row r="131" spans="1:271" ht="15" x14ac:dyDescent="0.25">
      <c r="A131" s="1">
        <v>32582</v>
      </c>
      <c r="B131" s="1" t="str">
        <v>2019-12-09</v>
      </c>
      <c r="C131" s="1">
        <v>3.6597</v>
      </c>
      <c r="F131" s="8">
        <f t="shared" si="3"/>
        <v>32582</v>
      </c>
      <c r="G131" s="9">
        <f t="shared" si="4"/>
        <v>43808</v>
      </c>
      <c r="H131" s="10">
        <f t="shared" si="5"/>
        <v>3.6597</v>
      </c>
      <c r="U131" s="11">
        <v>43980</v>
      </c>
      <c r="V131"/>
      <c r="W131"/>
      <c r="X131"/>
      <c r="Y131">
        <v>1.3873</v>
      </c>
      <c r="Z131"/>
      <c r="AA131"/>
      <c r="AB131"/>
      <c r="AC131"/>
      <c r="AD131">
        <v>1.9014</v>
      </c>
      <c r="AE131"/>
      <c r="AF131"/>
      <c r="AG131">
        <v>0.75929999999999997</v>
      </c>
      <c r="AH131"/>
      <c r="AI131"/>
      <c r="AJ131"/>
      <c r="AK131"/>
      <c r="AL131"/>
      <c r="AM131">
        <v>1.1620999999999999</v>
      </c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>
        <v>1.3851</v>
      </c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>
        <v>0.72860000000000003</v>
      </c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>
        <v>1.6664000000000001</v>
      </c>
      <c r="CR131"/>
      <c r="CS131"/>
      <c r="CT131">
        <v>1.7094</v>
      </c>
      <c r="CU131"/>
      <c r="CV131"/>
      <c r="CW131">
        <v>1.8915</v>
      </c>
      <c r="CX131"/>
      <c r="CY131"/>
      <c r="CZ131"/>
      <c r="DA131"/>
      <c r="DB131">
        <v>1.6334</v>
      </c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>
        <v>2.0575999999999999</v>
      </c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</row>
    <row r="132" spans="1:271" ht="15" x14ac:dyDescent="0.25">
      <c r="A132" s="1">
        <v>32480</v>
      </c>
      <c r="B132" s="1" t="str">
        <v>2019-12-09</v>
      </c>
      <c r="C132" s="1">
        <v>3.2469000000000001</v>
      </c>
      <c r="F132" s="8">
        <f t="shared" si="3"/>
        <v>32480</v>
      </c>
      <c r="G132" s="9">
        <f t="shared" si="4"/>
        <v>43808</v>
      </c>
      <c r="H132" s="10">
        <f t="shared" si="5"/>
        <v>3.2469000000000001</v>
      </c>
      <c r="U132" s="11">
        <v>43983</v>
      </c>
      <c r="V132"/>
      <c r="W132"/>
      <c r="X132"/>
      <c r="Y132"/>
      <c r="Z132"/>
      <c r="AA132"/>
      <c r="AB132"/>
      <c r="AC132"/>
      <c r="AD132"/>
      <c r="AE132"/>
      <c r="AF132"/>
      <c r="AG132"/>
      <c r="AH132">
        <v>1.1624000000000001</v>
      </c>
      <c r="AI132"/>
      <c r="AJ132"/>
      <c r="AK132"/>
      <c r="AL132"/>
      <c r="AM132"/>
      <c r="AN132"/>
      <c r="AO132"/>
      <c r="AP132">
        <v>1.9843999999999999</v>
      </c>
      <c r="AQ132"/>
      <c r="AR132"/>
      <c r="AS132"/>
      <c r="AT132">
        <v>1.45</v>
      </c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>
        <v>1.4055</v>
      </c>
      <c r="BI132"/>
      <c r="BJ132"/>
      <c r="BK132"/>
      <c r="BL132"/>
      <c r="BM132"/>
      <c r="BN132"/>
      <c r="BO132"/>
      <c r="BP132"/>
      <c r="BQ132"/>
      <c r="BR132"/>
      <c r="BS132"/>
      <c r="BT132"/>
      <c r="BU132">
        <v>1.6962999999999999</v>
      </c>
      <c r="BV132"/>
      <c r="BW132">
        <v>1.6988000000000001</v>
      </c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>
        <v>1.6375</v>
      </c>
      <c r="CQ132"/>
      <c r="CR132"/>
      <c r="CS132"/>
      <c r="CT132"/>
      <c r="CU132"/>
      <c r="CV132"/>
      <c r="CW132"/>
      <c r="CX132"/>
      <c r="CY132">
        <v>1.363</v>
      </c>
      <c r="CZ132"/>
      <c r="DA132"/>
      <c r="DB132"/>
      <c r="DC132">
        <v>1.4892000000000001</v>
      </c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>
        <v>2.1162999999999998</v>
      </c>
      <c r="DZ132"/>
      <c r="EA132">
        <v>1.1923999999999999</v>
      </c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</row>
    <row r="133" spans="1:271" ht="15" x14ac:dyDescent="0.25">
      <c r="A133" s="1">
        <v>55</v>
      </c>
      <c r="B133" s="1" t="str">
        <v>2019-12-09</v>
      </c>
      <c r="C133" s="1">
        <v>3.55</v>
      </c>
      <c r="F133" s="8">
        <f t="shared" si="3"/>
        <v>55</v>
      </c>
      <c r="G133" s="9">
        <f t="shared" si="4"/>
        <v>43808</v>
      </c>
      <c r="H133" s="10">
        <f t="shared" si="5"/>
        <v>3.55</v>
      </c>
      <c r="U133" s="11">
        <v>43984</v>
      </c>
      <c r="V133"/>
      <c r="W133"/>
      <c r="X133"/>
      <c r="Y133"/>
      <c r="Z133"/>
      <c r="AA133"/>
      <c r="AB133"/>
      <c r="AC133"/>
      <c r="AD133"/>
      <c r="AE133">
        <v>2.0034000000000001</v>
      </c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>
        <v>1.6</v>
      </c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>
        <v>1.3658999999999999</v>
      </c>
      <c r="CC133"/>
      <c r="CD133"/>
      <c r="CE133"/>
      <c r="CF133"/>
      <c r="CG133"/>
      <c r="CH133"/>
      <c r="CI133"/>
      <c r="CJ133"/>
      <c r="CK133">
        <v>1.2629999999999999</v>
      </c>
      <c r="CL133"/>
      <c r="CM133"/>
      <c r="CN133"/>
      <c r="CO133"/>
      <c r="CP133"/>
      <c r="CQ133"/>
      <c r="CR133"/>
      <c r="CS133"/>
      <c r="CT133"/>
      <c r="CU133">
        <v>1.5366</v>
      </c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>
        <v>1.4359</v>
      </c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</row>
    <row r="134" spans="1:271" ht="15" x14ac:dyDescent="0.25">
      <c r="A134" s="1">
        <v>32340</v>
      </c>
      <c r="B134" s="1" t="str">
        <v>2019-12-09</v>
      </c>
      <c r="C134" s="1">
        <v>3.5251999999999999</v>
      </c>
      <c r="F134" s="8">
        <f t="shared" si="3"/>
        <v>32340</v>
      </c>
      <c r="G134" s="9">
        <f t="shared" si="4"/>
        <v>43808</v>
      </c>
      <c r="H134" s="10">
        <f t="shared" si="5"/>
        <v>3.5251999999999999</v>
      </c>
      <c r="U134" s="11">
        <v>43985</v>
      </c>
      <c r="V134"/>
      <c r="W134"/>
      <c r="X134"/>
      <c r="Y134"/>
      <c r="Z134"/>
      <c r="AA134"/>
      <c r="AB134"/>
      <c r="AC134"/>
      <c r="AD134">
        <v>1.9014</v>
      </c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>
        <v>1.1418999999999999</v>
      </c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>
        <v>1.1625000000000001</v>
      </c>
      <c r="DF134"/>
      <c r="DG134"/>
      <c r="DH134"/>
      <c r="DI134">
        <v>1.9932000000000001</v>
      </c>
      <c r="DJ134"/>
      <c r="DK134"/>
      <c r="DL134"/>
      <c r="DM134"/>
      <c r="DN134"/>
      <c r="DO134"/>
      <c r="DP134"/>
      <c r="DQ134"/>
      <c r="DR134">
        <v>1.264</v>
      </c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>
        <v>1.4358</v>
      </c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</row>
    <row r="135" spans="1:271" ht="15" x14ac:dyDescent="0.25">
      <c r="A135" s="1">
        <v>33023</v>
      </c>
      <c r="B135" s="1" t="str">
        <v>2019-12-09</v>
      </c>
      <c r="C135" s="1">
        <v>4</v>
      </c>
      <c r="F135" s="8">
        <f t="shared" si="3"/>
        <v>33023</v>
      </c>
      <c r="G135" s="9">
        <f t="shared" si="4"/>
        <v>43808</v>
      </c>
      <c r="H135" s="10">
        <f t="shared" si="5"/>
        <v>4</v>
      </c>
      <c r="U135" s="11">
        <v>43986</v>
      </c>
      <c r="V135"/>
      <c r="W135"/>
      <c r="X135"/>
      <c r="Y135"/>
      <c r="Z135"/>
      <c r="AA135"/>
      <c r="AB135"/>
      <c r="AC135">
        <v>1.5</v>
      </c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>
        <v>1.5302</v>
      </c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>
        <v>1.5</v>
      </c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</row>
    <row r="136" spans="1:271" ht="15" x14ac:dyDescent="0.25">
      <c r="A136" s="1">
        <v>32</v>
      </c>
      <c r="B136" s="1" t="str">
        <v>2019-12-09</v>
      </c>
      <c r="C136" s="1">
        <v>3.7008999999999999</v>
      </c>
      <c r="F136" s="8">
        <f t="shared" si="3"/>
        <v>32</v>
      </c>
      <c r="G136" s="9">
        <f t="shared" si="4"/>
        <v>43808</v>
      </c>
      <c r="H136" s="10">
        <f t="shared" si="5"/>
        <v>3.7008999999999999</v>
      </c>
      <c r="U136" s="11">
        <v>43987</v>
      </c>
      <c r="V136"/>
      <c r="W136"/>
      <c r="X136"/>
      <c r="Y136">
        <v>2.1082999999999998</v>
      </c>
      <c r="Z136"/>
      <c r="AA136"/>
      <c r="AB136"/>
      <c r="AC136"/>
      <c r="AD136"/>
      <c r="AE136"/>
      <c r="AF136"/>
      <c r="AG136">
        <v>0.81979999999999997</v>
      </c>
      <c r="AH136"/>
      <c r="AI136"/>
      <c r="AJ136"/>
      <c r="AK136">
        <v>1.8007</v>
      </c>
      <c r="AL136"/>
      <c r="AM136"/>
      <c r="AN136"/>
      <c r="AO136"/>
      <c r="AP136">
        <v>1.9835</v>
      </c>
      <c r="AQ136"/>
      <c r="AR136"/>
      <c r="AS136">
        <v>1.8311999999999999</v>
      </c>
      <c r="AT136"/>
      <c r="AU136"/>
      <c r="AV136"/>
      <c r="AW136">
        <v>1.5267999999999999</v>
      </c>
      <c r="AX136"/>
      <c r="AY136"/>
      <c r="AZ136"/>
      <c r="BA136">
        <v>1.7804</v>
      </c>
      <c r="BB136"/>
      <c r="BC136"/>
      <c r="BD136">
        <v>1.8304</v>
      </c>
      <c r="BE136">
        <v>1.6682999999999999</v>
      </c>
      <c r="BF136"/>
      <c r="BG136"/>
      <c r="BH136"/>
      <c r="BI136"/>
      <c r="BJ136">
        <v>1.0015000000000001</v>
      </c>
      <c r="BK136"/>
      <c r="BL136"/>
      <c r="BM136">
        <v>2.1573000000000002</v>
      </c>
      <c r="BN136"/>
      <c r="BO136"/>
      <c r="BP136"/>
      <c r="BQ136"/>
      <c r="BR136"/>
      <c r="BS136"/>
      <c r="BT136"/>
      <c r="BU136"/>
      <c r="BV136"/>
      <c r="BW136">
        <v>1.6988000000000001</v>
      </c>
      <c r="BX136"/>
      <c r="BY136">
        <v>1.5567</v>
      </c>
      <c r="BZ136"/>
      <c r="CA136"/>
      <c r="CB136">
        <v>1.5161</v>
      </c>
      <c r="CC136">
        <v>0.72860000000000003</v>
      </c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>
        <v>1.2692000000000001</v>
      </c>
      <c r="CR136"/>
      <c r="CS136"/>
      <c r="CT136"/>
      <c r="CU136"/>
      <c r="CV136"/>
      <c r="CW136"/>
      <c r="CX136">
        <v>1.4363999999999999</v>
      </c>
      <c r="CY136"/>
      <c r="CZ136">
        <v>1.6</v>
      </c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>
        <v>1.9429000000000001</v>
      </c>
      <c r="DT136">
        <v>1.0621</v>
      </c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>
        <v>2.0575999999999999</v>
      </c>
      <c r="EJ136"/>
      <c r="EK136"/>
      <c r="EL136">
        <v>1.1311</v>
      </c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</row>
    <row r="137" spans="1:271" ht="15" x14ac:dyDescent="0.25">
      <c r="A137" s="1">
        <v>77</v>
      </c>
      <c r="B137" s="1" t="str">
        <v>2019-12-09</v>
      </c>
      <c r="C137" s="1">
        <v>3.7101999999999999</v>
      </c>
      <c r="F137" s="8">
        <f t="shared" ref="F137:F200" si="6">A137</f>
        <v>77</v>
      </c>
      <c r="G137" s="9">
        <f t="shared" ref="G137:G200" si="7">DATE(LEFT(B137,4),MID(B137,6,2),RIGHT(B137,2))</f>
        <v>43808</v>
      </c>
      <c r="H137" s="10">
        <f t="shared" ref="H137:H200" si="8">C137</f>
        <v>3.7101999999999999</v>
      </c>
      <c r="U137" s="11">
        <v>43990</v>
      </c>
      <c r="V137">
        <v>1.5470999999999999</v>
      </c>
      <c r="W137"/>
      <c r="X137">
        <v>1.5069999999999999</v>
      </c>
      <c r="Y137"/>
      <c r="Z137"/>
      <c r="AA137"/>
      <c r="AB137">
        <v>1.4962</v>
      </c>
      <c r="AC137"/>
      <c r="AD137"/>
      <c r="AE137">
        <v>2.0034000000000001</v>
      </c>
      <c r="AF137"/>
      <c r="AG137"/>
      <c r="AH137">
        <v>1.1728000000000001</v>
      </c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>
        <v>1.4323999999999999</v>
      </c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>
        <v>1.1783999999999999</v>
      </c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</row>
    <row r="138" spans="1:271" ht="15" x14ac:dyDescent="0.25">
      <c r="A138" s="1">
        <v>32121</v>
      </c>
      <c r="B138" s="1" t="str">
        <v>2019-12-09</v>
      </c>
      <c r="C138" s="1">
        <v>3.7107999999999999</v>
      </c>
      <c r="F138" s="8">
        <f t="shared" si="6"/>
        <v>32121</v>
      </c>
      <c r="G138" s="9">
        <f t="shared" si="7"/>
        <v>43808</v>
      </c>
      <c r="H138" s="10">
        <f t="shared" si="8"/>
        <v>3.7107999999999999</v>
      </c>
      <c r="U138" s="11">
        <v>43991</v>
      </c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>
        <v>0.96240000000000003</v>
      </c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>
        <v>1.9549000000000001</v>
      </c>
      <c r="BV138"/>
      <c r="BW138"/>
      <c r="BX138"/>
      <c r="BY138"/>
      <c r="BZ138"/>
      <c r="CA138"/>
      <c r="CB138"/>
      <c r="CC138"/>
      <c r="CD138"/>
      <c r="CE138"/>
      <c r="CF138">
        <v>1.5971</v>
      </c>
      <c r="CG138"/>
      <c r="CH138"/>
      <c r="CI138"/>
      <c r="CJ138"/>
      <c r="CK138">
        <v>1.2629999999999999</v>
      </c>
      <c r="CL138"/>
      <c r="CM138"/>
      <c r="CN138"/>
      <c r="CO138"/>
      <c r="CP138"/>
      <c r="CQ138"/>
      <c r="CR138">
        <v>1.1617</v>
      </c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>
        <v>1.3849</v>
      </c>
      <c r="DL138"/>
      <c r="DM138"/>
      <c r="DN138"/>
      <c r="DO138">
        <v>1.4972000000000001</v>
      </c>
      <c r="DP138"/>
      <c r="DQ138"/>
      <c r="DR138"/>
      <c r="DS138"/>
      <c r="DT138"/>
      <c r="DU138"/>
      <c r="DV138"/>
      <c r="DW138">
        <v>1.5478000000000001</v>
      </c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</row>
    <row r="139" spans="1:271" ht="15" x14ac:dyDescent="0.25">
      <c r="A139" s="1">
        <v>178</v>
      </c>
      <c r="B139" s="1" t="str">
        <v>2019-12-09</v>
      </c>
      <c r="C139" s="1">
        <v>3.5973000000000002</v>
      </c>
      <c r="F139" s="8">
        <f t="shared" si="6"/>
        <v>178</v>
      </c>
      <c r="G139" s="9">
        <f t="shared" si="7"/>
        <v>43808</v>
      </c>
      <c r="H139" s="10">
        <f t="shared" si="8"/>
        <v>3.5973000000000002</v>
      </c>
      <c r="U139" s="11">
        <v>43992</v>
      </c>
      <c r="V139">
        <v>1.5476000000000001</v>
      </c>
      <c r="W139"/>
      <c r="X139"/>
      <c r="Y139"/>
      <c r="Z139"/>
      <c r="AA139"/>
      <c r="AB139"/>
      <c r="AC139"/>
      <c r="AD139">
        <v>1.7303999999999999</v>
      </c>
      <c r="AE139"/>
      <c r="AF139"/>
      <c r="AG139"/>
      <c r="AH139"/>
      <c r="AI139"/>
      <c r="AJ139">
        <v>1.7201</v>
      </c>
      <c r="AK139"/>
      <c r="AL139"/>
      <c r="AM139">
        <v>1.6492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>
        <v>2.1671999999999998</v>
      </c>
      <c r="BE139"/>
      <c r="BF139"/>
      <c r="BG139">
        <v>1.4972000000000001</v>
      </c>
      <c r="BH139"/>
      <c r="BI139"/>
      <c r="BJ139"/>
      <c r="BK139"/>
      <c r="BL139">
        <v>1.5478000000000001</v>
      </c>
      <c r="BM139"/>
      <c r="BN139"/>
      <c r="BO139"/>
      <c r="BP139"/>
      <c r="BQ139">
        <v>1.4970000000000001</v>
      </c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>
        <v>0.7601</v>
      </c>
      <c r="CO139">
        <v>1.4257</v>
      </c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>
        <v>1.6085</v>
      </c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>
        <v>1.3552</v>
      </c>
      <c r="EB139"/>
      <c r="EC139"/>
      <c r="ED139"/>
      <c r="EE139"/>
      <c r="EF139"/>
      <c r="EG139"/>
      <c r="EH139"/>
      <c r="EI139"/>
      <c r="EJ139"/>
      <c r="EK139"/>
      <c r="EL139"/>
      <c r="EM139">
        <v>1.649</v>
      </c>
      <c r="EN139"/>
      <c r="EO139"/>
      <c r="EP139"/>
      <c r="EQ139"/>
      <c r="ER139"/>
      <c r="ES139"/>
      <c r="ET139"/>
      <c r="EU139"/>
      <c r="EV139"/>
    </row>
    <row r="140" spans="1:271" ht="15" x14ac:dyDescent="0.25">
      <c r="A140" s="1">
        <v>176</v>
      </c>
      <c r="B140" s="1" t="str">
        <v>2019-12-10</v>
      </c>
      <c r="C140" s="1">
        <v>3.5564</v>
      </c>
      <c r="F140" s="8">
        <f t="shared" si="6"/>
        <v>176</v>
      </c>
      <c r="G140" s="9">
        <f t="shared" si="7"/>
        <v>43809</v>
      </c>
      <c r="H140" s="10">
        <f t="shared" si="8"/>
        <v>3.5564</v>
      </c>
      <c r="U140" s="11">
        <v>43994</v>
      </c>
      <c r="V140">
        <v>1.5477000000000001</v>
      </c>
      <c r="W140"/>
      <c r="X140">
        <v>1.5275000000000001</v>
      </c>
      <c r="Y140">
        <v>1.5578000000000001</v>
      </c>
      <c r="Z140">
        <v>1.9028</v>
      </c>
      <c r="AA140">
        <v>1.7506999999999999</v>
      </c>
      <c r="AB140"/>
      <c r="AC140">
        <v>1.7</v>
      </c>
      <c r="AD140">
        <v>1.6746000000000001</v>
      </c>
      <c r="AE140">
        <v>2.1568999999999998</v>
      </c>
      <c r="AF140">
        <v>2.6364999999999998</v>
      </c>
      <c r="AG140">
        <v>1.002</v>
      </c>
      <c r="AH140"/>
      <c r="AI140">
        <v>1.3149</v>
      </c>
      <c r="AJ140">
        <v>1.7606999999999999</v>
      </c>
      <c r="AK140">
        <v>1.9029</v>
      </c>
      <c r="AL140"/>
      <c r="AM140">
        <v>1.5476000000000001</v>
      </c>
      <c r="AN140"/>
      <c r="AO140">
        <v>1.6991000000000001</v>
      </c>
      <c r="AP140">
        <v>2.004</v>
      </c>
      <c r="AQ140">
        <v>1.7202</v>
      </c>
      <c r="AR140"/>
      <c r="AS140"/>
      <c r="AT140">
        <v>1.4512</v>
      </c>
      <c r="AU140"/>
      <c r="AV140"/>
      <c r="AW140"/>
      <c r="AX140">
        <v>1.4968999999999999</v>
      </c>
      <c r="AY140">
        <v>1.8115000000000001</v>
      </c>
      <c r="AZ140">
        <v>1.5</v>
      </c>
      <c r="BA140">
        <v>1.7404999999999999</v>
      </c>
      <c r="BB140"/>
      <c r="BC140"/>
      <c r="BD140"/>
      <c r="BE140">
        <v>1.7906</v>
      </c>
      <c r="BF140">
        <v>2.0350999999999999</v>
      </c>
      <c r="BG140">
        <v>1.4972000000000001</v>
      </c>
      <c r="BH140">
        <v>1.5071000000000001</v>
      </c>
      <c r="BI140">
        <v>1.821</v>
      </c>
      <c r="BJ140"/>
      <c r="BK140"/>
      <c r="BL140"/>
      <c r="BM140"/>
      <c r="BN140"/>
      <c r="BO140"/>
      <c r="BP140"/>
      <c r="BQ140">
        <v>1.5071000000000001</v>
      </c>
      <c r="BR140"/>
      <c r="BS140"/>
      <c r="BT140">
        <v>1.8059000000000001</v>
      </c>
      <c r="BU140"/>
      <c r="BV140"/>
      <c r="BW140"/>
      <c r="BX140"/>
      <c r="BY140">
        <v>1.7098</v>
      </c>
      <c r="BZ140">
        <v>1.5563</v>
      </c>
      <c r="CA140">
        <v>1.4666999999999999</v>
      </c>
      <c r="CB140">
        <v>1.5875999999999999</v>
      </c>
      <c r="CC140">
        <v>0.95130000000000003</v>
      </c>
      <c r="CD140">
        <v>1.77</v>
      </c>
      <c r="CE140"/>
      <c r="CF140"/>
      <c r="CG140">
        <v>1.6388</v>
      </c>
      <c r="CH140">
        <v>1.4971000000000001</v>
      </c>
      <c r="CI140">
        <v>1.6591</v>
      </c>
      <c r="CJ140">
        <v>1.5580000000000001</v>
      </c>
      <c r="CK140"/>
      <c r="CL140">
        <v>1.3147</v>
      </c>
      <c r="CM140"/>
      <c r="CN140">
        <v>0.79020000000000001</v>
      </c>
      <c r="CO140"/>
      <c r="CP140">
        <v>1.9229000000000001</v>
      </c>
      <c r="CQ140"/>
      <c r="CR140"/>
      <c r="CS140"/>
      <c r="CT140">
        <v>1.8724000000000001</v>
      </c>
      <c r="CU140"/>
      <c r="CV140"/>
      <c r="CW140">
        <v>1.7705</v>
      </c>
      <c r="CX140">
        <v>1.3758999999999999</v>
      </c>
      <c r="CY140"/>
      <c r="CZ140"/>
      <c r="DA140">
        <v>1.9738</v>
      </c>
      <c r="DB140"/>
      <c r="DC140"/>
      <c r="DD140"/>
      <c r="DE140"/>
      <c r="DF140">
        <v>1.4867999999999999</v>
      </c>
      <c r="DG140"/>
      <c r="DH140">
        <v>1.8420000000000001</v>
      </c>
      <c r="DI140"/>
      <c r="DJ140"/>
      <c r="DK140">
        <v>1.6085</v>
      </c>
      <c r="DL140">
        <v>1.4</v>
      </c>
      <c r="DM140"/>
      <c r="DN140"/>
      <c r="DO140"/>
      <c r="DP140"/>
      <c r="DQ140"/>
      <c r="DR140">
        <v>1.3756999999999999</v>
      </c>
      <c r="DS140">
        <v>1.9029</v>
      </c>
      <c r="DT140">
        <v>1.2746</v>
      </c>
      <c r="DU140"/>
      <c r="DV140"/>
      <c r="DW140"/>
      <c r="DX140">
        <v>1.3453999999999999</v>
      </c>
      <c r="DY140">
        <v>2.1366000000000001</v>
      </c>
      <c r="DZ140"/>
      <c r="EA140"/>
      <c r="EB140"/>
      <c r="EC140">
        <v>0.94350000000000001</v>
      </c>
      <c r="ED140"/>
      <c r="EE140"/>
      <c r="EF140"/>
      <c r="EG140"/>
      <c r="EH140"/>
      <c r="EI140">
        <v>1.9351</v>
      </c>
      <c r="EJ140"/>
      <c r="EK140"/>
      <c r="EL140">
        <v>1.3956</v>
      </c>
      <c r="EM140"/>
      <c r="EN140"/>
      <c r="EO140"/>
      <c r="EP140">
        <v>1.4818</v>
      </c>
      <c r="EQ140"/>
      <c r="ER140"/>
      <c r="ES140"/>
      <c r="ET140"/>
      <c r="EU140"/>
      <c r="EV140"/>
    </row>
    <row r="141" spans="1:271" ht="15" x14ac:dyDescent="0.25">
      <c r="A141" s="1">
        <v>187</v>
      </c>
      <c r="B141" s="1" t="str">
        <v>2019-12-10</v>
      </c>
      <c r="C141" s="1">
        <v>3.8866000000000001</v>
      </c>
      <c r="F141" s="8">
        <f t="shared" si="6"/>
        <v>187</v>
      </c>
      <c r="G141" s="9">
        <f t="shared" si="7"/>
        <v>43809</v>
      </c>
      <c r="H141" s="10">
        <f t="shared" si="8"/>
        <v>3.8866000000000001</v>
      </c>
      <c r="U141" s="11">
        <v>43997</v>
      </c>
      <c r="V141"/>
      <c r="W141"/>
      <c r="X141"/>
      <c r="Y141"/>
      <c r="Z141"/>
      <c r="AA141"/>
      <c r="AB141"/>
      <c r="AC141"/>
      <c r="AD141"/>
      <c r="AE141">
        <v>2.2079</v>
      </c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>
        <v>1.4361999999999999</v>
      </c>
      <c r="BT141"/>
      <c r="BU141">
        <v>2.0074000000000001</v>
      </c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>
        <v>1.3758999999999999</v>
      </c>
      <c r="CY141"/>
      <c r="CZ141"/>
      <c r="DA141"/>
      <c r="DB141"/>
      <c r="DC141">
        <v>1.7557</v>
      </c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>
        <v>1.4818</v>
      </c>
      <c r="EQ141"/>
      <c r="ER141"/>
      <c r="ES141"/>
      <c r="ET141"/>
      <c r="EU141"/>
      <c r="EV141"/>
    </row>
    <row r="142" spans="1:271" ht="15" x14ac:dyDescent="0.25">
      <c r="A142" s="1">
        <v>32280</v>
      </c>
      <c r="B142" s="1" t="str">
        <v>2019-12-10</v>
      </c>
      <c r="C142" s="1">
        <v>3.7</v>
      </c>
      <c r="F142" s="8">
        <f t="shared" si="6"/>
        <v>32280</v>
      </c>
      <c r="G142" s="9">
        <f t="shared" si="7"/>
        <v>43809</v>
      </c>
      <c r="H142" s="10">
        <f t="shared" si="8"/>
        <v>3.7</v>
      </c>
      <c r="U142" s="11">
        <v>43998</v>
      </c>
      <c r="V142"/>
      <c r="W142"/>
      <c r="X142"/>
      <c r="Y142"/>
      <c r="Z142"/>
      <c r="AA142"/>
      <c r="AB142"/>
      <c r="AC142"/>
      <c r="AD142"/>
      <c r="AE142"/>
      <c r="AF142"/>
      <c r="AG142"/>
      <c r="AH142">
        <v>1.2947</v>
      </c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>
        <v>1.4464999999999999</v>
      </c>
      <c r="EN142"/>
      <c r="EO142"/>
      <c r="EP142"/>
      <c r="EQ142"/>
      <c r="ER142"/>
      <c r="ES142"/>
      <c r="ET142"/>
      <c r="EU142"/>
      <c r="EV142"/>
    </row>
    <row r="143" spans="1:271" ht="15" x14ac:dyDescent="0.25">
      <c r="A143" s="1">
        <v>102</v>
      </c>
      <c r="B143" s="1" t="str">
        <v>2019-12-11</v>
      </c>
      <c r="C143" s="1">
        <v>3.3393000000000002</v>
      </c>
      <c r="F143" s="8">
        <f t="shared" si="6"/>
        <v>102</v>
      </c>
      <c r="G143" s="9">
        <f t="shared" si="7"/>
        <v>43810</v>
      </c>
      <c r="H143" s="10">
        <f t="shared" si="8"/>
        <v>3.3393000000000002</v>
      </c>
      <c r="U143" s="11">
        <v>43999</v>
      </c>
      <c r="V143"/>
      <c r="W143">
        <v>2.0247000000000002</v>
      </c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>
        <v>1.3958999999999999</v>
      </c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>
        <v>1.4362999999999999</v>
      </c>
      <c r="EB143"/>
      <c r="EC143"/>
      <c r="ED143"/>
      <c r="EE143"/>
      <c r="EF143"/>
      <c r="EG143"/>
      <c r="EH143"/>
      <c r="EI143">
        <v>2.0026000000000002</v>
      </c>
      <c r="EJ143"/>
      <c r="EK143"/>
      <c r="EL143"/>
      <c r="EM143"/>
      <c r="EN143"/>
      <c r="EO143"/>
      <c r="EP143"/>
      <c r="EQ143"/>
      <c r="ER143"/>
      <c r="ES143"/>
      <c r="ET143"/>
      <c r="EU143"/>
      <c r="EV143"/>
    </row>
    <row r="144" spans="1:271" ht="15" x14ac:dyDescent="0.25">
      <c r="A144" s="1">
        <v>32421</v>
      </c>
      <c r="B144" s="1" t="str">
        <v>2019-12-11</v>
      </c>
      <c r="C144" s="1">
        <v>3.6360000000000001</v>
      </c>
      <c r="F144" s="8">
        <f t="shared" si="6"/>
        <v>32421</v>
      </c>
      <c r="G144" s="9">
        <f t="shared" si="7"/>
        <v>43810</v>
      </c>
      <c r="H144" s="10">
        <f t="shared" si="8"/>
        <v>3.6360000000000001</v>
      </c>
      <c r="U144" s="11">
        <v>44000</v>
      </c>
      <c r="V144"/>
      <c r="W144"/>
      <c r="X144"/>
      <c r="Y144"/>
      <c r="Z144"/>
      <c r="AA144"/>
      <c r="AB144"/>
      <c r="AC144"/>
      <c r="AD144">
        <v>1.7050000000000001</v>
      </c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>
        <v>2.0246</v>
      </c>
      <c r="EL144"/>
      <c r="EM144"/>
      <c r="EN144"/>
      <c r="EO144"/>
      <c r="EP144"/>
      <c r="EQ144"/>
      <c r="ER144"/>
      <c r="ES144"/>
      <c r="ET144"/>
      <c r="EU144"/>
      <c r="EV144"/>
    </row>
    <row r="145" spans="1:152" ht="15" x14ac:dyDescent="0.25">
      <c r="A145" s="1">
        <v>143</v>
      </c>
      <c r="B145" s="1" t="str">
        <v>2019-12-11</v>
      </c>
      <c r="C145" s="1">
        <v>3.5</v>
      </c>
      <c r="F145" s="8">
        <f t="shared" si="6"/>
        <v>143</v>
      </c>
      <c r="G145" s="9">
        <f t="shared" si="7"/>
        <v>43810</v>
      </c>
      <c r="H145" s="10">
        <f t="shared" si="8"/>
        <v>3.5</v>
      </c>
      <c r="U145" s="11">
        <v>44001</v>
      </c>
      <c r="V145"/>
      <c r="W145">
        <v>2.1674000000000002</v>
      </c>
      <c r="X145"/>
      <c r="Y145">
        <v>1.3858999999999999</v>
      </c>
      <c r="Z145"/>
      <c r="AA145"/>
      <c r="AB145"/>
      <c r="AC145"/>
      <c r="AD145"/>
      <c r="AE145"/>
      <c r="AF145"/>
      <c r="AG145">
        <v>1.002</v>
      </c>
      <c r="AH145">
        <v>1.4769000000000001</v>
      </c>
      <c r="AI145"/>
      <c r="AJ145"/>
      <c r="AK145"/>
      <c r="AL145"/>
      <c r="AM145"/>
      <c r="AN145"/>
      <c r="AO145"/>
      <c r="AP145">
        <v>2.004</v>
      </c>
      <c r="AQ145"/>
      <c r="AR145"/>
      <c r="AS145"/>
      <c r="AT145"/>
      <c r="AU145"/>
      <c r="AV145"/>
      <c r="AW145">
        <v>1.7402</v>
      </c>
      <c r="AX145"/>
      <c r="AY145"/>
      <c r="AZ145"/>
      <c r="BA145"/>
      <c r="BB145"/>
      <c r="BC145"/>
      <c r="BD145"/>
      <c r="BE145"/>
      <c r="BF145"/>
      <c r="BG145">
        <v>1.4972000000000001</v>
      </c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>
        <v>1.6592</v>
      </c>
      <c r="BZ145"/>
      <c r="CA145"/>
      <c r="CB145">
        <v>1.5875999999999999</v>
      </c>
      <c r="CC145"/>
      <c r="CD145"/>
      <c r="CE145"/>
      <c r="CF145">
        <v>1.7298</v>
      </c>
      <c r="CG145"/>
      <c r="CH145"/>
      <c r="CI145"/>
      <c r="CJ145"/>
      <c r="CK145">
        <v>1.3452999999999999</v>
      </c>
      <c r="CL145"/>
      <c r="CM145"/>
      <c r="CN145">
        <v>0.82020000000000004</v>
      </c>
      <c r="CO145"/>
      <c r="CP145"/>
      <c r="CQ145"/>
      <c r="CR145">
        <v>1.3958999999999999</v>
      </c>
      <c r="CS145">
        <v>1.6285000000000001</v>
      </c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>
        <v>1.4870000000000001</v>
      </c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</row>
    <row r="146" spans="1:152" ht="15" x14ac:dyDescent="0.25">
      <c r="A146" s="1">
        <v>32360</v>
      </c>
      <c r="B146" s="1" t="str">
        <v>2019-12-11</v>
      </c>
      <c r="C146" s="1">
        <v>3.5977999999999999</v>
      </c>
      <c r="F146" s="8">
        <f t="shared" si="6"/>
        <v>32360</v>
      </c>
      <c r="G146" s="9">
        <f t="shared" si="7"/>
        <v>43810</v>
      </c>
      <c r="H146" s="10">
        <f t="shared" si="8"/>
        <v>3.5977999999999999</v>
      </c>
      <c r="U146" s="11">
        <v>44004</v>
      </c>
      <c r="V146"/>
      <c r="W146"/>
      <c r="X146">
        <v>1.6693</v>
      </c>
      <c r="Y146"/>
      <c r="Z146"/>
      <c r="AA146"/>
      <c r="AB146"/>
      <c r="AC146"/>
      <c r="AD146"/>
      <c r="AE146">
        <v>2.2079</v>
      </c>
      <c r="AF146"/>
      <c r="AG146"/>
      <c r="AH146"/>
      <c r="AI146"/>
      <c r="AJ146"/>
      <c r="AK146"/>
      <c r="AL146"/>
      <c r="AM146"/>
      <c r="AN146">
        <v>1.6287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>
        <v>1.9734</v>
      </c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>
        <v>1.5</v>
      </c>
      <c r="EO146"/>
      <c r="EP146"/>
      <c r="EQ146"/>
      <c r="ER146"/>
      <c r="ES146"/>
      <c r="ET146"/>
      <c r="EU146"/>
      <c r="EV146"/>
    </row>
    <row r="147" spans="1:152" ht="15" x14ac:dyDescent="0.25">
      <c r="A147" s="1">
        <v>30350</v>
      </c>
      <c r="B147" s="1" t="str">
        <v>2019-12-11</v>
      </c>
      <c r="C147" s="1">
        <v>3.8041999999999998</v>
      </c>
      <c r="F147" s="8">
        <f t="shared" si="6"/>
        <v>30350</v>
      </c>
      <c r="G147" s="9">
        <f t="shared" si="7"/>
        <v>43810</v>
      </c>
      <c r="H147" s="10">
        <f t="shared" si="8"/>
        <v>3.8041999999999998</v>
      </c>
      <c r="U147" s="11">
        <v>44005</v>
      </c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>
        <v>2.0449999999999999</v>
      </c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>
        <v>2.0706000000000002</v>
      </c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>
        <v>1.5</v>
      </c>
      <c r="EF147"/>
      <c r="EG147"/>
      <c r="EH147"/>
      <c r="EI147">
        <v>2.0956999999999999</v>
      </c>
      <c r="EJ147"/>
      <c r="EK147"/>
      <c r="EL147"/>
      <c r="EM147">
        <v>1.8214999999999999</v>
      </c>
      <c r="EN147"/>
      <c r="EO147"/>
      <c r="EP147"/>
      <c r="EQ147"/>
      <c r="ER147"/>
      <c r="ES147"/>
      <c r="ET147"/>
      <c r="EU147"/>
      <c r="EV147"/>
    </row>
    <row r="148" spans="1:152" ht="15" x14ac:dyDescent="0.25">
      <c r="A148" s="1">
        <v>33023</v>
      </c>
      <c r="B148" s="1" t="str">
        <v>2019-12-12</v>
      </c>
      <c r="C148" s="1">
        <v>4</v>
      </c>
      <c r="F148" s="8">
        <f t="shared" si="6"/>
        <v>33023</v>
      </c>
      <c r="G148" s="9">
        <f t="shared" si="7"/>
        <v>43811</v>
      </c>
      <c r="H148" s="10">
        <f t="shared" si="8"/>
        <v>4</v>
      </c>
      <c r="U148" s="11">
        <v>44006</v>
      </c>
      <c r="V148"/>
      <c r="W148"/>
      <c r="X148"/>
      <c r="Y148"/>
      <c r="Z148"/>
      <c r="AA148"/>
      <c r="AB148"/>
      <c r="AC148"/>
      <c r="AD148">
        <v>1.7250000000000001</v>
      </c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>
        <v>2.0449999999999999</v>
      </c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>
        <v>1.5985</v>
      </c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>
        <v>1.7</v>
      </c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</row>
    <row r="149" spans="1:152" ht="15" x14ac:dyDescent="0.25">
      <c r="A149" s="1">
        <v>32724</v>
      </c>
      <c r="B149" s="1" t="str">
        <v>2019-12-12</v>
      </c>
      <c r="C149" s="1">
        <v>3.4842</v>
      </c>
      <c r="F149" s="8">
        <f t="shared" si="6"/>
        <v>32724</v>
      </c>
      <c r="G149" s="9">
        <f t="shared" si="7"/>
        <v>43811</v>
      </c>
      <c r="H149" s="10">
        <f t="shared" si="8"/>
        <v>3.4842</v>
      </c>
      <c r="U149" s="11">
        <v>44007</v>
      </c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>
        <v>1.3754999999999999</v>
      </c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>
        <v>1.8011999999999999</v>
      </c>
      <c r="BE149"/>
      <c r="BF149"/>
      <c r="BG149"/>
      <c r="BH149"/>
      <c r="BI149"/>
      <c r="BJ149"/>
      <c r="BK149"/>
      <c r="BL149"/>
      <c r="BM149"/>
      <c r="BN149">
        <v>1.6</v>
      </c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>
        <v>1.4804999999999999</v>
      </c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>
        <v>1.6188</v>
      </c>
      <c r="DK149"/>
      <c r="DL149"/>
      <c r="DM149"/>
      <c r="DN149"/>
      <c r="DO149"/>
      <c r="DP149"/>
      <c r="DQ149"/>
      <c r="DR149">
        <v>1.6086</v>
      </c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</row>
    <row r="150" spans="1:152" ht="15" x14ac:dyDescent="0.25">
      <c r="A150" s="1">
        <v>32320</v>
      </c>
      <c r="B150" s="1" t="str">
        <v>2019-12-12</v>
      </c>
      <c r="C150" s="1">
        <v>3.2363</v>
      </c>
      <c r="F150" s="8">
        <f t="shared" si="6"/>
        <v>32320</v>
      </c>
      <c r="G150" s="9">
        <f t="shared" si="7"/>
        <v>43811</v>
      </c>
      <c r="H150" s="10">
        <f t="shared" si="8"/>
        <v>3.2363</v>
      </c>
      <c r="U150" s="11">
        <v>44008</v>
      </c>
      <c r="V150"/>
      <c r="W150"/>
      <c r="X150">
        <v>1.649</v>
      </c>
      <c r="Y150">
        <v>1.3858999999999999</v>
      </c>
      <c r="Z150"/>
      <c r="AA150">
        <v>1.8218000000000001</v>
      </c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>
        <v>2.0043000000000002</v>
      </c>
      <c r="AQ150"/>
      <c r="AR150"/>
      <c r="AS150"/>
      <c r="AT150"/>
      <c r="AU150"/>
      <c r="AV150"/>
      <c r="AW150">
        <v>1.7097</v>
      </c>
      <c r="AX150">
        <v>1.4968999999999999</v>
      </c>
      <c r="AY150">
        <v>1.8113999999999999</v>
      </c>
      <c r="AZ150"/>
      <c r="BA150">
        <v>1.8115000000000001</v>
      </c>
      <c r="BB150"/>
      <c r="BC150"/>
      <c r="BD150"/>
      <c r="BE150"/>
      <c r="BF150"/>
      <c r="BG150">
        <v>1.6084000000000001</v>
      </c>
      <c r="BH150"/>
      <c r="BI150"/>
      <c r="BJ150">
        <v>1.1327</v>
      </c>
      <c r="BK150">
        <v>1.4066000000000001</v>
      </c>
      <c r="BL150">
        <v>1.6796</v>
      </c>
      <c r="BM150">
        <v>2.1164999999999998</v>
      </c>
      <c r="BN150"/>
      <c r="BO150"/>
      <c r="BP150"/>
      <c r="BQ150"/>
      <c r="BR150"/>
      <c r="BS150"/>
      <c r="BT150">
        <v>1.9888999999999999</v>
      </c>
      <c r="BU150"/>
      <c r="BV150">
        <v>1.9433</v>
      </c>
      <c r="BW150"/>
      <c r="BX150"/>
      <c r="BY150">
        <v>1.6896</v>
      </c>
      <c r="BZ150"/>
      <c r="CA150"/>
      <c r="CB150">
        <v>1.6893</v>
      </c>
      <c r="CC150"/>
      <c r="CD150"/>
      <c r="CE150"/>
      <c r="CF150"/>
      <c r="CG150"/>
      <c r="CH150">
        <v>1.5172000000000001</v>
      </c>
      <c r="CI150"/>
      <c r="CJ150"/>
      <c r="CK150"/>
      <c r="CL150">
        <v>1.5674999999999999</v>
      </c>
      <c r="CM150"/>
      <c r="CN150"/>
      <c r="CO150"/>
      <c r="CP150"/>
      <c r="CQ150"/>
      <c r="CR150">
        <v>1.3958999999999999</v>
      </c>
      <c r="CS150">
        <v>1.6285000000000001</v>
      </c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>
        <v>1.6085</v>
      </c>
      <c r="DL150"/>
      <c r="DM150"/>
      <c r="DN150"/>
      <c r="DO150"/>
      <c r="DP150"/>
      <c r="DQ150"/>
      <c r="DR150">
        <v>1.7201</v>
      </c>
      <c r="DS150">
        <v>2.0047000000000001</v>
      </c>
      <c r="DT150"/>
      <c r="DU150"/>
      <c r="DV150"/>
      <c r="DW150"/>
      <c r="DX150"/>
      <c r="DY150">
        <v>2.1366000000000001</v>
      </c>
      <c r="DZ150"/>
      <c r="EA150"/>
      <c r="EB150"/>
      <c r="EC150"/>
      <c r="ED150"/>
      <c r="EE150"/>
      <c r="EF150"/>
      <c r="EG150"/>
      <c r="EH150"/>
      <c r="EI150"/>
      <c r="EJ150"/>
      <c r="EK150">
        <v>1.7604</v>
      </c>
      <c r="EL150"/>
      <c r="EM150">
        <v>1.5983000000000001</v>
      </c>
      <c r="EN150"/>
      <c r="EO150"/>
      <c r="EP150"/>
      <c r="EQ150"/>
      <c r="ER150"/>
      <c r="ES150"/>
      <c r="ET150"/>
      <c r="EU150"/>
      <c r="EV150"/>
    </row>
    <row r="151" spans="1:152" ht="15" x14ac:dyDescent="0.25">
      <c r="A151" s="1">
        <v>99</v>
      </c>
      <c r="B151" s="1" t="str">
        <v>2019-12-13</v>
      </c>
      <c r="C151" s="1">
        <v>3.8561000000000001</v>
      </c>
      <c r="F151" s="8">
        <f t="shared" si="6"/>
        <v>99</v>
      </c>
      <c r="G151" s="9">
        <f t="shared" si="7"/>
        <v>43812</v>
      </c>
      <c r="H151" s="10">
        <f t="shared" si="8"/>
        <v>3.8561000000000001</v>
      </c>
      <c r="U151" s="11">
        <v>44011</v>
      </c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>
        <v>1.8927</v>
      </c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>
        <v>1.9158999999999999</v>
      </c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>
        <v>1.7909999999999999</v>
      </c>
      <c r="CU151"/>
      <c r="CV151"/>
      <c r="CW151"/>
      <c r="CX151"/>
      <c r="CY151"/>
      <c r="CZ151">
        <v>1.79</v>
      </c>
      <c r="DA151"/>
      <c r="DB151"/>
      <c r="DC151">
        <v>1.7803</v>
      </c>
      <c r="DD151"/>
      <c r="DE151"/>
      <c r="DF151"/>
      <c r="DG151"/>
      <c r="DH151"/>
      <c r="DI151"/>
      <c r="DJ151"/>
      <c r="DK151">
        <v>1.5779000000000001</v>
      </c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>
        <v>1.5071000000000001</v>
      </c>
      <c r="EB151"/>
      <c r="EC151"/>
      <c r="ED151"/>
      <c r="EE151"/>
      <c r="EF151"/>
      <c r="EG151"/>
      <c r="EH151"/>
      <c r="EI151">
        <v>2.0956999999999999</v>
      </c>
      <c r="EJ151"/>
      <c r="EK151"/>
      <c r="EL151"/>
      <c r="EM151"/>
      <c r="EN151"/>
      <c r="EO151"/>
      <c r="EP151"/>
      <c r="EQ151"/>
      <c r="ER151"/>
      <c r="ES151"/>
      <c r="ET151"/>
      <c r="EU151"/>
      <c r="EV151"/>
    </row>
    <row r="152" spans="1:152" ht="15" x14ac:dyDescent="0.25">
      <c r="A152" s="1">
        <v>133</v>
      </c>
      <c r="B152" s="1" t="str">
        <v>2019-12-13</v>
      </c>
      <c r="C152" s="1">
        <v>3.7</v>
      </c>
      <c r="F152" s="8">
        <f t="shared" si="6"/>
        <v>133</v>
      </c>
      <c r="G152" s="9">
        <f t="shared" si="7"/>
        <v>43812</v>
      </c>
      <c r="H152" s="10">
        <f t="shared" si="8"/>
        <v>3.7</v>
      </c>
      <c r="U152" s="11">
        <v>44012</v>
      </c>
      <c r="V152"/>
      <c r="W152"/>
      <c r="X152"/>
      <c r="Y152"/>
      <c r="Z152"/>
      <c r="AA152"/>
      <c r="AB152"/>
      <c r="AC152"/>
      <c r="AD152"/>
      <c r="AE152">
        <v>2.2793000000000001</v>
      </c>
      <c r="AF152"/>
      <c r="AG152"/>
      <c r="AH152"/>
      <c r="AI152"/>
      <c r="AJ152"/>
      <c r="AK152"/>
      <c r="AL152"/>
      <c r="AM152"/>
      <c r="AN152"/>
      <c r="AO152"/>
      <c r="AP152"/>
      <c r="AQ152">
        <v>1.7199</v>
      </c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>
        <v>1.6084000000000001</v>
      </c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>
        <v>2.0247999999999999</v>
      </c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</row>
    <row r="153" spans="1:152" ht="15" x14ac:dyDescent="0.25">
      <c r="A153" s="1">
        <v>32440</v>
      </c>
      <c r="B153" s="1" t="str">
        <v>2019-12-13</v>
      </c>
      <c r="C153" s="1">
        <v>4.2294999999999998</v>
      </c>
      <c r="F153" s="8">
        <f t="shared" si="6"/>
        <v>32440</v>
      </c>
      <c r="G153" s="9">
        <f t="shared" si="7"/>
        <v>43812</v>
      </c>
      <c r="H153" s="10">
        <f t="shared" si="8"/>
        <v>4.2294999999999998</v>
      </c>
      <c r="U153" s="11">
        <v>44013</v>
      </c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>
        <v>1.6287</v>
      </c>
      <c r="AO153"/>
      <c r="AP153"/>
      <c r="AQ153"/>
      <c r="AR153"/>
      <c r="AS153"/>
      <c r="AT153">
        <v>1.4512</v>
      </c>
      <c r="AU153"/>
      <c r="AV153"/>
      <c r="AW153"/>
      <c r="AX153"/>
      <c r="AY153"/>
      <c r="AZ153"/>
      <c r="BA153">
        <v>1.8115000000000001</v>
      </c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>
        <v>1.6289</v>
      </c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>
        <v>1.4258999999999999</v>
      </c>
      <c r="CS153"/>
      <c r="CT153"/>
      <c r="CU153"/>
      <c r="CV153"/>
      <c r="CW153"/>
      <c r="CX153"/>
      <c r="CY153"/>
      <c r="CZ153"/>
      <c r="DA153"/>
      <c r="DB153"/>
      <c r="DC153"/>
      <c r="DD153"/>
      <c r="DE153">
        <v>1.5885</v>
      </c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>
        <v>1.6487000000000001</v>
      </c>
      <c r="EN153"/>
      <c r="EO153"/>
      <c r="EP153">
        <v>1.4818</v>
      </c>
      <c r="EQ153"/>
      <c r="ER153"/>
      <c r="ES153"/>
      <c r="ET153"/>
      <c r="EU153"/>
      <c r="EV153"/>
    </row>
    <row r="154" spans="1:152" ht="15" x14ac:dyDescent="0.25">
      <c r="A154" s="1">
        <v>67</v>
      </c>
      <c r="B154" s="1" t="str">
        <v>2019-12-13</v>
      </c>
      <c r="C154" s="1">
        <v>3.4628999999999999</v>
      </c>
      <c r="F154" s="8">
        <f t="shared" si="6"/>
        <v>67</v>
      </c>
      <c r="G154" s="9">
        <f t="shared" si="7"/>
        <v>43812</v>
      </c>
      <c r="H154" s="10">
        <f t="shared" si="8"/>
        <v>3.4628999999999999</v>
      </c>
      <c r="U154" s="11">
        <v>44014</v>
      </c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>
        <v>1.6084000000000001</v>
      </c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>
        <v>1.8521000000000001</v>
      </c>
      <c r="CV154"/>
      <c r="CW154"/>
      <c r="CX154"/>
      <c r="CY154"/>
      <c r="CZ154"/>
      <c r="DA154">
        <v>1.6186</v>
      </c>
      <c r="DB154"/>
      <c r="DC154"/>
      <c r="DD154"/>
      <c r="DE154"/>
      <c r="DF154"/>
      <c r="DG154"/>
      <c r="DH154"/>
      <c r="DI154"/>
      <c r="DJ154">
        <v>1.5983000000000001</v>
      </c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>
        <v>1.964</v>
      </c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</row>
    <row r="155" spans="1:152" ht="15" x14ac:dyDescent="0.25">
      <c r="A155" s="1">
        <v>16</v>
      </c>
      <c r="B155" s="1" t="str">
        <v>2019-12-13</v>
      </c>
      <c r="C155" s="1">
        <v>3.39</v>
      </c>
      <c r="F155" s="8">
        <f t="shared" si="6"/>
        <v>16</v>
      </c>
      <c r="G155" s="9">
        <f t="shared" si="7"/>
        <v>43812</v>
      </c>
      <c r="H155" s="10">
        <f t="shared" si="8"/>
        <v>3.39</v>
      </c>
      <c r="U155" s="11">
        <v>44015</v>
      </c>
      <c r="V155"/>
      <c r="W155"/>
      <c r="X155">
        <v>1.7201</v>
      </c>
      <c r="Y155">
        <v>1.3858999999999999</v>
      </c>
      <c r="Z155"/>
      <c r="AA155">
        <v>1.9029</v>
      </c>
      <c r="AB155"/>
      <c r="AC155"/>
      <c r="AD155">
        <v>1.7806999999999999</v>
      </c>
      <c r="AE155"/>
      <c r="AF155"/>
      <c r="AG155"/>
      <c r="AH155"/>
      <c r="AI155"/>
      <c r="AJ155"/>
      <c r="AK155">
        <v>1.7604</v>
      </c>
      <c r="AL155"/>
      <c r="AM155"/>
      <c r="AN155"/>
      <c r="AO155"/>
      <c r="AP155">
        <v>2.0449999999999999</v>
      </c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>
        <v>1.4066000000000001</v>
      </c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>
        <v>1.6289</v>
      </c>
      <c r="BZ155"/>
      <c r="CA155"/>
      <c r="CB155"/>
      <c r="CC155"/>
      <c r="CD155"/>
      <c r="CE155"/>
      <c r="CF155">
        <v>1.5883</v>
      </c>
      <c r="CG155"/>
      <c r="CH155"/>
      <c r="CI155"/>
      <c r="CJ155"/>
      <c r="CK155"/>
      <c r="CL155"/>
      <c r="CM155"/>
      <c r="CN155"/>
      <c r="CO155"/>
      <c r="CP155"/>
      <c r="CQ155">
        <v>1.6037999999999999</v>
      </c>
      <c r="CR155"/>
      <c r="CS155"/>
      <c r="CT155">
        <v>1.7909999999999999</v>
      </c>
      <c r="CU155"/>
      <c r="CV155"/>
      <c r="CW155">
        <v>1.6689000000000001</v>
      </c>
      <c r="CX155"/>
      <c r="CY155"/>
      <c r="CZ155"/>
      <c r="DA155"/>
      <c r="DB155">
        <v>1.8980999999999999</v>
      </c>
      <c r="DC155"/>
      <c r="DD155"/>
      <c r="DE155"/>
      <c r="DF155"/>
      <c r="DG155"/>
      <c r="DH155"/>
      <c r="DI155">
        <v>1.9639</v>
      </c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>
        <v>1.335</v>
      </c>
      <c r="ER155"/>
      <c r="ES155"/>
      <c r="ET155"/>
      <c r="EU155"/>
      <c r="EV155"/>
    </row>
    <row r="156" spans="1:152" ht="15" x14ac:dyDescent="0.25">
      <c r="A156" s="1">
        <v>32340</v>
      </c>
      <c r="B156" s="1" t="str">
        <v>2019-12-13</v>
      </c>
      <c r="C156" s="1">
        <v>3.5148999999999999</v>
      </c>
      <c r="F156" s="8">
        <f t="shared" si="6"/>
        <v>32340</v>
      </c>
      <c r="G156" s="9">
        <f t="shared" si="7"/>
        <v>43812</v>
      </c>
      <c r="H156" s="10">
        <f t="shared" si="8"/>
        <v>3.5148999999999999</v>
      </c>
      <c r="U156" s="11">
        <v>44018</v>
      </c>
      <c r="V156">
        <v>1.6085</v>
      </c>
      <c r="W156"/>
      <c r="X156"/>
      <c r="Y156"/>
      <c r="Z156"/>
      <c r="AA156"/>
      <c r="AB156">
        <v>1.5165999999999999</v>
      </c>
      <c r="AC156"/>
      <c r="AD156">
        <v>1.7806999999999999</v>
      </c>
      <c r="AE156">
        <v>2.3302999999999998</v>
      </c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>
        <v>1.7097</v>
      </c>
      <c r="AX156"/>
      <c r="AY156"/>
      <c r="AZ156"/>
      <c r="BA156"/>
      <c r="BB156"/>
      <c r="BC156"/>
      <c r="BD156"/>
      <c r="BE156"/>
      <c r="BF156">
        <v>2.1877</v>
      </c>
      <c r="BG156"/>
      <c r="BH156"/>
      <c r="BI156"/>
      <c r="BJ156"/>
      <c r="BK156"/>
      <c r="BL156"/>
      <c r="BM156"/>
      <c r="BN156">
        <v>1.6</v>
      </c>
      <c r="BO156"/>
      <c r="BP156"/>
      <c r="BQ156"/>
      <c r="BR156"/>
      <c r="BS156"/>
      <c r="BT156"/>
      <c r="BU156">
        <v>1.9883999999999999</v>
      </c>
      <c r="BV156">
        <v>1.9431</v>
      </c>
      <c r="BW156">
        <v>2.0453000000000001</v>
      </c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>
        <v>1.5469999999999999</v>
      </c>
      <c r="CS156"/>
      <c r="CT156"/>
      <c r="CU156"/>
      <c r="CV156"/>
      <c r="CW156"/>
      <c r="CX156"/>
      <c r="CY156"/>
      <c r="CZ156"/>
      <c r="DA156"/>
      <c r="DB156"/>
      <c r="DC156">
        <v>1.6991000000000001</v>
      </c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>
        <v>1.6897</v>
      </c>
      <c r="DS156"/>
      <c r="DT156">
        <v>1.3551</v>
      </c>
      <c r="DU156"/>
      <c r="DV156"/>
      <c r="DW156"/>
      <c r="DX156"/>
      <c r="DY156"/>
      <c r="DZ156"/>
      <c r="EA156">
        <v>1.5476000000000001</v>
      </c>
      <c r="EB156"/>
      <c r="EC156"/>
      <c r="ED156"/>
      <c r="EE156"/>
      <c r="EF156"/>
      <c r="EG156">
        <v>2.073</v>
      </c>
      <c r="EH156"/>
      <c r="EI156"/>
      <c r="EJ156"/>
      <c r="EK156"/>
      <c r="EL156"/>
      <c r="EM156"/>
      <c r="EN156"/>
      <c r="EO156">
        <v>1.7201</v>
      </c>
      <c r="EP156"/>
      <c r="EQ156"/>
      <c r="ER156"/>
      <c r="ES156"/>
      <c r="ET156"/>
      <c r="EU156"/>
      <c r="EV156"/>
    </row>
    <row r="157" spans="1:152" ht="15" x14ac:dyDescent="0.25">
      <c r="A157" s="1">
        <v>1</v>
      </c>
      <c r="B157" s="1" t="str">
        <v>2019-12-13</v>
      </c>
      <c r="C157" s="1">
        <v>3.7008999999999999</v>
      </c>
      <c r="F157" s="8">
        <f t="shared" si="6"/>
        <v>1</v>
      </c>
      <c r="G157" s="9">
        <f t="shared" si="7"/>
        <v>43812</v>
      </c>
      <c r="H157" s="10">
        <f t="shared" si="8"/>
        <v>3.7008999999999999</v>
      </c>
      <c r="U157" s="11">
        <v>44019</v>
      </c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>
        <v>2.6671</v>
      </c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>
        <v>1.6996</v>
      </c>
      <c r="BT157"/>
      <c r="BU157"/>
      <c r="BV157"/>
      <c r="BW157"/>
      <c r="BX157"/>
      <c r="BY157"/>
      <c r="BZ157"/>
      <c r="CA157"/>
      <c r="CB157"/>
      <c r="CC157">
        <v>1.4562999999999999</v>
      </c>
      <c r="CD157"/>
      <c r="CE157"/>
      <c r="CF157"/>
      <c r="CG157"/>
      <c r="CH157"/>
      <c r="CI157"/>
      <c r="CJ157"/>
      <c r="CK157">
        <v>1.6087</v>
      </c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>
        <v>1.7099</v>
      </c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>
        <v>1.4423999999999999</v>
      </c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</row>
    <row r="158" spans="1:152" ht="15" x14ac:dyDescent="0.25">
      <c r="A158" s="1">
        <v>150</v>
      </c>
      <c r="B158" s="1" t="str">
        <v>2019-12-13</v>
      </c>
      <c r="C158" s="1">
        <v>3.8315000000000001</v>
      </c>
      <c r="F158" s="8">
        <f t="shared" si="6"/>
        <v>150</v>
      </c>
      <c r="G158" s="9">
        <f t="shared" si="7"/>
        <v>43812</v>
      </c>
      <c r="H158" s="10">
        <f t="shared" si="8"/>
        <v>3.8315000000000001</v>
      </c>
      <c r="U158" s="11">
        <v>44020</v>
      </c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>
        <v>1.5876999999999999</v>
      </c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>
        <v>1.79</v>
      </c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>
        <v>1.6183000000000001</v>
      </c>
      <c r="DP158"/>
      <c r="DQ158"/>
      <c r="DR158">
        <v>1.8722000000000001</v>
      </c>
      <c r="DS158">
        <v>2.0047000000000001</v>
      </c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</row>
    <row r="159" spans="1:152" ht="15" x14ac:dyDescent="0.25">
      <c r="A159" s="1">
        <v>33103</v>
      </c>
      <c r="B159" s="1" t="str">
        <v>2019-12-13</v>
      </c>
      <c r="C159" s="1">
        <v>4.0210999999999997</v>
      </c>
      <c r="F159" s="8">
        <f t="shared" si="6"/>
        <v>33103</v>
      </c>
      <c r="G159" s="9">
        <f t="shared" si="7"/>
        <v>43812</v>
      </c>
      <c r="H159" s="10">
        <f t="shared" si="8"/>
        <v>4.0210999999999997</v>
      </c>
      <c r="U159" s="11">
        <v>44021</v>
      </c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>
        <v>2.2707000000000002</v>
      </c>
      <c r="EJ159"/>
      <c r="EK159"/>
      <c r="EL159"/>
      <c r="EM159"/>
      <c r="EN159"/>
      <c r="EO159"/>
      <c r="EP159"/>
      <c r="EQ159"/>
      <c r="ER159"/>
      <c r="ES159"/>
      <c r="ET159"/>
      <c r="EU159"/>
      <c r="EV159"/>
    </row>
    <row r="160" spans="1:152" ht="15" x14ac:dyDescent="0.25">
      <c r="A160" s="1">
        <v>32180</v>
      </c>
      <c r="B160" s="1" t="str">
        <v>2019-12-13</v>
      </c>
      <c r="C160" s="1">
        <v>3.6032999999999999</v>
      </c>
      <c r="F160" s="8">
        <f t="shared" si="6"/>
        <v>32180</v>
      </c>
      <c r="G160" s="9">
        <f t="shared" si="7"/>
        <v>43812</v>
      </c>
      <c r="H160" s="10">
        <f t="shared" si="8"/>
        <v>3.6032999999999999</v>
      </c>
      <c r="U160" s="11">
        <v>44022</v>
      </c>
      <c r="V160">
        <v>1.5469999999999999</v>
      </c>
      <c r="W160">
        <v>2.4119000000000002</v>
      </c>
      <c r="X160"/>
      <c r="Y160"/>
      <c r="Z160"/>
      <c r="AA160"/>
      <c r="AB160"/>
      <c r="AC160"/>
      <c r="AD160"/>
      <c r="AE160"/>
      <c r="AF160"/>
      <c r="AG160">
        <v>1.1027</v>
      </c>
      <c r="AH160"/>
      <c r="AI160">
        <v>1.355</v>
      </c>
      <c r="AJ160"/>
      <c r="AK160"/>
      <c r="AL160"/>
      <c r="AM160"/>
      <c r="AN160"/>
      <c r="AO160"/>
      <c r="AP160">
        <v>2.0041000000000002</v>
      </c>
      <c r="AQ160"/>
      <c r="AR160"/>
      <c r="AS160">
        <v>1.8620000000000001</v>
      </c>
      <c r="AT160">
        <v>1.7458</v>
      </c>
      <c r="AU160"/>
      <c r="AV160"/>
      <c r="AW160">
        <v>1.7198</v>
      </c>
      <c r="AX160">
        <v>1.5982000000000001</v>
      </c>
      <c r="AY160"/>
      <c r="AZ160"/>
      <c r="BA160">
        <v>2.0449000000000002</v>
      </c>
      <c r="BB160"/>
      <c r="BC160"/>
      <c r="BD160">
        <v>1.74</v>
      </c>
      <c r="BE160"/>
      <c r="BF160"/>
      <c r="BG160">
        <v>1.6084000000000001</v>
      </c>
      <c r="BH160">
        <v>1.6180000000000001</v>
      </c>
      <c r="BI160"/>
      <c r="BJ160"/>
      <c r="BK160">
        <v>1.899</v>
      </c>
      <c r="BL160"/>
      <c r="BM160">
        <v>2.1164999999999998</v>
      </c>
      <c r="BN160"/>
      <c r="BO160"/>
      <c r="BP160"/>
      <c r="BQ160">
        <v>1.5673999999999999</v>
      </c>
      <c r="BR160"/>
      <c r="BS160"/>
      <c r="BT160"/>
      <c r="BU160"/>
      <c r="BV160"/>
      <c r="BW160"/>
      <c r="BX160"/>
      <c r="BY160">
        <v>1.8112999999999999</v>
      </c>
      <c r="BZ160"/>
      <c r="CA160"/>
      <c r="CB160"/>
      <c r="CC160"/>
      <c r="CD160"/>
      <c r="CE160"/>
      <c r="CF160">
        <v>1.5375000000000001</v>
      </c>
      <c r="CG160">
        <v>1.7398</v>
      </c>
      <c r="CH160"/>
      <c r="CI160"/>
      <c r="CJ160"/>
      <c r="CK160"/>
      <c r="CL160"/>
      <c r="CM160"/>
      <c r="CN160">
        <v>0.9002</v>
      </c>
      <c r="CO160"/>
      <c r="CP160">
        <v>2.0449999999999999</v>
      </c>
      <c r="CQ160"/>
      <c r="CR160"/>
      <c r="CS160"/>
      <c r="CT160">
        <v>1.8515999999999999</v>
      </c>
      <c r="CU160"/>
      <c r="CV160"/>
      <c r="CW160"/>
      <c r="CX160"/>
      <c r="CY160"/>
      <c r="CZ160"/>
      <c r="DA160"/>
      <c r="DB160">
        <v>1.8689</v>
      </c>
      <c r="DC160"/>
      <c r="DD160"/>
      <c r="DE160"/>
      <c r="DF160"/>
      <c r="DG160"/>
      <c r="DH160"/>
      <c r="DI160"/>
      <c r="DJ160"/>
      <c r="DK160"/>
      <c r="DL160">
        <v>1.6</v>
      </c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>
        <v>1.5074000000000001</v>
      </c>
      <c r="EF160"/>
      <c r="EG160"/>
      <c r="EH160">
        <v>1.6942999999999999</v>
      </c>
      <c r="EI160">
        <v>2.3445999999999998</v>
      </c>
      <c r="EJ160"/>
      <c r="EK160">
        <v>1.7196</v>
      </c>
      <c r="EL160"/>
      <c r="EM160">
        <v>1.7602</v>
      </c>
      <c r="EN160"/>
      <c r="EO160"/>
      <c r="EP160"/>
      <c r="EQ160">
        <v>1.6692</v>
      </c>
      <c r="ER160"/>
      <c r="ES160"/>
      <c r="ET160"/>
      <c r="EU160"/>
      <c r="EV160"/>
    </row>
    <row r="161" spans="1:152" ht="15" x14ac:dyDescent="0.25">
      <c r="A161" s="1">
        <v>81</v>
      </c>
      <c r="B161" s="1" t="str">
        <v>2019-12-13</v>
      </c>
      <c r="C161" s="1">
        <v>3.5562999999999998</v>
      </c>
      <c r="F161" s="8">
        <f t="shared" si="6"/>
        <v>81</v>
      </c>
      <c r="G161" s="9">
        <f t="shared" si="7"/>
        <v>43812</v>
      </c>
      <c r="H161" s="10">
        <f t="shared" si="8"/>
        <v>3.5562999999999998</v>
      </c>
      <c r="U161" s="11">
        <v>44025</v>
      </c>
      <c r="V161"/>
      <c r="W161"/>
      <c r="X161">
        <v>1.7501</v>
      </c>
      <c r="Y161"/>
      <c r="Z161"/>
      <c r="AA161"/>
      <c r="AB161"/>
      <c r="AC161">
        <v>1.7</v>
      </c>
      <c r="AD161"/>
      <c r="AE161">
        <v>2.1362000000000001</v>
      </c>
      <c r="AF161">
        <v>2.0851999999999999</v>
      </c>
      <c r="AG161"/>
      <c r="AH161"/>
      <c r="AI161"/>
      <c r="AJ161">
        <v>1.7910999999999999</v>
      </c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>
        <v>2.0013000000000001</v>
      </c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>
        <v>1.5472999999999999</v>
      </c>
      <c r="CP161"/>
      <c r="CQ161"/>
      <c r="CR161"/>
      <c r="CS161">
        <v>1.7093</v>
      </c>
      <c r="CT161"/>
      <c r="CU161"/>
      <c r="CV161"/>
      <c r="CW161"/>
      <c r="CX161">
        <v>1.7198</v>
      </c>
      <c r="CY161"/>
      <c r="CZ161">
        <v>1.79</v>
      </c>
      <c r="DA161"/>
      <c r="DB161"/>
      <c r="DC161">
        <v>1.778</v>
      </c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>
        <v>1.4565999999999999</v>
      </c>
      <c r="DY161"/>
      <c r="DZ161"/>
      <c r="EA161">
        <v>1.4964</v>
      </c>
      <c r="EB161"/>
      <c r="EC161">
        <v>1.2746999999999999</v>
      </c>
      <c r="ED161"/>
      <c r="EE161">
        <v>1.6086</v>
      </c>
      <c r="EF161"/>
      <c r="EG161"/>
      <c r="EH161"/>
      <c r="EI161"/>
      <c r="EJ161"/>
      <c r="EK161"/>
      <c r="EL161"/>
      <c r="EM161">
        <v>1.7907</v>
      </c>
      <c r="EN161"/>
      <c r="EO161"/>
      <c r="EP161"/>
      <c r="EQ161">
        <v>1.6681999999999999</v>
      </c>
      <c r="ER161"/>
      <c r="ES161"/>
      <c r="ET161"/>
      <c r="EU161"/>
      <c r="EV161"/>
    </row>
    <row r="162" spans="1:152" ht="15" x14ac:dyDescent="0.25">
      <c r="A162" s="1">
        <v>187</v>
      </c>
      <c r="B162" s="1" t="str">
        <v>2019-12-13</v>
      </c>
      <c r="C162" s="1">
        <v>3.8866000000000001</v>
      </c>
      <c r="F162" s="8">
        <f t="shared" si="6"/>
        <v>187</v>
      </c>
      <c r="G162" s="9">
        <f t="shared" si="7"/>
        <v>43812</v>
      </c>
      <c r="H162" s="10">
        <f t="shared" si="8"/>
        <v>3.8866000000000001</v>
      </c>
      <c r="U162" s="11">
        <v>44026</v>
      </c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>
        <v>1.8109999999999999</v>
      </c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>
        <v>1.8</v>
      </c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>
        <v>1.9433</v>
      </c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</row>
    <row r="163" spans="1:152" ht="15" x14ac:dyDescent="0.25">
      <c r="A163" s="1">
        <v>53</v>
      </c>
      <c r="B163" s="1" t="str">
        <v>2019-12-13</v>
      </c>
      <c r="C163" s="1">
        <v>3.3908999999999998</v>
      </c>
      <c r="F163" s="8">
        <f t="shared" si="6"/>
        <v>53</v>
      </c>
      <c r="G163" s="9">
        <f t="shared" si="7"/>
        <v>43812</v>
      </c>
      <c r="H163" s="10">
        <f t="shared" si="8"/>
        <v>3.3908999999999998</v>
      </c>
      <c r="U163" s="11">
        <v>44027</v>
      </c>
      <c r="V163"/>
      <c r="W163"/>
      <c r="X163"/>
      <c r="Y163"/>
      <c r="Z163">
        <v>1.9739</v>
      </c>
      <c r="AA163"/>
      <c r="AB163"/>
      <c r="AC163"/>
      <c r="AD163"/>
      <c r="AE163"/>
      <c r="AF163"/>
      <c r="AG163"/>
      <c r="AH163"/>
      <c r="AI163"/>
      <c r="AJ163"/>
      <c r="AK163"/>
      <c r="AL163"/>
      <c r="AM163">
        <v>1.5777000000000001</v>
      </c>
      <c r="AN163"/>
      <c r="AO163"/>
      <c r="AP163"/>
      <c r="AQ163">
        <v>1.8312999999999999</v>
      </c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>
        <v>2.0653000000000001</v>
      </c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>
        <v>1.5478000000000001</v>
      </c>
      <c r="CK163"/>
      <c r="CL163"/>
      <c r="CM163">
        <v>1.7397</v>
      </c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>
        <v>1.8689</v>
      </c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>
        <v>1.8213999999999999</v>
      </c>
      <c r="DS163"/>
      <c r="DT163">
        <v>1.4864999999999999</v>
      </c>
      <c r="DU163"/>
      <c r="DV163"/>
      <c r="DW163">
        <v>1.8714999999999999</v>
      </c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</row>
    <row r="164" spans="1:152" ht="15" x14ac:dyDescent="0.25">
      <c r="A164" s="1">
        <v>10</v>
      </c>
      <c r="B164" s="1" t="str">
        <v>2019-12-16</v>
      </c>
      <c r="C164" s="1">
        <v>3.4630000000000001</v>
      </c>
      <c r="F164" s="8">
        <f t="shared" si="6"/>
        <v>10</v>
      </c>
      <c r="G164" s="9">
        <f t="shared" si="7"/>
        <v>43815</v>
      </c>
      <c r="H164" s="10">
        <f t="shared" si="8"/>
        <v>3.4630000000000001</v>
      </c>
      <c r="U164" s="11">
        <v>44028</v>
      </c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>
        <v>2.9020000000000001</v>
      </c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>
        <v>1.7</v>
      </c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>
        <v>1.5375000000000001</v>
      </c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>
        <v>1.8721000000000001</v>
      </c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</row>
    <row r="165" spans="1:152" ht="15" x14ac:dyDescent="0.25">
      <c r="A165" s="1">
        <v>13250</v>
      </c>
      <c r="B165" s="1" t="str">
        <v>2019-12-16</v>
      </c>
      <c r="C165" s="1">
        <v>2.8151999999999999</v>
      </c>
      <c r="F165" s="8">
        <f t="shared" si="6"/>
        <v>13250</v>
      </c>
      <c r="G165" s="9">
        <f t="shared" si="7"/>
        <v>43815</v>
      </c>
      <c r="H165" s="10">
        <f t="shared" si="8"/>
        <v>2.8151999999999999</v>
      </c>
      <c r="U165" s="11">
        <v>44029</v>
      </c>
      <c r="V165">
        <v>1.5469999999999999</v>
      </c>
      <c r="W165"/>
      <c r="X165">
        <v>1.73</v>
      </c>
      <c r="Y165"/>
      <c r="Z165"/>
      <c r="AA165"/>
      <c r="AB165">
        <v>1.4861</v>
      </c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>
        <v>2.0041000000000002</v>
      </c>
      <c r="AQ165"/>
      <c r="AR165"/>
      <c r="AS165"/>
      <c r="AT165"/>
      <c r="AU165"/>
      <c r="AV165"/>
      <c r="AW165">
        <v>1.6994</v>
      </c>
      <c r="AX165"/>
      <c r="AY165"/>
      <c r="AZ165"/>
      <c r="BA165">
        <v>1.7908999999999999</v>
      </c>
      <c r="BB165"/>
      <c r="BC165"/>
      <c r="BD165"/>
      <c r="BE165"/>
      <c r="BF165"/>
      <c r="BG165"/>
      <c r="BH165"/>
      <c r="BI165"/>
      <c r="BJ165">
        <v>1.1426000000000001</v>
      </c>
      <c r="BK165">
        <v>1.899</v>
      </c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>
        <v>1.8112999999999999</v>
      </c>
      <c r="BZ165">
        <v>1.5373000000000001</v>
      </c>
      <c r="CA165"/>
      <c r="CB165">
        <v>1.9026000000000001</v>
      </c>
      <c r="CC165">
        <v>1.5779000000000001</v>
      </c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>
        <v>1.8821000000000001</v>
      </c>
      <c r="CU165"/>
      <c r="CV165"/>
      <c r="CW165">
        <v>1.6384000000000001</v>
      </c>
      <c r="CX165"/>
      <c r="CY165"/>
      <c r="CZ165"/>
      <c r="DA165"/>
      <c r="DB165"/>
      <c r="DC165"/>
      <c r="DD165"/>
      <c r="DE165"/>
      <c r="DF165"/>
      <c r="DG165"/>
      <c r="DH165"/>
      <c r="DI165"/>
      <c r="DJ165">
        <v>1.6994</v>
      </c>
      <c r="DK165"/>
      <c r="DL165"/>
      <c r="DM165">
        <v>1.4966999999999999</v>
      </c>
      <c r="DN165"/>
      <c r="DO165"/>
      <c r="DP165"/>
      <c r="DQ165"/>
      <c r="DR165">
        <v>1.8924000000000001</v>
      </c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>
        <v>1.8416999999999999</v>
      </c>
      <c r="EN165"/>
      <c r="EO165"/>
      <c r="EP165"/>
      <c r="EQ165"/>
      <c r="ER165"/>
      <c r="ES165"/>
      <c r="ET165"/>
      <c r="EU165"/>
      <c r="EV165"/>
    </row>
    <row r="166" spans="1:152" ht="15" x14ac:dyDescent="0.25">
      <c r="A166" s="1">
        <v>32401</v>
      </c>
      <c r="B166" s="1" t="str">
        <v>2019-12-16</v>
      </c>
      <c r="C166" s="1">
        <v>4.2286999999999999</v>
      </c>
      <c r="F166" s="8">
        <f t="shared" si="6"/>
        <v>32401</v>
      </c>
      <c r="G166" s="9">
        <f t="shared" si="7"/>
        <v>43815</v>
      </c>
      <c r="H166" s="10">
        <f t="shared" si="8"/>
        <v>4.2286999999999999</v>
      </c>
      <c r="U166" s="11">
        <v>44032</v>
      </c>
      <c r="V166">
        <v>1.5774999999999999</v>
      </c>
      <c r="W166"/>
      <c r="X166"/>
      <c r="Y166"/>
      <c r="Z166"/>
      <c r="AA166"/>
      <c r="AB166"/>
      <c r="AC166"/>
      <c r="AD166"/>
      <c r="AE166">
        <v>2.1869999999999998</v>
      </c>
      <c r="AF166"/>
      <c r="AG166"/>
      <c r="AH166">
        <v>1.6073999999999999</v>
      </c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>
        <v>1.3447</v>
      </c>
      <c r="CS166"/>
      <c r="CT166"/>
      <c r="CU166"/>
      <c r="CV166"/>
      <c r="CW166"/>
      <c r="CX166"/>
      <c r="CY166">
        <v>1.9024000000000001</v>
      </c>
      <c r="CZ166"/>
      <c r="DA166"/>
      <c r="DB166"/>
      <c r="DC166">
        <v>1.6706000000000001</v>
      </c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>
        <v>1.7</v>
      </c>
      <c r="EO166"/>
      <c r="EP166"/>
      <c r="EQ166"/>
      <c r="ER166"/>
      <c r="ES166"/>
      <c r="ET166"/>
      <c r="EU166"/>
      <c r="EV166"/>
    </row>
    <row r="167" spans="1:152" ht="15" x14ac:dyDescent="0.25">
      <c r="A167" s="1">
        <v>32082</v>
      </c>
      <c r="B167" s="1" t="str">
        <v>2019-12-16</v>
      </c>
      <c r="C167" s="1">
        <v>3.4405000000000001</v>
      </c>
      <c r="F167" s="8">
        <f t="shared" si="6"/>
        <v>32082</v>
      </c>
      <c r="G167" s="9">
        <f t="shared" si="7"/>
        <v>43815</v>
      </c>
      <c r="H167" s="10">
        <f t="shared" si="8"/>
        <v>3.4405000000000001</v>
      </c>
      <c r="U167" s="11">
        <v>44033</v>
      </c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>
        <v>1.9702</v>
      </c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>
        <v>1.8722000000000001</v>
      </c>
      <c r="DA167"/>
      <c r="DB167"/>
      <c r="DC167"/>
      <c r="DD167"/>
      <c r="DE167"/>
      <c r="DF167"/>
      <c r="DG167"/>
      <c r="DH167"/>
      <c r="DI167"/>
      <c r="DJ167"/>
      <c r="DK167">
        <v>1.7603</v>
      </c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>
        <v>2.4148999999999998</v>
      </c>
      <c r="EJ167"/>
      <c r="EK167"/>
      <c r="EL167"/>
      <c r="EM167">
        <v>1.7806</v>
      </c>
      <c r="EN167"/>
      <c r="EO167"/>
      <c r="EP167"/>
      <c r="EQ167"/>
      <c r="ER167"/>
      <c r="ES167"/>
      <c r="ET167"/>
      <c r="EU167"/>
      <c r="EV167"/>
    </row>
    <row r="168" spans="1:152" ht="15" x14ac:dyDescent="0.25">
      <c r="A168" s="1">
        <v>32260</v>
      </c>
      <c r="B168" s="1" t="str">
        <v>2019-12-16</v>
      </c>
      <c r="C168" s="1">
        <v>3.5552000000000001</v>
      </c>
      <c r="F168" s="8">
        <f t="shared" si="6"/>
        <v>32260</v>
      </c>
      <c r="G168" s="9">
        <f t="shared" si="7"/>
        <v>43815</v>
      </c>
      <c r="H168" s="10">
        <f t="shared" si="8"/>
        <v>3.5552000000000001</v>
      </c>
      <c r="U168" s="11">
        <v>44034</v>
      </c>
      <c r="V168">
        <v>1.5774999999999999</v>
      </c>
      <c r="W168"/>
      <c r="X168"/>
      <c r="Y168"/>
      <c r="Z168"/>
      <c r="AA168"/>
      <c r="AB168"/>
      <c r="AC168"/>
      <c r="AD168">
        <v>1.6691</v>
      </c>
      <c r="AE168"/>
      <c r="AF168"/>
      <c r="AG168"/>
      <c r="AH168"/>
      <c r="AI168"/>
      <c r="AJ168"/>
      <c r="AK168"/>
      <c r="AL168"/>
      <c r="AM168">
        <v>1.7299</v>
      </c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>
        <v>1.7</v>
      </c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>
        <v>1.8110999999999999</v>
      </c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>
        <v>1.5778000000000001</v>
      </c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</row>
    <row r="169" spans="1:152" ht="15" x14ac:dyDescent="0.25">
      <c r="A169" s="1">
        <v>33043</v>
      </c>
      <c r="B169" s="1" t="str">
        <v>2019-12-16</v>
      </c>
      <c r="C169" s="1">
        <v>3.3184999999999998</v>
      </c>
      <c r="F169" s="8">
        <f t="shared" si="6"/>
        <v>33043</v>
      </c>
      <c r="G169" s="9">
        <f t="shared" si="7"/>
        <v>43815</v>
      </c>
      <c r="H169" s="10">
        <f t="shared" si="8"/>
        <v>3.3184999999999998</v>
      </c>
      <c r="U169" s="11">
        <v>44035</v>
      </c>
      <c r="V169"/>
      <c r="W169"/>
      <c r="X169"/>
      <c r="Y169"/>
      <c r="Z169"/>
      <c r="AA169">
        <v>1.7808999999999999</v>
      </c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>
        <v>2.1158000000000001</v>
      </c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>
        <v>1.8313999999999999</v>
      </c>
      <c r="BH169"/>
      <c r="BI169"/>
      <c r="BJ169"/>
      <c r="BK169"/>
      <c r="BL169"/>
      <c r="BM169"/>
      <c r="BN169"/>
      <c r="BO169">
        <v>1.8109</v>
      </c>
      <c r="BP169"/>
      <c r="BQ169"/>
      <c r="BR169"/>
      <c r="BS169">
        <v>1.659</v>
      </c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>
        <v>1.6486000000000001</v>
      </c>
      <c r="CM169"/>
      <c r="CN169">
        <v>1.0013000000000001</v>
      </c>
      <c r="CO169"/>
      <c r="CP169"/>
      <c r="CQ169"/>
      <c r="CR169"/>
      <c r="CS169"/>
      <c r="CT169"/>
      <c r="CU169"/>
      <c r="CV169"/>
      <c r="CW169"/>
      <c r="CX169"/>
      <c r="CY169"/>
      <c r="CZ169">
        <v>1.9026000000000001</v>
      </c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>
        <v>1.9433</v>
      </c>
      <c r="DT169">
        <v>1.5474000000000001</v>
      </c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>
        <v>1.5472999999999999</v>
      </c>
      <c r="EM169">
        <v>1.8008999999999999</v>
      </c>
      <c r="EN169"/>
      <c r="EO169"/>
      <c r="EP169"/>
      <c r="EQ169"/>
      <c r="ER169"/>
      <c r="ES169"/>
      <c r="ET169"/>
      <c r="EU169"/>
      <c r="EV169"/>
    </row>
    <row r="170" spans="1:152" ht="15" x14ac:dyDescent="0.25">
      <c r="A170" s="1">
        <v>32421</v>
      </c>
      <c r="B170" s="1" t="str">
        <v>2019-12-16</v>
      </c>
      <c r="C170" s="1">
        <v>3.6878000000000002</v>
      </c>
      <c r="F170" s="8">
        <f t="shared" si="6"/>
        <v>32421</v>
      </c>
      <c r="G170" s="9">
        <f t="shared" si="7"/>
        <v>43815</v>
      </c>
      <c r="H170" s="10">
        <f t="shared" si="8"/>
        <v>3.6878000000000002</v>
      </c>
      <c r="U170" s="11">
        <v>44036</v>
      </c>
      <c r="V170">
        <v>1.4766999999999999</v>
      </c>
      <c r="W170"/>
      <c r="X170">
        <v>1.5882000000000001</v>
      </c>
      <c r="Y170"/>
      <c r="Z170">
        <v>1.9028</v>
      </c>
      <c r="AA170">
        <v>1.8217000000000001</v>
      </c>
      <c r="AB170"/>
      <c r="AC170">
        <v>1.5989</v>
      </c>
      <c r="AD170">
        <v>1.6337999999999999</v>
      </c>
      <c r="AE170">
        <v>1.9428000000000001</v>
      </c>
      <c r="AF170">
        <v>1.9632000000000001</v>
      </c>
      <c r="AG170"/>
      <c r="AH170">
        <v>1.3749</v>
      </c>
      <c r="AI170">
        <v>1.3249</v>
      </c>
      <c r="AJ170">
        <v>1.6591</v>
      </c>
      <c r="AK170">
        <v>1.6691</v>
      </c>
      <c r="AL170"/>
      <c r="AM170">
        <v>1.3673</v>
      </c>
      <c r="AN170">
        <v>2.0859000000000001</v>
      </c>
      <c r="AO170">
        <v>1.7907</v>
      </c>
      <c r="AP170">
        <v>2.0041000000000002</v>
      </c>
      <c r="AQ170"/>
      <c r="AR170"/>
      <c r="AS170"/>
      <c r="AT170">
        <v>1.7458</v>
      </c>
      <c r="AU170"/>
      <c r="AV170">
        <v>2.7589000000000001</v>
      </c>
      <c r="AW170"/>
      <c r="AX170">
        <v>1.5874999999999999</v>
      </c>
      <c r="AY170"/>
      <c r="AZ170">
        <v>1.6489</v>
      </c>
      <c r="BA170">
        <v>1.6998</v>
      </c>
      <c r="BB170"/>
      <c r="BC170"/>
      <c r="BD170">
        <v>1.4968999999999999</v>
      </c>
      <c r="BE170">
        <v>1.6689000000000001</v>
      </c>
      <c r="BF170">
        <v>2.0653000000000001</v>
      </c>
      <c r="BG170">
        <v>1.7605999999999999</v>
      </c>
      <c r="BH170">
        <v>1.5370999999999999</v>
      </c>
      <c r="BI170">
        <v>1.7402</v>
      </c>
      <c r="BJ170"/>
      <c r="BK170">
        <v>1.899</v>
      </c>
      <c r="BL170"/>
      <c r="BM170">
        <v>2.1164999999999998</v>
      </c>
      <c r="BN170"/>
      <c r="BO170">
        <v>1.6692</v>
      </c>
      <c r="BP170"/>
      <c r="BQ170"/>
      <c r="BR170"/>
      <c r="BS170"/>
      <c r="BT170">
        <v>2.0042</v>
      </c>
      <c r="BU170"/>
      <c r="BV170"/>
      <c r="BW170"/>
      <c r="BX170"/>
      <c r="BY170">
        <v>1.6085</v>
      </c>
      <c r="BZ170">
        <v>1.5069999999999999</v>
      </c>
      <c r="CA170">
        <v>1.5679000000000001</v>
      </c>
      <c r="CB170"/>
      <c r="CC170">
        <v>1.5577000000000001</v>
      </c>
      <c r="CD170">
        <v>1.93</v>
      </c>
      <c r="CE170"/>
      <c r="CF170">
        <v>1.2746</v>
      </c>
      <c r="CG170"/>
      <c r="CH170">
        <v>1.4767999999999999</v>
      </c>
      <c r="CI170">
        <v>1.5475000000000001</v>
      </c>
      <c r="CJ170">
        <v>1.6796</v>
      </c>
      <c r="CK170"/>
      <c r="CL170">
        <v>1.1531</v>
      </c>
      <c r="CM170"/>
      <c r="CN170">
        <v>0.98150000000000004</v>
      </c>
      <c r="CO170"/>
      <c r="CP170">
        <v>1.5071000000000001</v>
      </c>
      <c r="CQ170">
        <v>1.5631999999999999</v>
      </c>
      <c r="CR170"/>
      <c r="CS170"/>
      <c r="CT170">
        <v>1.7098</v>
      </c>
      <c r="CU170">
        <v>1.6895</v>
      </c>
      <c r="CV170"/>
      <c r="CW170">
        <v>1.5374000000000001</v>
      </c>
      <c r="CX170">
        <v>1.3653999999999999</v>
      </c>
      <c r="CY170"/>
      <c r="CZ170">
        <v>1.6795</v>
      </c>
      <c r="DA170"/>
      <c r="DB170"/>
      <c r="DC170"/>
      <c r="DD170"/>
      <c r="DE170">
        <v>1.6999</v>
      </c>
      <c r="DF170">
        <v>1.5472999999999999</v>
      </c>
      <c r="DG170"/>
      <c r="DH170">
        <v>1.649</v>
      </c>
      <c r="DI170"/>
      <c r="DJ170">
        <v>1.5577000000000001</v>
      </c>
      <c r="DK170">
        <v>1.5170999999999999</v>
      </c>
      <c r="DL170"/>
      <c r="DM170"/>
      <c r="DN170"/>
      <c r="DO170"/>
      <c r="DP170"/>
      <c r="DQ170"/>
      <c r="DR170">
        <v>1.7504</v>
      </c>
      <c r="DS170">
        <v>1.8313999999999999</v>
      </c>
      <c r="DT170">
        <v>1.3754</v>
      </c>
      <c r="DU170"/>
      <c r="DV170"/>
      <c r="DW170"/>
      <c r="DX170">
        <v>1.5071000000000001</v>
      </c>
      <c r="DY170"/>
      <c r="DZ170">
        <v>2.0045999999999999</v>
      </c>
      <c r="EA170"/>
      <c r="EB170"/>
      <c r="EC170"/>
      <c r="ED170"/>
      <c r="EE170">
        <v>1.9027000000000001</v>
      </c>
      <c r="EF170"/>
      <c r="EG170">
        <v>2.2357999999999998</v>
      </c>
      <c r="EH170"/>
      <c r="EI170"/>
      <c r="EJ170"/>
      <c r="EK170">
        <v>1.6487000000000001</v>
      </c>
      <c r="EL170">
        <v>1.345</v>
      </c>
      <c r="EM170"/>
      <c r="EN170">
        <v>1.5</v>
      </c>
      <c r="EO170"/>
      <c r="EP170">
        <v>1.411</v>
      </c>
      <c r="EQ170">
        <v>1.7949999999999999</v>
      </c>
      <c r="ER170"/>
      <c r="ES170"/>
      <c r="ET170"/>
      <c r="EU170"/>
      <c r="EV170"/>
    </row>
    <row r="171" spans="1:152" ht="15" x14ac:dyDescent="0.25">
      <c r="A171" s="1">
        <v>1</v>
      </c>
      <c r="B171" s="1" t="str">
        <v>2019-12-16</v>
      </c>
      <c r="C171" s="1">
        <v>3.7008999999999999</v>
      </c>
      <c r="F171" s="8">
        <f t="shared" si="6"/>
        <v>1</v>
      </c>
      <c r="G171" s="9">
        <f t="shared" si="7"/>
        <v>43815</v>
      </c>
      <c r="H171" s="10">
        <f t="shared" si="8"/>
        <v>3.7008999999999999</v>
      </c>
      <c r="U171" s="11">
        <v>44039</v>
      </c>
      <c r="V171"/>
      <c r="W171"/>
      <c r="X171"/>
      <c r="Y171"/>
      <c r="Z171"/>
      <c r="AA171"/>
      <c r="AB171"/>
      <c r="AC171"/>
      <c r="AD171"/>
      <c r="AE171">
        <v>1.9428000000000001</v>
      </c>
      <c r="AF171"/>
      <c r="AG171">
        <v>1.1328</v>
      </c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>
        <v>1.5779000000000001</v>
      </c>
      <c r="AX171"/>
      <c r="AY171"/>
      <c r="AZ171"/>
      <c r="BA171"/>
      <c r="BB171"/>
      <c r="BC171"/>
      <c r="BD171"/>
      <c r="BE171">
        <v>1.6587000000000001</v>
      </c>
      <c r="BF171"/>
      <c r="BG171"/>
      <c r="BH171"/>
      <c r="BI171"/>
      <c r="BJ171">
        <v>0.99170000000000003</v>
      </c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>
        <v>1.5072000000000001</v>
      </c>
      <c r="CL171"/>
      <c r="CM171"/>
      <c r="CN171"/>
      <c r="CO171"/>
      <c r="CP171"/>
      <c r="CQ171"/>
      <c r="CR171"/>
      <c r="CS171"/>
      <c r="CT171"/>
      <c r="CU171"/>
      <c r="CV171"/>
      <c r="CW171"/>
      <c r="CX171">
        <v>1.3653999999999999</v>
      </c>
      <c r="CY171"/>
      <c r="CZ171">
        <v>1.7606999999999999</v>
      </c>
      <c r="DA171"/>
      <c r="DB171"/>
      <c r="DC171">
        <v>1.5813999999999999</v>
      </c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>
        <v>1.411</v>
      </c>
      <c r="EQ171"/>
      <c r="ER171"/>
      <c r="ES171"/>
      <c r="ET171"/>
      <c r="EU171"/>
      <c r="EV171"/>
    </row>
    <row r="172" spans="1:152" ht="15" x14ac:dyDescent="0.25">
      <c r="A172" s="1">
        <v>143</v>
      </c>
      <c r="B172" s="1" t="str">
        <v>2019-12-16</v>
      </c>
      <c r="C172" s="1">
        <v>3.5</v>
      </c>
      <c r="F172" s="8">
        <f t="shared" si="6"/>
        <v>143</v>
      </c>
      <c r="G172" s="9">
        <f t="shared" si="7"/>
        <v>43815</v>
      </c>
      <c r="H172" s="10">
        <f t="shared" si="8"/>
        <v>3.5</v>
      </c>
      <c r="U172" s="11">
        <v>44040</v>
      </c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>
        <v>1.7794000000000001</v>
      </c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>
        <v>1.6489</v>
      </c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>
        <v>2.4148999999999998</v>
      </c>
      <c r="EJ172"/>
      <c r="EK172"/>
      <c r="EL172"/>
      <c r="EM172"/>
      <c r="EN172"/>
      <c r="EO172"/>
      <c r="EP172"/>
      <c r="EQ172"/>
      <c r="ER172"/>
      <c r="ES172"/>
      <c r="ET172"/>
      <c r="EU172"/>
      <c r="EV172"/>
    </row>
    <row r="173" spans="1:152" ht="15" x14ac:dyDescent="0.25">
      <c r="A173" s="1">
        <v>32280</v>
      </c>
      <c r="B173" s="1" t="str">
        <v>2019-12-16</v>
      </c>
      <c r="C173" s="1">
        <v>3.7</v>
      </c>
      <c r="F173" s="8">
        <f t="shared" si="6"/>
        <v>32280</v>
      </c>
      <c r="G173" s="9">
        <f t="shared" si="7"/>
        <v>43815</v>
      </c>
      <c r="H173" s="10">
        <f t="shared" si="8"/>
        <v>3.7</v>
      </c>
      <c r="U173" s="11">
        <v>44041</v>
      </c>
      <c r="V173"/>
      <c r="W173"/>
      <c r="X173"/>
      <c r="Y173"/>
      <c r="Z173"/>
      <c r="AA173"/>
      <c r="AB173"/>
      <c r="AC173"/>
      <c r="AD173"/>
      <c r="AE173"/>
      <c r="AF173"/>
      <c r="AG173">
        <v>1.1229</v>
      </c>
      <c r="AH173"/>
      <c r="AI173"/>
      <c r="AJ173"/>
      <c r="AK173"/>
      <c r="AL173"/>
      <c r="AM173"/>
      <c r="AN173"/>
      <c r="AO173"/>
      <c r="AP173"/>
      <c r="AQ173">
        <v>1.7094</v>
      </c>
      <c r="AR173"/>
      <c r="AS173"/>
      <c r="AT173"/>
      <c r="AU173"/>
      <c r="AV173"/>
      <c r="AW173"/>
      <c r="AX173"/>
      <c r="AY173"/>
      <c r="AZ173"/>
      <c r="BA173"/>
      <c r="BB173"/>
      <c r="BC173">
        <v>1.2845</v>
      </c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>
        <v>1.4361999999999999</v>
      </c>
      <c r="EB173"/>
      <c r="EC173"/>
      <c r="ED173"/>
      <c r="EE173"/>
      <c r="EF173"/>
      <c r="EG173"/>
      <c r="EH173"/>
      <c r="EI173"/>
      <c r="EJ173"/>
      <c r="EK173">
        <v>1.6286</v>
      </c>
      <c r="EL173">
        <v>1.345</v>
      </c>
      <c r="EM173">
        <v>1.6388</v>
      </c>
      <c r="EN173"/>
      <c r="EO173"/>
      <c r="EP173"/>
      <c r="EQ173"/>
      <c r="ER173"/>
      <c r="ES173"/>
      <c r="ET173"/>
      <c r="EU173"/>
      <c r="EV173"/>
    </row>
    <row r="174" spans="1:152" ht="15" x14ac:dyDescent="0.25">
      <c r="A174" s="1">
        <v>33103</v>
      </c>
      <c r="B174" s="1" t="str">
        <v>2019-12-16</v>
      </c>
      <c r="C174" s="1">
        <v>4.0210999999999997</v>
      </c>
      <c r="F174" s="8">
        <f t="shared" si="6"/>
        <v>33103</v>
      </c>
      <c r="G174" s="9">
        <f t="shared" si="7"/>
        <v>43815</v>
      </c>
      <c r="H174" s="10">
        <f t="shared" si="8"/>
        <v>4.0210999999999997</v>
      </c>
      <c r="U174" s="11">
        <v>44042</v>
      </c>
      <c r="V174"/>
      <c r="W174"/>
      <c r="X174"/>
      <c r="Y174"/>
      <c r="Z174"/>
      <c r="AA174"/>
      <c r="AB174"/>
      <c r="AC174"/>
      <c r="AD174"/>
      <c r="AE174">
        <v>1.6894</v>
      </c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>
        <v>1.2845</v>
      </c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>
        <v>1.5069999999999999</v>
      </c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>
        <v>1.0118</v>
      </c>
      <c r="CO174">
        <v>1.5168999999999999</v>
      </c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>
        <v>1.5983000000000001</v>
      </c>
      <c r="EF174"/>
      <c r="EG174"/>
      <c r="EH174"/>
      <c r="EI174"/>
      <c r="EJ174"/>
      <c r="EK174"/>
      <c r="EL174">
        <v>1.345</v>
      </c>
      <c r="EM174"/>
      <c r="EN174"/>
      <c r="EO174"/>
      <c r="EP174"/>
      <c r="EQ174"/>
      <c r="ER174"/>
      <c r="ES174"/>
      <c r="ET174"/>
      <c r="EU174"/>
      <c r="EV174"/>
    </row>
    <row r="175" spans="1:152" ht="15" x14ac:dyDescent="0.25">
      <c r="A175" s="1">
        <v>37</v>
      </c>
      <c r="B175" s="1" t="str">
        <v>2019-12-16</v>
      </c>
      <c r="C175" s="1">
        <v>3.7839</v>
      </c>
      <c r="F175" s="8">
        <f t="shared" si="6"/>
        <v>37</v>
      </c>
      <c r="G175" s="9">
        <f t="shared" si="7"/>
        <v>43815</v>
      </c>
      <c r="H175" s="10">
        <f t="shared" si="8"/>
        <v>3.7839</v>
      </c>
      <c r="U175" s="11">
        <v>44043</v>
      </c>
      <c r="V175">
        <v>1.4766999999999999</v>
      </c>
      <c r="W175"/>
      <c r="X175">
        <v>1.5274000000000001</v>
      </c>
      <c r="Y175"/>
      <c r="Z175">
        <v>1.76</v>
      </c>
      <c r="AA175">
        <v>1.7910999999999999</v>
      </c>
      <c r="AB175"/>
      <c r="AC175">
        <v>1.6797</v>
      </c>
      <c r="AD175">
        <v>1.6944999999999999</v>
      </c>
      <c r="AE175"/>
      <c r="AF175">
        <v>1.9634</v>
      </c>
      <c r="AG175">
        <v>1.0924</v>
      </c>
      <c r="AH175">
        <v>1.3749</v>
      </c>
      <c r="AI175">
        <v>1.335</v>
      </c>
      <c r="AJ175">
        <v>1.5780000000000001</v>
      </c>
      <c r="AK175">
        <v>1.7197</v>
      </c>
      <c r="AL175"/>
      <c r="AM175">
        <v>1.2338</v>
      </c>
      <c r="AN175"/>
      <c r="AO175">
        <v>1.8211999999999999</v>
      </c>
      <c r="AP175">
        <v>2.0041000000000002</v>
      </c>
      <c r="AQ175"/>
      <c r="AR175"/>
      <c r="AS175">
        <v>1.7201</v>
      </c>
      <c r="AT175"/>
      <c r="AU175"/>
      <c r="AV175"/>
      <c r="AW175"/>
      <c r="AX175">
        <v>1.5874999999999999</v>
      </c>
      <c r="AY175">
        <v>1.7808999999999999</v>
      </c>
      <c r="AZ175">
        <v>1.6996</v>
      </c>
      <c r="BA175">
        <v>1.8011999999999999</v>
      </c>
      <c r="BB175"/>
      <c r="BC175"/>
      <c r="BD175">
        <v>1.4968999999999999</v>
      </c>
      <c r="BE175">
        <v>1.6182000000000001</v>
      </c>
      <c r="BF175"/>
      <c r="BG175">
        <v>1.7199</v>
      </c>
      <c r="BH175"/>
      <c r="BI175">
        <v>1.74</v>
      </c>
      <c r="BJ175"/>
      <c r="BK175">
        <v>1.899</v>
      </c>
      <c r="BL175"/>
      <c r="BM175">
        <v>2.1164999999999998</v>
      </c>
      <c r="BN175"/>
      <c r="BO175"/>
      <c r="BP175"/>
      <c r="BQ175"/>
      <c r="BR175"/>
      <c r="BS175"/>
      <c r="BT175"/>
      <c r="BU175"/>
      <c r="BV175"/>
      <c r="BW175"/>
      <c r="BX175"/>
      <c r="BY175">
        <v>1.6085</v>
      </c>
      <c r="BZ175"/>
      <c r="CA175">
        <v>1.5274000000000001</v>
      </c>
      <c r="CB175"/>
      <c r="CC175">
        <v>1.4258999999999999</v>
      </c>
      <c r="CD175">
        <v>1.8416999999999999</v>
      </c>
      <c r="CE175"/>
      <c r="CF175"/>
      <c r="CG175"/>
      <c r="CH175"/>
      <c r="CI175">
        <v>1.4967999999999999</v>
      </c>
      <c r="CJ175">
        <v>1.6185</v>
      </c>
      <c r="CK175"/>
      <c r="CL175">
        <v>1.2522</v>
      </c>
      <c r="CM175"/>
      <c r="CN175">
        <v>1.0118</v>
      </c>
      <c r="CO175"/>
      <c r="CP175">
        <v>1.4664999999999999</v>
      </c>
      <c r="CQ175">
        <v>1.5133000000000001</v>
      </c>
      <c r="CR175"/>
      <c r="CS175"/>
      <c r="CT175">
        <v>1.5982000000000001</v>
      </c>
      <c r="CU175"/>
      <c r="CV175"/>
      <c r="CW175">
        <v>1.5373000000000001</v>
      </c>
      <c r="CX175">
        <v>1.2542</v>
      </c>
      <c r="CY175"/>
      <c r="CZ175">
        <v>1.6692</v>
      </c>
      <c r="DA175"/>
      <c r="DB175"/>
      <c r="DC175"/>
      <c r="DD175"/>
      <c r="DE175"/>
      <c r="DF175">
        <v>1.5472999999999999</v>
      </c>
      <c r="DG175">
        <v>1.9433</v>
      </c>
      <c r="DH175">
        <v>1.649</v>
      </c>
      <c r="DI175">
        <v>1.9638</v>
      </c>
      <c r="DJ175"/>
      <c r="DK175">
        <v>1.4157999999999999</v>
      </c>
      <c r="DL175"/>
      <c r="DM175"/>
      <c r="DN175"/>
      <c r="DO175"/>
      <c r="DP175"/>
      <c r="DQ175"/>
      <c r="DR175">
        <v>1.5578000000000001</v>
      </c>
      <c r="DS175">
        <v>1.8515999999999999</v>
      </c>
      <c r="DT175">
        <v>1.4561999999999999</v>
      </c>
      <c r="DU175"/>
      <c r="DV175"/>
      <c r="DW175"/>
      <c r="DX175">
        <v>1.4665999999999999</v>
      </c>
      <c r="DY175"/>
      <c r="DZ175"/>
      <c r="EA175"/>
      <c r="EB175"/>
      <c r="EC175"/>
      <c r="ED175"/>
      <c r="EE175"/>
      <c r="EF175"/>
      <c r="EG175"/>
      <c r="EH175"/>
      <c r="EI175"/>
      <c r="EJ175"/>
      <c r="EK175">
        <v>1.5983000000000001</v>
      </c>
      <c r="EL175">
        <v>1.3554999999999999</v>
      </c>
      <c r="EM175"/>
      <c r="EN175"/>
      <c r="EO175"/>
      <c r="EP175">
        <v>1.3654999999999999</v>
      </c>
      <c r="EQ175">
        <v>1.6886000000000001</v>
      </c>
      <c r="ER175"/>
      <c r="ES175"/>
      <c r="ET175"/>
      <c r="EU175"/>
      <c r="EV175"/>
    </row>
    <row r="176" spans="1:152" ht="15" x14ac:dyDescent="0.25">
      <c r="A176" s="1">
        <v>171</v>
      </c>
      <c r="B176" s="1" t="str">
        <v>2019-12-16</v>
      </c>
      <c r="C176" s="1">
        <v>3.4628000000000001</v>
      </c>
      <c r="F176" s="8">
        <f t="shared" si="6"/>
        <v>171</v>
      </c>
      <c r="G176" s="9">
        <f t="shared" si="7"/>
        <v>43815</v>
      </c>
      <c r="H176" s="10">
        <f t="shared" si="8"/>
        <v>3.4628000000000001</v>
      </c>
      <c r="U176" s="11">
        <v>44046</v>
      </c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>
        <v>2.7589000000000001</v>
      </c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>
        <v>1.7814000000000001</v>
      </c>
      <c r="BV176"/>
      <c r="BW176">
        <v>2.0249000000000001</v>
      </c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>
        <v>1.5373000000000001</v>
      </c>
      <c r="CX176"/>
      <c r="CY176"/>
      <c r="CZ176"/>
      <c r="DA176"/>
      <c r="DB176"/>
      <c r="DC176">
        <v>1.5183</v>
      </c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</row>
    <row r="177" spans="1:152" ht="15" x14ac:dyDescent="0.25">
      <c r="A177" s="1">
        <v>32380</v>
      </c>
      <c r="B177" s="1" t="str">
        <v>2019-12-16</v>
      </c>
      <c r="C177" s="1">
        <v>3.5912999999999999</v>
      </c>
      <c r="F177" s="8">
        <f t="shared" si="6"/>
        <v>32380</v>
      </c>
      <c r="G177" s="9">
        <f t="shared" si="7"/>
        <v>43815</v>
      </c>
      <c r="H177" s="10">
        <f t="shared" si="8"/>
        <v>3.5912999999999999</v>
      </c>
      <c r="U177" s="11">
        <v>44047</v>
      </c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>
        <v>1.4869000000000001</v>
      </c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>
        <v>1.5172000000000001</v>
      </c>
      <c r="EN177"/>
      <c r="EO177"/>
      <c r="EP177"/>
      <c r="EQ177"/>
      <c r="ER177"/>
      <c r="ES177"/>
      <c r="ET177"/>
      <c r="EU177"/>
      <c r="EV177"/>
    </row>
    <row r="178" spans="1:152" ht="15" x14ac:dyDescent="0.25">
      <c r="A178" s="1">
        <v>178</v>
      </c>
      <c r="B178" s="1" t="str">
        <v>2019-12-16</v>
      </c>
      <c r="C178" s="1">
        <v>3.5663999999999998</v>
      </c>
      <c r="F178" s="8">
        <f t="shared" si="6"/>
        <v>178</v>
      </c>
      <c r="G178" s="9">
        <f t="shared" si="7"/>
        <v>43815</v>
      </c>
      <c r="H178" s="10">
        <f t="shared" si="8"/>
        <v>3.5663999999999998</v>
      </c>
      <c r="U178" s="11">
        <v>44048</v>
      </c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>
        <v>1.3956999999999999</v>
      </c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>
        <v>1.6693</v>
      </c>
      <c r="EP178"/>
      <c r="EQ178"/>
      <c r="ER178"/>
      <c r="ES178"/>
      <c r="ET178"/>
      <c r="EU178"/>
      <c r="EV178"/>
    </row>
    <row r="179" spans="1:152" ht="15" x14ac:dyDescent="0.25">
      <c r="A179" s="1">
        <v>33023</v>
      </c>
      <c r="B179" s="1" t="str">
        <v>2019-12-17</v>
      </c>
      <c r="C179" s="1">
        <v>4</v>
      </c>
      <c r="F179" s="8">
        <f t="shared" si="6"/>
        <v>33023</v>
      </c>
      <c r="G179" s="9">
        <f t="shared" si="7"/>
        <v>43816</v>
      </c>
      <c r="H179" s="10">
        <f t="shared" si="8"/>
        <v>4</v>
      </c>
      <c r="U179" s="11">
        <v>44049</v>
      </c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>
        <v>1.74</v>
      </c>
      <c r="BJ179">
        <v>1.0321</v>
      </c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>
        <v>1.6692</v>
      </c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</row>
    <row r="180" spans="1:152" ht="15" x14ac:dyDescent="0.25">
      <c r="A180" s="1">
        <v>1</v>
      </c>
      <c r="B180" s="1" t="str">
        <v>2019-12-17</v>
      </c>
      <c r="C180" s="1">
        <v>3.7008999999999999</v>
      </c>
      <c r="F180" s="8">
        <f t="shared" si="6"/>
        <v>1</v>
      </c>
      <c r="G180" s="9">
        <f t="shared" si="7"/>
        <v>43816</v>
      </c>
      <c r="H180" s="10">
        <f t="shared" si="8"/>
        <v>3.7008999999999999</v>
      </c>
      <c r="U180" s="11">
        <v>44050</v>
      </c>
      <c r="V180"/>
      <c r="W180"/>
      <c r="X180">
        <v>1.4970000000000001</v>
      </c>
      <c r="Y180">
        <v>1.3853</v>
      </c>
      <c r="Z180">
        <v>1.7904</v>
      </c>
      <c r="AA180"/>
      <c r="AB180">
        <v>1.4861</v>
      </c>
      <c r="AC180"/>
      <c r="AD180"/>
      <c r="AE180"/>
      <c r="AF180"/>
      <c r="AG180"/>
      <c r="AH180"/>
      <c r="AI180"/>
      <c r="AJ180"/>
      <c r="AK180">
        <v>1.6994</v>
      </c>
      <c r="AL180"/>
      <c r="AM180"/>
      <c r="AN180"/>
      <c r="AO180"/>
      <c r="AP180">
        <v>1.9635</v>
      </c>
      <c r="AQ180"/>
      <c r="AR180"/>
      <c r="AS180"/>
      <c r="AT180"/>
      <c r="AU180"/>
      <c r="AV180"/>
      <c r="AW180"/>
      <c r="AX180"/>
      <c r="AY180"/>
      <c r="AZ180"/>
      <c r="BA180">
        <v>1.8825000000000001</v>
      </c>
      <c r="BB180"/>
      <c r="BC180"/>
      <c r="BD180">
        <v>1.6083000000000001</v>
      </c>
      <c r="BE180"/>
      <c r="BF180"/>
      <c r="BG180">
        <v>1.6996</v>
      </c>
      <c r="BH180"/>
      <c r="BI180"/>
      <c r="BJ180">
        <v>1.0623</v>
      </c>
      <c r="BK180">
        <v>1.8463000000000001</v>
      </c>
      <c r="BL180"/>
      <c r="BM180"/>
      <c r="BN180"/>
      <c r="BO180">
        <v>1.5576000000000001</v>
      </c>
      <c r="BP180">
        <v>1.8112999999999999</v>
      </c>
      <c r="BQ180"/>
      <c r="BR180"/>
      <c r="BS180"/>
      <c r="BT180"/>
      <c r="BU180"/>
      <c r="BV180"/>
      <c r="BW180"/>
      <c r="BX180"/>
      <c r="BY180">
        <v>1.6289</v>
      </c>
      <c r="BZ180"/>
      <c r="CA180"/>
      <c r="CB180"/>
      <c r="CC180"/>
      <c r="CD180"/>
      <c r="CE180"/>
      <c r="CF180">
        <v>1.3148</v>
      </c>
      <c r="CG180"/>
      <c r="CH180"/>
      <c r="CI180"/>
      <c r="CJ180"/>
      <c r="CK180"/>
      <c r="CL180"/>
      <c r="CM180"/>
      <c r="CN180"/>
      <c r="CO180"/>
      <c r="CP180"/>
      <c r="CQ180">
        <v>1.5447</v>
      </c>
      <c r="CR180">
        <v>1.3447</v>
      </c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>
        <v>1.6288</v>
      </c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>
        <v>2.2212999999999998</v>
      </c>
      <c r="EJ180"/>
      <c r="EK180"/>
      <c r="EL180"/>
      <c r="EM180">
        <v>1.5475000000000001</v>
      </c>
      <c r="EN180"/>
      <c r="EO180"/>
      <c r="EP180">
        <v>1.3705000000000001</v>
      </c>
      <c r="EQ180">
        <v>1.6667000000000001</v>
      </c>
      <c r="ER180"/>
      <c r="ES180"/>
      <c r="ET180"/>
      <c r="EU180"/>
      <c r="EV180"/>
    </row>
    <row r="181" spans="1:152" ht="15" x14ac:dyDescent="0.25">
      <c r="A181" s="1">
        <v>136</v>
      </c>
      <c r="B181" s="1" t="str">
        <v>2019-12-17</v>
      </c>
      <c r="C181" s="1">
        <v>3.4009999999999998</v>
      </c>
      <c r="F181" s="8">
        <f t="shared" si="6"/>
        <v>136</v>
      </c>
      <c r="G181" s="9">
        <f t="shared" si="7"/>
        <v>43816</v>
      </c>
      <c r="H181" s="10">
        <f t="shared" si="8"/>
        <v>3.4009999999999998</v>
      </c>
      <c r="U181" s="11">
        <v>44053</v>
      </c>
      <c r="V181"/>
      <c r="W181">
        <v>2.2692000000000001</v>
      </c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>
        <v>1.5576000000000001</v>
      </c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>
        <v>1.7932999999999999</v>
      </c>
      <c r="BV181"/>
      <c r="BW181"/>
      <c r="BX181"/>
      <c r="BY181"/>
      <c r="BZ181"/>
      <c r="CA181"/>
      <c r="CB181"/>
      <c r="CC181"/>
      <c r="CD181"/>
      <c r="CE181"/>
      <c r="CF181"/>
      <c r="CG181"/>
      <c r="CH181">
        <v>1.5071000000000001</v>
      </c>
      <c r="CI181"/>
      <c r="CJ181"/>
      <c r="CK181"/>
      <c r="CL181"/>
      <c r="CM181"/>
      <c r="CN181"/>
      <c r="CO181"/>
      <c r="CP181"/>
      <c r="CQ181"/>
      <c r="CR181"/>
      <c r="CS181"/>
      <c r="CT181">
        <v>1.5881000000000001</v>
      </c>
      <c r="CU181"/>
      <c r="CV181"/>
      <c r="CW181"/>
      <c r="CX181"/>
      <c r="CY181"/>
      <c r="CZ181">
        <v>1.7301</v>
      </c>
      <c r="DA181"/>
      <c r="DB181"/>
      <c r="DC181">
        <v>1.6593</v>
      </c>
      <c r="DD181"/>
      <c r="DE181"/>
      <c r="DF181"/>
      <c r="DG181"/>
      <c r="DH181"/>
      <c r="DI181"/>
      <c r="DJ181"/>
      <c r="DK181"/>
      <c r="DL181"/>
      <c r="DM181"/>
      <c r="DN181"/>
      <c r="DO181">
        <v>1.5681</v>
      </c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>
        <v>1.6693</v>
      </c>
      <c r="EF181"/>
      <c r="EG181"/>
      <c r="EH181"/>
      <c r="EI181">
        <v>2.3938999999999999</v>
      </c>
      <c r="EJ181"/>
      <c r="EK181"/>
      <c r="EL181"/>
      <c r="EM181"/>
      <c r="EN181"/>
      <c r="EO181"/>
      <c r="EP181"/>
      <c r="EQ181"/>
      <c r="ER181"/>
      <c r="ES181"/>
      <c r="ET181"/>
      <c r="EU181"/>
      <c r="EV181"/>
    </row>
    <row r="182" spans="1:152" ht="15" x14ac:dyDescent="0.25">
      <c r="A182" s="1">
        <v>90</v>
      </c>
      <c r="B182" s="1" t="str">
        <v>2019-12-18</v>
      </c>
      <c r="C182" s="1">
        <v>3.4428000000000001</v>
      </c>
      <c r="F182" s="8">
        <f t="shared" si="6"/>
        <v>90</v>
      </c>
      <c r="G182" s="9">
        <f t="shared" si="7"/>
        <v>43817</v>
      </c>
      <c r="H182" s="10">
        <f t="shared" si="8"/>
        <v>3.4428000000000001</v>
      </c>
      <c r="U182" s="11">
        <v>44054</v>
      </c>
      <c r="V182"/>
      <c r="W182">
        <v>2.1059999999999999</v>
      </c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>
        <v>1.8216000000000001</v>
      </c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>
        <v>1.6378999999999999</v>
      </c>
      <c r="CN182"/>
      <c r="CO182"/>
      <c r="CP182"/>
      <c r="CQ182"/>
      <c r="CR182"/>
      <c r="CS182">
        <v>1.7806</v>
      </c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>
        <v>1.5128999999999999</v>
      </c>
      <c r="EC182"/>
      <c r="ED182"/>
      <c r="EE182"/>
      <c r="EF182"/>
      <c r="EG182"/>
      <c r="EH182"/>
      <c r="EI182"/>
      <c r="EJ182"/>
      <c r="EK182">
        <v>1.5983000000000001</v>
      </c>
      <c r="EL182"/>
      <c r="EM182"/>
      <c r="EN182"/>
      <c r="EO182"/>
      <c r="EP182"/>
      <c r="EQ182"/>
      <c r="ER182"/>
      <c r="ES182"/>
      <c r="ET182"/>
      <c r="EU182"/>
      <c r="EV182"/>
    </row>
    <row r="183" spans="1:152" ht="15" x14ac:dyDescent="0.25">
      <c r="A183" s="1">
        <v>171</v>
      </c>
      <c r="B183" s="1" t="str">
        <v>2019-12-18</v>
      </c>
      <c r="C183" s="1">
        <v>3.4628000000000001</v>
      </c>
      <c r="F183" s="8">
        <f t="shared" si="6"/>
        <v>171</v>
      </c>
      <c r="G183" s="9">
        <f t="shared" si="7"/>
        <v>43817</v>
      </c>
      <c r="H183" s="10">
        <f t="shared" si="8"/>
        <v>3.4628000000000001</v>
      </c>
      <c r="U183" s="11">
        <v>44055</v>
      </c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>
        <v>1.9944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>
        <v>1.4056999999999999</v>
      </c>
      <c r="CD183"/>
      <c r="CE183"/>
      <c r="CF183"/>
      <c r="CG183"/>
      <c r="CH183"/>
      <c r="CI183"/>
      <c r="CJ183"/>
      <c r="CK183">
        <v>1.5172000000000001</v>
      </c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>
        <v>1.6</v>
      </c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>
        <v>1.5477000000000001</v>
      </c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</row>
    <row r="184" spans="1:152" ht="15" x14ac:dyDescent="0.25">
      <c r="A184" s="1">
        <v>32280</v>
      </c>
      <c r="B184" s="1" t="str">
        <v>2019-12-18</v>
      </c>
      <c r="C184" s="1">
        <v>3.7</v>
      </c>
      <c r="F184" s="8">
        <f t="shared" si="6"/>
        <v>32280</v>
      </c>
      <c r="G184" s="9">
        <f t="shared" si="7"/>
        <v>43817</v>
      </c>
      <c r="H184" s="10">
        <f t="shared" si="8"/>
        <v>3.7</v>
      </c>
      <c r="U184" s="11">
        <v>44056</v>
      </c>
      <c r="V184"/>
      <c r="W184"/>
      <c r="X184"/>
      <c r="Y184"/>
      <c r="Z184"/>
      <c r="AA184"/>
      <c r="AB184"/>
      <c r="AC184"/>
      <c r="AD184"/>
      <c r="AE184"/>
      <c r="AF184"/>
      <c r="AG184"/>
      <c r="AH184">
        <v>1.7603</v>
      </c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>
        <v>1.2642</v>
      </c>
      <c r="CY184"/>
      <c r="CZ184">
        <v>1.8520000000000001</v>
      </c>
      <c r="DA184">
        <v>1.6083000000000001</v>
      </c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>
        <v>1.6997</v>
      </c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</row>
    <row r="185" spans="1:152" ht="15" x14ac:dyDescent="0.25">
      <c r="A185" s="1">
        <v>177</v>
      </c>
      <c r="B185" s="1" t="str">
        <v>2019-12-18</v>
      </c>
      <c r="C185" s="1">
        <v>3.6798000000000002</v>
      </c>
      <c r="F185" s="8">
        <f t="shared" si="6"/>
        <v>177</v>
      </c>
      <c r="G185" s="9">
        <f t="shared" si="7"/>
        <v>43817</v>
      </c>
      <c r="H185" s="10">
        <f t="shared" si="8"/>
        <v>3.6798000000000002</v>
      </c>
      <c r="U185" s="11">
        <v>44057</v>
      </c>
      <c r="V185"/>
      <c r="W185"/>
      <c r="X185">
        <v>1.6289</v>
      </c>
      <c r="Y185">
        <v>1.4259999999999999</v>
      </c>
      <c r="Z185"/>
      <c r="AA185">
        <v>1.7909999999999999</v>
      </c>
      <c r="AB185"/>
      <c r="AC185"/>
      <c r="AD185">
        <v>1.6894</v>
      </c>
      <c r="AE185"/>
      <c r="AF185"/>
      <c r="AG185"/>
      <c r="AH185"/>
      <c r="AI185"/>
      <c r="AJ185">
        <v>1.5375000000000001</v>
      </c>
      <c r="AK185"/>
      <c r="AL185"/>
      <c r="AM185"/>
      <c r="AN185"/>
      <c r="AO185"/>
      <c r="AP185">
        <v>1.9635</v>
      </c>
      <c r="AQ185"/>
      <c r="AR185"/>
      <c r="AS185"/>
      <c r="AT185"/>
      <c r="AU185"/>
      <c r="AV185"/>
      <c r="AW185"/>
      <c r="AX185">
        <v>1.6583000000000001</v>
      </c>
      <c r="AY185">
        <v>1.7706999999999999</v>
      </c>
      <c r="AZ185"/>
      <c r="BA185"/>
      <c r="BB185"/>
      <c r="BC185"/>
      <c r="BD185">
        <v>1.6083000000000001</v>
      </c>
      <c r="BE185"/>
      <c r="BF185"/>
      <c r="BG185"/>
      <c r="BH185"/>
      <c r="BI185">
        <v>1.7907</v>
      </c>
      <c r="BJ185">
        <v>1.0623</v>
      </c>
      <c r="BK185">
        <v>1.8463000000000001</v>
      </c>
      <c r="BL185"/>
      <c r="BM185">
        <v>2.1265999999999998</v>
      </c>
      <c r="BN185"/>
      <c r="BO185">
        <v>1.6386000000000001</v>
      </c>
      <c r="BP185"/>
      <c r="BQ185"/>
      <c r="BR185"/>
      <c r="BS185"/>
      <c r="BT185"/>
      <c r="BU185"/>
      <c r="BV185"/>
      <c r="BW185">
        <v>2.1366999999999998</v>
      </c>
      <c r="BX185"/>
      <c r="BY185"/>
      <c r="BZ185"/>
      <c r="CA185"/>
      <c r="CB185"/>
      <c r="CC185">
        <v>1.5069999999999999</v>
      </c>
      <c r="CD185"/>
      <c r="CE185"/>
      <c r="CF185"/>
      <c r="CG185"/>
      <c r="CH185"/>
      <c r="CI185"/>
      <c r="CJ185"/>
      <c r="CK185"/>
      <c r="CL185">
        <v>1.6187</v>
      </c>
      <c r="CM185"/>
      <c r="CN185">
        <v>1.1632</v>
      </c>
      <c r="CO185"/>
      <c r="CP185"/>
      <c r="CQ185">
        <v>1.5132000000000001</v>
      </c>
      <c r="CR185">
        <v>1.3043</v>
      </c>
      <c r="CS185"/>
      <c r="CT185">
        <v>1.5982000000000001</v>
      </c>
      <c r="CU185"/>
      <c r="CV185"/>
      <c r="CW185">
        <v>1.5476000000000001</v>
      </c>
      <c r="CX185"/>
      <c r="CY185"/>
      <c r="CZ185">
        <v>1.8723000000000001</v>
      </c>
      <c r="DA185">
        <v>1.6083000000000001</v>
      </c>
      <c r="DB185">
        <v>1.6766000000000001</v>
      </c>
      <c r="DC185"/>
      <c r="DD185"/>
      <c r="DE185"/>
      <c r="DF185"/>
      <c r="DG185">
        <v>2.0552000000000001</v>
      </c>
      <c r="DH185"/>
      <c r="DI185"/>
      <c r="DJ185"/>
      <c r="DK185"/>
      <c r="DL185"/>
      <c r="DM185"/>
      <c r="DN185"/>
      <c r="DO185">
        <v>1.7199</v>
      </c>
      <c r="DP185"/>
      <c r="DQ185">
        <v>1.7706</v>
      </c>
      <c r="DR185">
        <v>1.6796</v>
      </c>
      <c r="DS185">
        <v>1.8517999999999999</v>
      </c>
      <c r="DT185"/>
      <c r="DU185"/>
      <c r="DV185"/>
      <c r="DW185"/>
      <c r="DX185"/>
      <c r="DY185"/>
      <c r="DZ185"/>
      <c r="EA185">
        <v>1.5477000000000001</v>
      </c>
      <c r="EB185"/>
      <c r="EC185">
        <v>1.6492</v>
      </c>
      <c r="ED185"/>
      <c r="EE185"/>
      <c r="EF185"/>
      <c r="EG185"/>
      <c r="EH185">
        <v>1.7524</v>
      </c>
      <c r="EI185"/>
      <c r="EJ185"/>
      <c r="EK185"/>
      <c r="EL185">
        <v>1.8008999999999999</v>
      </c>
      <c r="EM185"/>
      <c r="EN185"/>
      <c r="EO185"/>
      <c r="EP185">
        <v>1.7404999999999999</v>
      </c>
      <c r="EQ185"/>
      <c r="ER185"/>
      <c r="ES185"/>
      <c r="ET185"/>
      <c r="EU185"/>
      <c r="EV185"/>
    </row>
    <row r="186" spans="1:152" ht="15" x14ac:dyDescent="0.25">
      <c r="A186" s="1">
        <v>32420</v>
      </c>
      <c r="B186" s="1" t="str">
        <v>2019-12-18</v>
      </c>
      <c r="C186" s="1">
        <v>3.7574999999999998</v>
      </c>
      <c r="F186" s="8">
        <f t="shared" si="6"/>
        <v>32420</v>
      </c>
      <c r="G186" s="9">
        <f t="shared" si="7"/>
        <v>43817</v>
      </c>
      <c r="H186" s="10">
        <f t="shared" si="8"/>
        <v>3.7574999999999998</v>
      </c>
      <c r="U186" s="11">
        <v>44060</v>
      </c>
      <c r="V186"/>
      <c r="W186">
        <v>2.1467999999999998</v>
      </c>
      <c r="X186"/>
      <c r="Y186"/>
      <c r="Z186"/>
      <c r="AA186"/>
      <c r="AB186"/>
      <c r="AC186"/>
      <c r="AD186"/>
      <c r="AE186">
        <v>1.6894</v>
      </c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>
        <v>1.7401</v>
      </c>
      <c r="BF186"/>
      <c r="BG186"/>
      <c r="BH186"/>
      <c r="BI186"/>
      <c r="BJ186"/>
      <c r="BK186"/>
      <c r="BL186">
        <v>1.7707999999999999</v>
      </c>
      <c r="BM186"/>
      <c r="BN186">
        <v>1.7</v>
      </c>
      <c r="BO186"/>
      <c r="BP186"/>
      <c r="BQ186"/>
      <c r="BR186"/>
      <c r="BS186"/>
      <c r="BT186"/>
      <c r="BU186">
        <v>1.9857</v>
      </c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>
        <v>1.3043</v>
      </c>
      <c r="CS186"/>
      <c r="CT186">
        <v>1.6287</v>
      </c>
      <c r="CU186"/>
      <c r="CV186"/>
      <c r="CW186"/>
      <c r="CX186"/>
      <c r="CY186">
        <v>2.2690000000000001</v>
      </c>
      <c r="CZ186"/>
      <c r="DA186"/>
      <c r="DB186"/>
      <c r="DC186">
        <v>1.7645999999999999</v>
      </c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>
        <v>1.8</v>
      </c>
      <c r="EO186"/>
      <c r="EP186"/>
      <c r="EQ186"/>
      <c r="ER186"/>
      <c r="ES186"/>
      <c r="ET186"/>
      <c r="EU186"/>
      <c r="EV186"/>
    </row>
    <row r="187" spans="1:152" ht="15" x14ac:dyDescent="0.25">
      <c r="A187" s="1">
        <v>32824</v>
      </c>
      <c r="B187" s="1" t="str">
        <v>2019-12-18</v>
      </c>
      <c r="C187" s="1">
        <v>3.5562999999999998</v>
      </c>
      <c r="F187" s="8">
        <f t="shared" si="6"/>
        <v>32824</v>
      </c>
      <c r="G187" s="9">
        <f t="shared" si="7"/>
        <v>43817</v>
      </c>
      <c r="H187" s="10">
        <f t="shared" si="8"/>
        <v>3.5562999999999998</v>
      </c>
      <c r="U187" s="11">
        <v>44061</v>
      </c>
      <c r="V187">
        <v>1.5578000000000001</v>
      </c>
      <c r="W187"/>
      <c r="X187"/>
      <c r="Y187"/>
      <c r="Z187"/>
      <c r="AA187"/>
      <c r="AB187">
        <v>1.5273000000000001</v>
      </c>
      <c r="AC187"/>
      <c r="AD187"/>
      <c r="AE187">
        <v>1.6894</v>
      </c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>
        <v>1.7302</v>
      </c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>
        <v>1.9857</v>
      </c>
      <c r="BV187">
        <v>1.9941</v>
      </c>
      <c r="BW187"/>
      <c r="BX187"/>
      <c r="BY187">
        <v>1.6289</v>
      </c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>
        <v>1.8105</v>
      </c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>
        <v>1.6998</v>
      </c>
      <c r="EL187"/>
      <c r="EM187"/>
      <c r="EN187"/>
      <c r="EO187"/>
      <c r="EP187"/>
      <c r="EQ187">
        <v>1.6338999999999999</v>
      </c>
      <c r="ER187"/>
      <c r="ES187"/>
      <c r="ET187"/>
      <c r="EU187"/>
      <c r="EV187"/>
    </row>
    <row r="188" spans="1:152" ht="15" x14ac:dyDescent="0.25">
      <c r="A188" s="1">
        <v>32</v>
      </c>
      <c r="B188" s="1" t="str">
        <v>2019-12-18</v>
      </c>
      <c r="C188" s="1">
        <v>3.7008999999999999</v>
      </c>
      <c r="F188" s="8">
        <f t="shared" si="6"/>
        <v>32</v>
      </c>
      <c r="G188" s="9">
        <f t="shared" si="7"/>
        <v>43817</v>
      </c>
      <c r="H188" s="10">
        <f t="shared" si="8"/>
        <v>3.7008999999999999</v>
      </c>
      <c r="U188" s="11">
        <v>44062</v>
      </c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>
        <v>1.9807999999999999</v>
      </c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>
        <v>1.5679000000000001</v>
      </c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</row>
    <row r="189" spans="1:152" ht="15" x14ac:dyDescent="0.25">
      <c r="A189" s="1">
        <v>157</v>
      </c>
      <c r="B189" s="1" t="str">
        <v>2019-12-18</v>
      </c>
      <c r="C189" s="1">
        <v>3.85</v>
      </c>
      <c r="F189" s="8">
        <f t="shared" si="6"/>
        <v>157</v>
      </c>
      <c r="G189" s="9">
        <f t="shared" si="7"/>
        <v>43817</v>
      </c>
      <c r="H189" s="10">
        <f t="shared" si="8"/>
        <v>3.85</v>
      </c>
      <c r="U189" s="11">
        <v>44063</v>
      </c>
      <c r="V189"/>
      <c r="W189"/>
      <c r="X189"/>
      <c r="Y189"/>
      <c r="Z189"/>
      <c r="AA189"/>
      <c r="AB189"/>
      <c r="AC189"/>
      <c r="AD189"/>
      <c r="AE189"/>
      <c r="AF189">
        <v>1.9530000000000001</v>
      </c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>
        <v>2.0045999999999999</v>
      </c>
      <c r="BB189"/>
      <c r="BC189"/>
      <c r="BD189"/>
      <c r="BE189"/>
      <c r="BF189">
        <v>1.9738</v>
      </c>
      <c r="BG189">
        <v>1.9739</v>
      </c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>
        <v>1.8113999999999999</v>
      </c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>
        <v>1.8314999999999999</v>
      </c>
      <c r="EG189"/>
      <c r="EH189"/>
      <c r="EI189"/>
      <c r="EJ189"/>
      <c r="EK189">
        <v>1.8826000000000001</v>
      </c>
      <c r="EL189"/>
      <c r="EM189"/>
      <c r="EN189"/>
      <c r="EO189"/>
      <c r="EP189"/>
      <c r="EQ189"/>
      <c r="ER189"/>
      <c r="ES189"/>
      <c r="ET189"/>
      <c r="EU189"/>
      <c r="EV189"/>
    </row>
    <row r="190" spans="1:152" ht="15" x14ac:dyDescent="0.25">
      <c r="A190" s="1">
        <v>32200</v>
      </c>
      <c r="B190" s="1" t="str">
        <v>2019-12-18</v>
      </c>
      <c r="C190" s="1">
        <v>3.1536</v>
      </c>
      <c r="F190" s="8">
        <f t="shared" si="6"/>
        <v>32200</v>
      </c>
      <c r="G190" s="9">
        <f t="shared" si="7"/>
        <v>43817</v>
      </c>
      <c r="H190" s="10">
        <f t="shared" si="8"/>
        <v>3.1536</v>
      </c>
      <c r="U190" s="11">
        <v>44064</v>
      </c>
      <c r="V190"/>
      <c r="W190"/>
      <c r="X190">
        <v>1.8318000000000001</v>
      </c>
      <c r="Y190">
        <v>1.4259999999999999</v>
      </c>
      <c r="Z190"/>
      <c r="AA190">
        <v>1.7808999999999999</v>
      </c>
      <c r="AB190"/>
      <c r="AC190"/>
      <c r="AD190">
        <v>1.6894</v>
      </c>
      <c r="AE190"/>
      <c r="AF190">
        <v>1.9530000000000001</v>
      </c>
      <c r="AG190">
        <v>1.3958999999999999</v>
      </c>
      <c r="AH190"/>
      <c r="AI190">
        <v>1.4564999999999999</v>
      </c>
      <c r="AJ190"/>
      <c r="AK190"/>
      <c r="AL190"/>
      <c r="AM190"/>
      <c r="AN190"/>
      <c r="AO190">
        <v>2.0044</v>
      </c>
      <c r="AP190">
        <v>1.9635</v>
      </c>
      <c r="AQ190"/>
      <c r="AR190"/>
      <c r="AS190"/>
      <c r="AT190">
        <v>1.7458</v>
      </c>
      <c r="AU190"/>
      <c r="AV190"/>
      <c r="AW190">
        <v>1.7301</v>
      </c>
      <c r="AX190"/>
      <c r="AY190"/>
      <c r="AZ190"/>
      <c r="BA190"/>
      <c r="BB190"/>
      <c r="BC190"/>
      <c r="BD190"/>
      <c r="BE190"/>
      <c r="BF190"/>
      <c r="BG190">
        <v>1.8824000000000001</v>
      </c>
      <c r="BH190"/>
      <c r="BI190"/>
      <c r="BJ190"/>
      <c r="BK190">
        <v>1.9479</v>
      </c>
      <c r="BL190"/>
      <c r="BM190"/>
      <c r="BN190"/>
      <c r="BO190">
        <v>1.9435</v>
      </c>
      <c r="BP190"/>
      <c r="BQ190"/>
      <c r="BR190"/>
      <c r="BS190"/>
      <c r="BT190"/>
      <c r="BU190"/>
      <c r="BV190"/>
      <c r="BW190"/>
      <c r="BX190"/>
      <c r="BY190">
        <v>1.7708999999999999</v>
      </c>
      <c r="BZ190"/>
      <c r="CA190"/>
      <c r="CB190"/>
      <c r="CC190">
        <v>1.6288</v>
      </c>
      <c r="CD190"/>
      <c r="CE190"/>
      <c r="CF190">
        <v>1.6489</v>
      </c>
      <c r="CG190"/>
      <c r="CH190"/>
      <c r="CI190"/>
      <c r="CJ190">
        <v>1.7098</v>
      </c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>
        <v>1.6766000000000001</v>
      </c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>
        <v>1.9638</v>
      </c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>
        <v>2.0045999999999999</v>
      </c>
      <c r="EN190"/>
      <c r="EO190"/>
      <c r="EP190"/>
      <c r="EQ190"/>
      <c r="ER190"/>
      <c r="ES190"/>
      <c r="ET190"/>
      <c r="EU190"/>
      <c r="EV190"/>
    </row>
    <row r="191" spans="1:152" ht="15" x14ac:dyDescent="0.25">
      <c r="A191" s="1">
        <v>32582</v>
      </c>
      <c r="B191" s="1" t="str">
        <v>2019-12-19</v>
      </c>
      <c r="C191" s="1">
        <v>3.6597</v>
      </c>
      <c r="F191" s="8">
        <f t="shared" si="6"/>
        <v>32582</v>
      </c>
      <c r="G191" s="9">
        <f t="shared" si="7"/>
        <v>43818</v>
      </c>
      <c r="H191" s="10">
        <f t="shared" si="8"/>
        <v>3.6597</v>
      </c>
      <c r="U191" s="11">
        <v>44067</v>
      </c>
      <c r="V191"/>
      <c r="W191">
        <v>2.157</v>
      </c>
      <c r="X191"/>
      <c r="Y191"/>
      <c r="Z191"/>
      <c r="AA191"/>
      <c r="AB191"/>
      <c r="AC191"/>
      <c r="AD191"/>
      <c r="AE191"/>
      <c r="AF191"/>
      <c r="AG191"/>
      <c r="AH191"/>
      <c r="AI191">
        <v>1.4564999999999999</v>
      </c>
      <c r="AJ191"/>
      <c r="AK191"/>
      <c r="AL191"/>
      <c r="AM191"/>
      <c r="AN191"/>
      <c r="AO191"/>
      <c r="AP191"/>
      <c r="AQ191">
        <v>1.7098</v>
      </c>
      <c r="AR191">
        <v>1.6286</v>
      </c>
      <c r="AS191"/>
      <c r="AT191"/>
      <c r="AU191"/>
      <c r="AV191"/>
      <c r="AW191"/>
      <c r="AX191"/>
      <c r="AY191"/>
      <c r="AZ191"/>
      <c r="BA191"/>
      <c r="BB191"/>
      <c r="BC191"/>
      <c r="BD191">
        <v>1.5475000000000001</v>
      </c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>
        <v>1.7655000000000001</v>
      </c>
      <c r="BV191"/>
      <c r="BW191"/>
      <c r="BX191"/>
      <c r="BY191">
        <v>1.6593</v>
      </c>
      <c r="BZ191"/>
      <c r="CA191"/>
      <c r="CB191"/>
      <c r="CC191"/>
      <c r="CD191"/>
      <c r="CE191"/>
      <c r="CF191"/>
      <c r="CG191"/>
      <c r="CH191"/>
      <c r="CI191"/>
      <c r="CJ191"/>
      <c r="CK191"/>
      <c r="CL191">
        <v>1.6187</v>
      </c>
      <c r="CM191"/>
      <c r="CN191">
        <v>1.3957999999999999</v>
      </c>
      <c r="CO191">
        <v>1.9127000000000001</v>
      </c>
      <c r="CP191"/>
      <c r="CQ191"/>
      <c r="CR191"/>
      <c r="CS191"/>
      <c r="CT191"/>
      <c r="CU191">
        <v>1.974</v>
      </c>
      <c r="CV191"/>
      <c r="CW191"/>
      <c r="CX191"/>
      <c r="CY191"/>
      <c r="CZ191">
        <v>2.0249000000000001</v>
      </c>
      <c r="DA191"/>
      <c r="DB191"/>
      <c r="DC191">
        <v>1.7258</v>
      </c>
      <c r="DD191"/>
      <c r="DE191">
        <v>1.7606999999999999</v>
      </c>
      <c r="DF191"/>
      <c r="DG191"/>
      <c r="DH191"/>
      <c r="DI191"/>
      <c r="DJ191">
        <v>1.6486000000000001</v>
      </c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</row>
    <row r="192" spans="1:152" ht="15" x14ac:dyDescent="0.25">
      <c r="A192" s="1">
        <v>89</v>
      </c>
      <c r="B192" s="1" t="str">
        <v>2019-12-19</v>
      </c>
      <c r="C192" s="1">
        <v>3.3605</v>
      </c>
      <c r="F192" s="8">
        <f t="shared" si="6"/>
        <v>89</v>
      </c>
      <c r="G192" s="9">
        <f t="shared" si="7"/>
        <v>43818</v>
      </c>
      <c r="H192" s="10">
        <f t="shared" si="8"/>
        <v>3.3605</v>
      </c>
      <c r="U192" s="11">
        <v>44068</v>
      </c>
      <c r="V192"/>
      <c r="W192"/>
      <c r="X192"/>
      <c r="Y192"/>
      <c r="Z192">
        <v>1.8010999999999999</v>
      </c>
      <c r="AA192"/>
      <c r="AB192"/>
      <c r="AC192"/>
      <c r="AD192"/>
      <c r="AE192"/>
      <c r="AF192"/>
      <c r="AG192"/>
      <c r="AH192"/>
      <c r="AI192"/>
      <c r="AJ192"/>
      <c r="AK192">
        <v>1.7098</v>
      </c>
      <c r="AL192"/>
      <c r="AM192"/>
      <c r="AN192"/>
      <c r="AO192"/>
      <c r="AP192">
        <v>1.9635</v>
      </c>
      <c r="AQ192"/>
      <c r="AR192"/>
      <c r="AS192"/>
      <c r="AT192">
        <v>1.9494</v>
      </c>
      <c r="AU192"/>
      <c r="AV192"/>
      <c r="AW192"/>
      <c r="AX192"/>
      <c r="AY192"/>
      <c r="AZ192"/>
      <c r="BA192">
        <v>2.0045999999999999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>
        <v>1.6086</v>
      </c>
      <c r="CS192"/>
      <c r="CT192">
        <v>1.7707999999999999</v>
      </c>
      <c r="CU192"/>
      <c r="CV192"/>
      <c r="CW192"/>
      <c r="CX192"/>
      <c r="CY192"/>
      <c r="CZ192">
        <v>1.8217000000000001</v>
      </c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>
        <v>2.0350000000000001</v>
      </c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>
        <v>1.7302</v>
      </c>
      <c r="EL192"/>
      <c r="EM192">
        <v>1.8115000000000001</v>
      </c>
      <c r="EN192"/>
      <c r="EO192"/>
      <c r="EP192"/>
      <c r="EQ192"/>
      <c r="ER192"/>
      <c r="ES192"/>
      <c r="ET192"/>
      <c r="EU192"/>
      <c r="EV192"/>
    </row>
    <row r="193" spans="1:152" ht="15" x14ac:dyDescent="0.25">
      <c r="A193" s="1">
        <v>33103</v>
      </c>
      <c r="B193" s="1" t="str">
        <v>2019-12-19</v>
      </c>
      <c r="C193" s="1">
        <v>4.0252999999999997</v>
      </c>
      <c r="F193" s="8">
        <f t="shared" si="6"/>
        <v>33103</v>
      </c>
      <c r="G193" s="9">
        <f t="shared" si="7"/>
        <v>43818</v>
      </c>
      <c r="H193" s="10">
        <f t="shared" si="8"/>
        <v>4.0252999999999997</v>
      </c>
      <c r="U193" s="11">
        <v>44069</v>
      </c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>
        <v>1.4564999999999999</v>
      </c>
      <c r="AJ193"/>
      <c r="AK193"/>
      <c r="AL193"/>
      <c r="AM193"/>
      <c r="AN193">
        <v>1.9944</v>
      </c>
      <c r="AO193"/>
      <c r="AP193"/>
      <c r="AQ193"/>
      <c r="AR193"/>
      <c r="AS193"/>
      <c r="AT193"/>
      <c r="AU193"/>
      <c r="AV193"/>
      <c r="AW193"/>
      <c r="AX193">
        <v>1.8212999999999999</v>
      </c>
      <c r="AY193"/>
      <c r="AZ193">
        <v>1.71</v>
      </c>
      <c r="BA193"/>
      <c r="BB193"/>
      <c r="BC193"/>
      <c r="BD193"/>
      <c r="BE193"/>
      <c r="BF193"/>
      <c r="BG193"/>
      <c r="BH193"/>
      <c r="BI193"/>
      <c r="BJ193">
        <v>1.0017</v>
      </c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>
        <v>1.6287</v>
      </c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>
        <v>1.8520000000000001</v>
      </c>
      <c r="EN193"/>
      <c r="EO193"/>
      <c r="EP193">
        <v>1.6998</v>
      </c>
      <c r="EQ193"/>
      <c r="ER193"/>
      <c r="ES193"/>
      <c r="ET193"/>
      <c r="EU193"/>
      <c r="EV193"/>
    </row>
    <row r="194" spans="1:152" ht="15" x14ac:dyDescent="0.25">
      <c r="A194" s="1">
        <v>83</v>
      </c>
      <c r="B194" s="1" t="str">
        <v>2019-12-19</v>
      </c>
      <c r="C194" s="1">
        <v>4</v>
      </c>
      <c r="F194" s="8">
        <f t="shared" si="6"/>
        <v>83</v>
      </c>
      <c r="G194" s="9">
        <f t="shared" si="7"/>
        <v>43818</v>
      </c>
      <c r="H194" s="10">
        <f t="shared" si="8"/>
        <v>4</v>
      </c>
      <c r="U194" s="11">
        <v>44070</v>
      </c>
      <c r="V194"/>
      <c r="W194">
        <v>2.0857000000000001</v>
      </c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>
        <v>1.8011999999999999</v>
      </c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>
        <v>2.0466000000000002</v>
      </c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>
        <v>1.7706</v>
      </c>
      <c r="CC194"/>
      <c r="CD194"/>
      <c r="CE194"/>
      <c r="CF194"/>
      <c r="CG194"/>
      <c r="CH194"/>
      <c r="CI194"/>
      <c r="CJ194"/>
      <c r="CK194">
        <v>1.6692</v>
      </c>
      <c r="CL194"/>
      <c r="CM194"/>
      <c r="CN194"/>
      <c r="CO194"/>
      <c r="CP194">
        <v>1.8313999999999999</v>
      </c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>
        <v>1.8314999999999999</v>
      </c>
      <c r="EG194"/>
      <c r="EH194"/>
      <c r="EI194"/>
      <c r="EJ194"/>
      <c r="EK194"/>
      <c r="EL194">
        <v>1.8313999999999999</v>
      </c>
      <c r="EM194"/>
      <c r="EN194"/>
      <c r="EO194"/>
      <c r="EP194"/>
      <c r="EQ194"/>
      <c r="ER194"/>
      <c r="ES194"/>
      <c r="ET194"/>
      <c r="EU194"/>
      <c r="EV194"/>
    </row>
    <row r="195" spans="1:152" ht="15" x14ac:dyDescent="0.25">
      <c r="A195" s="1">
        <v>139</v>
      </c>
      <c r="B195" s="1" t="str">
        <v>2019-12-19</v>
      </c>
      <c r="C195" s="1">
        <v>3.8041999999999998</v>
      </c>
      <c r="F195" s="8">
        <f t="shared" si="6"/>
        <v>139</v>
      </c>
      <c r="G195" s="9">
        <f t="shared" si="7"/>
        <v>43818</v>
      </c>
      <c r="H195" s="10">
        <f t="shared" si="8"/>
        <v>3.8041999999999998</v>
      </c>
      <c r="U195" s="11">
        <v>44071</v>
      </c>
      <c r="V195">
        <v>1.5679000000000001</v>
      </c>
      <c r="W195"/>
      <c r="X195">
        <v>1.6998</v>
      </c>
      <c r="Y195">
        <v>1.4259999999999999</v>
      </c>
      <c r="Z195"/>
      <c r="AA195"/>
      <c r="AB195"/>
      <c r="AC195"/>
      <c r="AD195"/>
      <c r="AE195"/>
      <c r="AF195"/>
      <c r="AG195"/>
      <c r="AH195">
        <v>2.0752999999999999</v>
      </c>
      <c r="AI195"/>
      <c r="AJ195">
        <v>1.7605</v>
      </c>
      <c r="AK195"/>
      <c r="AL195"/>
      <c r="AM195">
        <v>1.5578000000000001</v>
      </c>
      <c r="AN195"/>
      <c r="AO195">
        <v>1.9231</v>
      </c>
      <c r="AP195">
        <v>1.9635</v>
      </c>
      <c r="AQ195"/>
      <c r="AR195"/>
      <c r="AS195">
        <v>2.0045000000000002</v>
      </c>
      <c r="AT195"/>
      <c r="AU195"/>
      <c r="AV195"/>
      <c r="AW195">
        <v>1.7098</v>
      </c>
      <c r="AX195"/>
      <c r="AY195"/>
      <c r="AZ195"/>
      <c r="BA195"/>
      <c r="BB195"/>
      <c r="BC195"/>
      <c r="BD195"/>
      <c r="BE195"/>
      <c r="BF195"/>
      <c r="BG195">
        <v>1.8112999999999999</v>
      </c>
      <c r="BH195">
        <v>1.8824000000000001</v>
      </c>
      <c r="BI195"/>
      <c r="BJ195">
        <v>1.0219</v>
      </c>
      <c r="BK195"/>
      <c r="BL195"/>
      <c r="BM195">
        <v>2.1164000000000001</v>
      </c>
      <c r="BN195">
        <v>1.7404999999999999</v>
      </c>
      <c r="BO195"/>
      <c r="BP195"/>
      <c r="BQ195"/>
      <c r="BR195">
        <v>1.639</v>
      </c>
      <c r="BS195"/>
      <c r="BT195">
        <v>2.0956999999999999</v>
      </c>
      <c r="BU195"/>
      <c r="BV195"/>
      <c r="BW195">
        <v>2.1366999999999998</v>
      </c>
      <c r="BX195"/>
      <c r="BY195">
        <v>1.6492</v>
      </c>
      <c r="BZ195">
        <v>1.4764999999999999</v>
      </c>
      <c r="CA195"/>
      <c r="CB195"/>
      <c r="CC195"/>
      <c r="CD195"/>
      <c r="CE195"/>
      <c r="CF195">
        <v>1.6083000000000001</v>
      </c>
      <c r="CG195"/>
      <c r="CH195">
        <v>1.9028</v>
      </c>
      <c r="CI195"/>
      <c r="CJ195"/>
      <c r="CK195"/>
      <c r="CL195"/>
      <c r="CM195"/>
      <c r="CN195"/>
      <c r="CO195">
        <v>1.8313999999999999</v>
      </c>
      <c r="CP195">
        <v>1.8313999999999999</v>
      </c>
      <c r="CQ195">
        <v>1.8654999999999999</v>
      </c>
      <c r="CR195"/>
      <c r="CS195"/>
      <c r="CT195">
        <v>1.7707999999999999</v>
      </c>
      <c r="CU195"/>
      <c r="CV195"/>
      <c r="CW195"/>
      <c r="CX195"/>
      <c r="CY195"/>
      <c r="CZ195"/>
      <c r="DA195"/>
      <c r="DB195">
        <v>1.6766000000000001</v>
      </c>
      <c r="DC195"/>
      <c r="DD195"/>
      <c r="DE195"/>
      <c r="DF195">
        <v>1.7909999999999999</v>
      </c>
      <c r="DG195"/>
      <c r="DH195"/>
      <c r="DI195"/>
      <c r="DJ195"/>
      <c r="DK195"/>
      <c r="DL195">
        <v>1.913</v>
      </c>
      <c r="DM195"/>
      <c r="DN195"/>
      <c r="DO195"/>
      <c r="DP195"/>
      <c r="DQ195"/>
      <c r="DR195">
        <v>1.6897</v>
      </c>
      <c r="DS195"/>
      <c r="DT195"/>
      <c r="DU195"/>
      <c r="DV195"/>
      <c r="DW195"/>
      <c r="DX195">
        <v>1.6693</v>
      </c>
      <c r="DY195"/>
      <c r="DZ195"/>
      <c r="EA195">
        <v>1.5679000000000001</v>
      </c>
      <c r="EB195"/>
      <c r="EC195"/>
      <c r="ED195"/>
      <c r="EE195">
        <v>1.6693</v>
      </c>
      <c r="EF195"/>
      <c r="EG195">
        <v>1.7807999999999999</v>
      </c>
      <c r="EH195">
        <v>1.7726999999999999</v>
      </c>
      <c r="EI195">
        <v>2.3938999999999999</v>
      </c>
      <c r="EJ195">
        <v>1.7403999999999999</v>
      </c>
      <c r="EK195"/>
      <c r="EL195"/>
      <c r="EM195"/>
      <c r="EN195"/>
      <c r="EO195"/>
      <c r="EP195"/>
      <c r="EQ195"/>
      <c r="ER195"/>
      <c r="ES195"/>
      <c r="ET195"/>
      <c r="EU195"/>
      <c r="EV195"/>
    </row>
    <row r="196" spans="1:152" ht="15" x14ac:dyDescent="0.25">
      <c r="A196" s="1">
        <v>133</v>
      </c>
      <c r="B196" s="1" t="str">
        <v>2019-12-19</v>
      </c>
      <c r="C196" s="1">
        <v>3.7</v>
      </c>
      <c r="F196" s="8">
        <f t="shared" si="6"/>
        <v>133</v>
      </c>
      <c r="G196" s="9">
        <f t="shared" si="7"/>
        <v>43818</v>
      </c>
      <c r="H196" s="10">
        <f t="shared" si="8"/>
        <v>3.7</v>
      </c>
      <c r="U196" s="11">
        <v>44074</v>
      </c>
      <c r="V196"/>
      <c r="W196">
        <v>1.9335</v>
      </c>
      <c r="X196"/>
      <c r="Y196"/>
      <c r="Z196"/>
      <c r="AA196"/>
      <c r="AB196"/>
      <c r="AC196">
        <v>1.8926000000000001</v>
      </c>
      <c r="AD196"/>
      <c r="AE196">
        <v>1.8620000000000001</v>
      </c>
      <c r="AF196"/>
      <c r="AG196">
        <v>1.5376000000000001</v>
      </c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>
        <v>2.6974</v>
      </c>
      <c r="AW196"/>
      <c r="AX196"/>
      <c r="AY196">
        <v>1.72</v>
      </c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>
        <v>1.8521000000000001</v>
      </c>
      <c r="BP196"/>
      <c r="BQ196"/>
      <c r="BR196"/>
      <c r="BS196"/>
      <c r="BT196"/>
      <c r="BU196">
        <v>1.8056000000000001</v>
      </c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>
        <v>1.6998</v>
      </c>
      <c r="CL196"/>
      <c r="CM196"/>
      <c r="CN196"/>
      <c r="CO196"/>
      <c r="CP196"/>
      <c r="CQ196"/>
      <c r="CR196"/>
      <c r="CS196">
        <v>1.8723000000000001</v>
      </c>
      <c r="CT196"/>
      <c r="CU196"/>
      <c r="CV196"/>
      <c r="CW196"/>
      <c r="CX196"/>
      <c r="CY196"/>
      <c r="CZ196"/>
      <c r="DA196"/>
      <c r="DB196"/>
      <c r="DC196">
        <v>1.7842</v>
      </c>
      <c r="DD196"/>
      <c r="DE196"/>
      <c r="DF196"/>
      <c r="DG196"/>
      <c r="DH196"/>
      <c r="DI196">
        <v>1.9536</v>
      </c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>
        <v>2.1469</v>
      </c>
      <c r="DX196"/>
      <c r="DY196"/>
      <c r="DZ196">
        <v>2.0655000000000001</v>
      </c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</row>
    <row r="197" spans="1:152" ht="15" x14ac:dyDescent="0.25">
      <c r="A197" s="1">
        <v>55</v>
      </c>
      <c r="B197" s="1" t="str">
        <v>2019-12-19</v>
      </c>
      <c r="C197" s="1">
        <v>3.55</v>
      </c>
      <c r="F197" s="8">
        <f t="shared" si="6"/>
        <v>55</v>
      </c>
      <c r="G197" s="9">
        <f t="shared" si="7"/>
        <v>43818</v>
      </c>
      <c r="H197" s="10">
        <f t="shared" si="8"/>
        <v>3.55</v>
      </c>
      <c r="U197" s="11">
        <v>44075</v>
      </c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>
        <v>1.7708999999999999</v>
      </c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</row>
    <row r="198" spans="1:152" ht="15" x14ac:dyDescent="0.25">
      <c r="A198" s="1">
        <v>115</v>
      </c>
      <c r="B198" s="1" t="str">
        <v>2019-12-20</v>
      </c>
      <c r="C198" s="1">
        <v>3.6177999999999999</v>
      </c>
      <c r="F198" s="8">
        <f t="shared" si="6"/>
        <v>115</v>
      </c>
      <c r="G198" s="9">
        <f t="shared" si="7"/>
        <v>43819</v>
      </c>
      <c r="H198" s="10">
        <f t="shared" si="8"/>
        <v>3.6177999999999999</v>
      </c>
      <c r="U198" s="11">
        <v>44076</v>
      </c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>
        <v>1.7404999999999999</v>
      </c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>
        <v>1.7302</v>
      </c>
      <c r="EL198"/>
      <c r="EM198"/>
      <c r="EN198"/>
      <c r="EO198"/>
      <c r="EP198"/>
      <c r="EQ198"/>
      <c r="ER198"/>
      <c r="ES198"/>
      <c r="ET198"/>
      <c r="EU198"/>
      <c r="EV198"/>
    </row>
    <row r="199" spans="1:152" ht="15" x14ac:dyDescent="0.25">
      <c r="A199" s="1">
        <v>32783</v>
      </c>
      <c r="B199" s="1" t="str">
        <v>2019-12-20</v>
      </c>
      <c r="C199" s="1">
        <v>3.7111000000000001</v>
      </c>
      <c r="F199" s="8">
        <f t="shared" si="6"/>
        <v>32783</v>
      </c>
      <c r="G199" s="9">
        <f t="shared" si="7"/>
        <v>43819</v>
      </c>
      <c r="H199" s="10">
        <f t="shared" si="8"/>
        <v>3.7111000000000001</v>
      </c>
      <c r="U199" s="11">
        <v>44077</v>
      </c>
      <c r="V199"/>
      <c r="W199"/>
      <c r="X199"/>
      <c r="Y199"/>
      <c r="Z199"/>
      <c r="AA199"/>
      <c r="AB199"/>
      <c r="AC199"/>
      <c r="AD199"/>
      <c r="AE199"/>
      <c r="AF199"/>
      <c r="AG199">
        <v>1.4870000000000001</v>
      </c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>
        <v>2.0045999999999999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>
        <v>1.6766000000000001</v>
      </c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>
        <v>1.5781000000000001</v>
      </c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</row>
    <row r="200" spans="1:152" ht="15" x14ac:dyDescent="0.25">
      <c r="A200" s="1">
        <v>2250</v>
      </c>
      <c r="B200" s="1" t="str">
        <v>2019-12-20</v>
      </c>
      <c r="C200" s="1">
        <v>3.2669000000000001</v>
      </c>
      <c r="F200" s="8">
        <f t="shared" si="6"/>
        <v>2250</v>
      </c>
      <c r="G200" s="9">
        <f t="shared" si="7"/>
        <v>43819</v>
      </c>
      <c r="H200" s="10">
        <f t="shared" si="8"/>
        <v>3.2669000000000001</v>
      </c>
      <c r="U200" s="11">
        <v>44078</v>
      </c>
      <c r="V200"/>
      <c r="W200"/>
      <c r="X200">
        <v>1.7505999999999999</v>
      </c>
      <c r="Y200">
        <v>1.4259999999999999</v>
      </c>
      <c r="Z200"/>
      <c r="AA200"/>
      <c r="AB200"/>
      <c r="AC200"/>
      <c r="AD200"/>
      <c r="AE200"/>
      <c r="AF200"/>
      <c r="AG200">
        <v>1.5883</v>
      </c>
      <c r="AH200"/>
      <c r="AI200"/>
      <c r="AJ200"/>
      <c r="AK200">
        <v>1.9638</v>
      </c>
      <c r="AL200"/>
      <c r="AM200"/>
      <c r="AN200"/>
      <c r="AO200"/>
      <c r="AP200">
        <v>2.0044</v>
      </c>
      <c r="AQ200"/>
      <c r="AR200"/>
      <c r="AS200"/>
      <c r="AT200"/>
      <c r="AU200"/>
      <c r="AV200"/>
      <c r="AW200"/>
      <c r="AX200"/>
      <c r="AY200"/>
      <c r="AZ200"/>
      <c r="BA200">
        <v>2.0045000000000002</v>
      </c>
      <c r="BB200"/>
      <c r="BC200">
        <v>1.5780000000000001</v>
      </c>
      <c r="BD200">
        <v>1.6995</v>
      </c>
      <c r="BE200"/>
      <c r="BF200"/>
      <c r="BG200">
        <v>1.8419000000000001</v>
      </c>
      <c r="BH200"/>
      <c r="BI200"/>
      <c r="BJ200">
        <v>1.0117</v>
      </c>
      <c r="BK200"/>
      <c r="BL200"/>
      <c r="BM200">
        <v>2.0756999999999999</v>
      </c>
      <c r="BN200"/>
      <c r="BO200">
        <v>1.7403999999999999</v>
      </c>
      <c r="BP200"/>
      <c r="BQ200"/>
      <c r="BR200"/>
      <c r="BS200"/>
      <c r="BT200"/>
      <c r="BU200"/>
      <c r="BV200"/>
      <c r="BW200"/>
      <c r="BX200"/>
      <c r="BY200">
        <v>1.7707999999999999</v>
      </c>
      <c r="BZ200"/>
      <c r="CA200"/>
      <c r="CB200"/>
      <c r="CC200">
        <v>1.6288</v>
      </c>
      <c r="CD200"/>
      <c r="CE200"/>
      <c r="CF200">
        <v>1.8824000000000001</v>
      </c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>
        <v>1.8724000000000001</v>
      </c>
      <c r="CU200"/>
      <c r="CV200"/>
      <c r="CW200">
        <v>1.6895</v>
      </c>
      <c r="CX200"/>
      <c r="CY200"/>
      <c r="CZ200">
        <v>1.8724000000000001</v>
      </c>
      <c r="DA200"/>
      <c r="DB200"/>
      <c r="DC200"/>
      <c r="DD200"/>
      <c r="DE200"/>
      <c r="DF200"/>
      <c r="DG200"/>
      <c r="DH200"/>
      <c r="DI200"/>
      <c r="DJ200"/>
      <c r="DK200">
        <v>2.0756999999999999</v>
      </c>
      <c r="DL200"/>
      <c r="DM200"/>
      <c r="DN200"/>
      <c r="DO200"/>
      <c r="DP200"/>
      <c r="DQ200"/>
      <c r="DR200">
        <v>1.7607999999999999</v>
      </c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>
        <v>2.3938999999999999</v>
      </c>
      <c r="EJ200"/>
      <c r="EK200"/>
      <c r="EL200"/>
      <c r="EM200">
        <v>1.7201</v>
      </c>
      <c r="EN200"/>
      <c r="EO200"/>
      <c r="EP200"/>
      <c r="EQ200"/>
      <c r="ER200"/>
      <c r="ES200"/>
      <c r="ET200"/>
      <c r="EU200"/>
      <c r="EV200"/>
    </row>
    <row r="201" spans="1:152" ht="15" x14ac:dyDescent="0.25">
      <c r="A201" s="1">
        <v>32</v>
      </c>
      <c r="B201" s="1" t="str">
        <v>2019-12-20</v>
      </c>
      <c r="C201" s="1">
        <v>3.6181999999999999</v>
      </c>
      <c r="F201" s="8">
        <f t="shared" ref="F201:F264" si="9">A201</f>
        <v>32</v>
      </c>
      <c r="G201" s="9">
        <f t="shared" ref="G201:G264" si="10">DATE(LEFT(B201,4),MID(B201,6,2),RIGHT(B201,2))</f>
        <v>43819</v>
      </c>
      <c r="H201" s="10">
        <f t="shared" ref="H201:H264" si="11">C201</f>
        <v>3.6181999999999999</v>
      </c>
      <c r="U201" s="11">
        <v>44082</v>
      </c>
      <c r="V201"/>
      <c r="W201"/>
      <c r="X201"/>
      <c r="Y201"/>
      <c r="Z201"/>
      <c r="AA201"/>
      <c r="AB201"/>
      <c r="AC201"/>
      <c r="AD201">
        <v>1.6894</v>
      </c>
      <c r="AE201">
        <v>1.9231</v>
      </c>
      <c r="AF201"/>
      <c r="AG201"/>
      <c r="AH201"/>
      <c r="AI201">
        <v>1.9435</v>
      </c>
      <c r="AJ201"/>
      <c r="AK201"/>
      <c r="AL201"/>
      <c r="AM201"/>
      <c r="AN201"/>
      <c r="AO201"/>
      <c r="AP201"/>
      <c r="AQ201"/>
      <c r="AR201">
        <v>2.0146000000000002</v>
      </c>
      <c r="AS201"/>
      <c r="AT201"/>
      <c r="AU201"/>
      <c r="AV201"/>
      <c r="AW201">
        <v>1.7707999999999999</v>
      </c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>
        <v>1.8748</v>
      </c>
      <c r="BV201"/>
      <c r="BW201"/>
      <c r="BX201"/>
      <c r="BY201">
        <v>1.9028</v>
      </c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>
        <v>2.1162999999999998</v>
      </c>
      <c r="CT201"/>
      <c r="CU201"/>
      <c r="CV201"/>
      <c r="CW201"/>
      <c r="CX201"/>
      <c r="CY201"/>
      <c r="CZ201"/>
      <c r="DA201"/>
      <c r="DB201">
        <v>1.8983000000000001</v>
      </c>
      <c r="DC201">
        <v>1.7911999999999999</v>
      </c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>
        <v>1.8216000000000001</v>
      </c>
      <c r="EN201"/>
      <c r="EO201">
        <v>1.9638</v>
      </c>
      <c r="EP201"/>
      <c r="EQ201">
        <v>1.8573999999999999</v>
      </c>
      <c r="ER201"/>
      <c r="ES201"/>
      <c r="ET201"/>
      <c r="EU201"/>
      <c r="EV201"/>
    </row>
    <row r="202" spans="1:152" ht="15" x14ac:dyDescent="0.25">
      <c r="A202" s="1">
        <v>33103</v>
      </c>
      <c r="B202" s="1" t="str">
        <v>2019-12-20</v>
      </c>
      <c r="C202" s="1">
        <v>4.0252999999999997</v>
      </c>
      <c r="F202" s="8">
        <f t="shared" si="9"/>
        <v>33103</v>
      </c>
      <c r="G202" s="9">
        <f t="shared" si="10"/>
        <v>43819</v>
      </c>
      <c r="H202" s="10">
        <f t="shared" si="11"/>
        <v>4.0252999999999997</v>
      </c>
      <c r="U202" s="11">
        <v>44083</v>
      </c>
      <c r="V202">
        <v>1.7910999999999999</v>
      </c>
      <c r="W202">
        <v>1.9231</v>
      </c>
      <c r="X202"/>
      <c r="Y202"/>
      <c r="Z202"/>
      <c r="AA202"/>
      <c r="AB202"/>
      <c r="AC202"/>
      <c r="AD202"/>
      <c r="AE202">
        <v>2.0962000000000001</v>
      </c>
      <c r="AF202"/>
      <c r="AG202">
        <v>1.8927</v>
      </c>
      <c r="AH202"/>
      <c r="AI202">
        <v>1.903</v>
      </c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>
        <v>2.1164000000000001</v>
      </c>
      <c r="BN202"/>
      <c r="BO202"/>
      <c r="BP202"/>
      <c r="BQ202"/>
      <c r="BR202"/>
      <c r="BS202"/>
      <c r="BT202"/>
      <c r="BU202"/>
      <c r="BV202"/>
      <c r="BW202"/>
      <c r="BX202"/>
      <c r="BY202">
        <v>1.9028</v>
      </c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>
        <v>1.7098</v>
      </c>
      <c r="CO202"/>
      <c r="CP202">
        <v>1.8519000000000001</v>
      </c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>
        <v>1.9434</v>
      </c>
      <c r="DK202"/>
      <c r="DL202"/>
      <c r="DM202"/>
      <c r="DN202"/>
      <c r="DO202">
        <v>2.0045999999999999</v>
      </c>
      <c r="DP202"/>
      <c r="DQ202"/>
      <c r="DR202">
        <v>1.7506999999999999</v>
      </c>
      <c r="DS202"/>
      <c r="DT202"/>
      <c r="DU202"/>
      <c r="DV202"/>
      <c r="DW202"/>
      <c r="DX202"/>
      <c r="DY202"/>
      <c r="DZ202"/>
      <c r="EA202">
        <v>1.6086</v>
      </c>
      <c r="EB202"/>
      <c r="EC202"/>
      <c r="ED202"/>
      <c r="EE202"/>
      <c r="EF202"/>
      <c r="EG202"/>
      <c r="EH202"/>
      <c r="EI202">
        <v>2.3828</v>
      </c>
      <c r="EJ202"/>
      <c r="EK202">
        <v>1.9132</v>
      </c>
      <c r="EL202"/>
      <c r="EM202"/>
      <c r="EN202"/>
      <c r="EO202"/>
      <c r="EP202"/>
      <c r="EQ202"/>
      <c r="ER202"/>
      <c r="ES202"/>
      <c r="ET202"/>
      <c r="EU202"/>
      <c r="EV202"/>
    </row>
    <row r="203" spans="1:152" ht="15" x14ac:dyDescent="0.25">
      <c r="A203" s="1">
        <v>32260</v>
      </c>
      <c r="B203" s="1" t="str">
        <v>2019-12-20</v>
      </c>
      <c r="C203" s="1">
        <v>3.5552000000000001</v>
      </c>
      <c r="F203" s="8">
        <f t="shared" si="9"/>
        <v>32260</v>
      </c>
      <c r="G203" s="9">
        <f t="shared" si="10"/>
        <v>43819</v>
      </c>
      <c r="H203" s="10">
        <f t="shared" si="11"/>
        <v>3.5552000000000001</v>
      </c>
      <c r="U203" s="11">
        <v>44084</v>
      </c>
      <c r="V203">
        <v>1.7910999999999999</v>
      </c>
      <c r="W203"/>
      <c r="X203"/>
      <c r="Y203"/>
      <c r="Z203"/>
      <c r="AA203"/>
      <c r="AB203">
        <v>1.7810999999999999</v>
      </c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>
        <v>1.8827</v>
      </c>
      <c r="AR203"/>
      <c r="AS203"/>
      <c r="AT203">
        <v>1.7498</v>
      </c>
      <c r="AU203"/>
      <c r="AV203"/>
      <c r="AW203"/>
      <c r="AX203"/>
      <c r="AY203"/>
      <c r="AZ203"/>
      <c r="BA203">
        <v>1.9944</v>
      </c>
      <c r="BB203"/>
      <c r="BC203"/>
      <c r="BD203"/>
      <c r="BE203">
        <v>1.8633</v>
      </c>
      <c r="BF203"/>
      <c r="BG203"/>
      <c r="BH203"/>
      <c r="BI203"/>
      <c r="BJ203">
        <v>1.1489</v>
      </c>
      <c r="BK203">
        <v>2.0030999999999999</v>
      </c>
      <c r="BL203"/>
      <c r="BM203"/>
      <c r="BN203"/>
      <c r="BO203"/>
      <c r="BP203"/>
      <c r="BQ203"/>
      <c r="BR203">
        <v>1.7506999999999999</v>
      </c>
      <c r="BS203">
        <v>2.0148000000000001</v>
      </c>
      <c r="BT203"/>
      <c r="BU203"/>
      <c r="BV203"/>
      <c r="BW203"/>
      <c r="BX203"/>
      <c r="BY203"/>
      <c r="BZ203"/>
      <c r="CA203"/>
      <c r="CB203">
        <v>1.8318000000000001</v>
      </c>
      <c r="CC203"/>
      <c r="CD203"/>
      <c r="CE203"/>
      <c r="CF203"/>
      <c r="CG203"/>
      <c r="CH203"/>
      <c r="CI203"/>
      <c r="CJ203"/>
      <c r="CK203"/>
      <c r="CL203"/>
      <c r="CM203"/>
      <c r="CN203">
        <v>1.7502</v>
      </c>
      <c r="CO203"/>
      <c r="CP203"/>
      <c r="CQ203"/>
      <c r="CR203"/>
      <c r="CS203"/>
      <c r="CT203"/>
      <c r="CU203"/>
      <c r="CV203"/>
      <c r="CW203">
        <v>1.7099</v>
      </c>
      <c r="CX203"/>
      <c r="CY203"/>
      <c r="CZ203">
        <v>1.9437</v>
      </c>
      <c r="DA203"/>
      <c r="DB203"/>
      <c r="DC203"/>
      <c r="DD203"/>
      <c r="DE203"/>
      <c r="DF203"/>
      <c r="DG203"/>
      <c r="DH203">
        <v>1.9234</v>
      </c>
      <c r="DI203"/>
      <c r="DJ203"/>
      <c r="DK203"/>
      <c r="DL203">
        <v>1.9029</v>
      </c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>
        <v>1.6086</v>
      </c>
      <c r="EB203"/>
      <c r="EC203"/>
      <c r="ED203"/>
      <c r="EE203"/>
      <c r="EF203">
        <v>2.0041000000000002</v>
      </c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</row>
    <row r="204" spans="1:152" ht="15" x14ac:dyDescent="0.25">
      <c r="A204" s="1">
        <v>32883</v>
      </c>
      <c r="B204" s="1" t="str">
        <v>2019-12-20</v>
      </c>
      <c r="C204" s="1">
        <v>3.6583999999999999</v>
      </c>
      <c r="F204" s="8">
        <f t="shared" si="9"/>
        <v>32883</v>
      </c>
      <c r="G204" s="9">
        <f t="shared" si="10"/>
        <v>43819</v>
      </c>
      <c r="H204" s="10">
        <f t="shared" si="11"/>
        <v>3.6583999999999999</v>
      </c>
      <c r="U204" s="11">
        <v>44085</v>
      </c>
      <c r="V204">
        <v>1.8317000000000001</v>
      </c>
      <c r="W204"/>
      <c r="X204">
        <v>2.0962000000000001</v>
      </c>
      <c r="Y204">
        <v>1.6288</v>
      </c>
      <c r="Z204">
        <v>1.9944</v>
      </c>
      <c r="AA204">
        <v>2.0962000000000001</v>
      </c>
      <c r="AB204">
        <v>1.6897</v>
      </c>
      <c r="AC204">
        <v>1.9233</v>
      </c>
      <c r="AD204">
        <v>2.0554999999999999</v>
      </c>
      <c r="AE204">
        <v>1.9436</v>
      </c>
      <c r="AF204">
        <v>2.0146999999999999</v>
      </c>
      <c r="AG204">
        <v>1.8927</v>
      </c>
      <c r="AH204"/>
      <c r="AI204"/>
      <c r="AJ204">
        <v>1.9335</v>
      </c>
      <c r="AK204">
        <v>2.1063000000000001</v>
      </c>
      <c r="AL204"/>
      <c r="AM204">
        <v>2.0045999999999999</v>
      </c>
      <c r="AN204">
        <v>2.198</v>
      </c>
      <c r="AO204">
        <v>2.0758000000000001</v>
      </c>
      <c r="AP204">
        <v>1.9943</v>
      </c>
      <c r="AQ204"/>
      <c r="AR204"/>
      <c r="AS204">
        <v>2.1265999999999998</v>
      </c>
      <c r="AT204">
        <v>2</v>
      </c>
      <c r="AU204"/>
      <c r="AV204"/>
      <c r="AW204">
        <v>1.8521000000000001</v>
      </c>
      <c r="AX204">
        <v>2.0146999999999999</v>
      </c>
      <c r="AY204">
        <v>2.0962000000000001</v>
      </c>
      <c r="AZ204">
        <v>2.0554999999999999</v>
      </c>
      <c r="BA204">
        <v>1.9944</v>
      </c>
      <c r="BB204"/>
      <c r="BC204"/>
      <c r="BD204">
        <v>1.9538</v>
      </c>
      <c r="BE204"/>
      <c r="BF204">
        <v>2.2183000000000002</v>
      </c>
      <c r="BG204">
        <v>1.903</v>
      </c>
      <c r="BH204"/>
      <c r="BI204">
        <v>1.9537</v>
      </c>
      <c r="BJ204"/>
      <c r="BK204"/>
      <c r="BL204"/>
      <c r="BM204"/>
      <c r="BN204">
        <v>1.8624000000000001</v>
      </c>
      <c r="BO204">
        <v>2.0148000000000001</v>
      </c>
      <c r="BP204"/>
      <c r="BQ204"/>
      <c r="BR204"/>
      <c r="BS204"/>
      <c r="BT204"/>
      <c r="BU204"/>
      <c r="BV204">
        <v>1.9026000000000001</v>
      </c>
      <c r="BW204"/>
      <c r="BX204"/>
      <c r="BY204">
        <v>1.8825000000000001</v>
      </c>
      <c r="BZ204">
        <v>1.6695</v>
      </c>
      <c r="CA204">
        <v>2.0756999999999999</v>
      </c>
      <c r="CB204"/>
      <c r="CC204">
        <v>1.6087</v>
      </c>
      <c r="CD204">
        <v>2.0453000000000001</v>
      </c>
      <c r="CE204"/>
      <c r="CF204">
        <v>1.8927</v>
      </c>
      <c r="CG204">
        <v>1.8522000000000001</v>
      </c>
      <c r="CH204">
        <v>1.8927</v>
      </c>
      <c r="CI204">
        <v>2.0143</v>
      </c>
      <c r="CJ204">
        <v>1.9437</v>
      </c>
      <c r="CK204"/>
      <c r="CL204">
        <v>2.0247000000000002</v>
      </c>
      <c r="CM204"/>
      <c r="CN204">
        <v>1.7502</v>
      </c>
      <c r="CO204">
        <v>1.9637</v>
      </c>
      <c r="CP204">
        <v>2.4116</v>
      </c>
      <c r="CQ204">
        <v>2.4102000000000001</v>
      </c>
      <c r="CR204">
        <v>1.6188</v>
      </c>
      <c r="CS204"/>
      <c r="CT204">
        <v>1.9944</v>
      </c>
      <c r="CU204"/>
      <c r="CV204"/>
      <c r="CW204">
        <v>1.8194999999999999</v>
      </c>
      <c r="CX204">
        <v>1.964</v>
      </c>
      <c r="CY204"/>
      <c r="CZ204"/>
      <c r="DA204">
        <v>1.6695</v>
      </c>
      <c r="DB204">
        <v>1.9514</v>
      </c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>
        <v>1.9741</v>
      </c>
      <c r="DS204">
        <v>1.9944999999999999</v>
      </c>
      <c r="DT204">
        <v>2.1572</v>
      </c>
      <c r="DU204"/>
      <c r="DV204"/>
      <c r="DW204"/>
      <c r="DX204">
        <v>1.8318000000000001</v>
      </c>
      <c r="DY204"/>
      <c r="DZ204"/>
      <c r="EA204"/>
      <c r="EB204"/>
      <c r="EC204">
        <v>1.8421000000000001</v>
      </c>
      <c r="ED204"/>
      <c r="EE204"/>
      <c r="EF204"/>
      <c r="EG204"/>
      <c r="EH204">
        <v>1.9142999999999999</v>
      </c>
      <c r="EI204"/>
      <c r="EJ204"/>
      <c r="EK204">
        <v>1.9233</v>
      </c>
      <c r="EL204">
        <v>2.0348999999999999</v>
      </c>
      <c r="EM204">
        <v>1.9334</v>
      </c>
      <c r="EN204"/>
      <c r="EO204"/>
      <c r="EP204">
        <v>1.8978999999999999</v>
      </c>
      <c r="EQ204"/>
      <c r="ER204"/>
      <c r="ES204"/>
      <c r="ET204"/>
      <c r="EU204"/>
      <c r="EV204"/>
    </row>
    <row r="205" spans="1:152" ht="15" x14ac:dyDescent="0.25">
      <c r="A205" s="1">
        <v>32360</v>
      </c>
      <c r="B205" s="1" t="str">
        <v>2019-12-20</v>
      </c>
      <c r="C205" s="1">
        <v>3.3086000000000002</v>
      </c>
      <c r="F205" s="8">
        <f t="shared" si="9"/>
        <v>32360</v>
      </c>
      <c r="G205" s="9">
        <f t="shared" si="10"/>
        <v>43819</v>
      </c>
      <c r="H205" s="10">
        <f t="shared" si="11"/>
        <v>3.3086000000000002</v>
      </c>
      <c r="U205" s="11">
        <v>44088</v>
      </c>
      <c r="V205"/>
      <c r="W205"/>
      <c r="X205"/>
      <c r="Y205"/>
      <c r="Z205"/>
      <c r="AA205"/>
      <c r="AB205"/>
      <c r="AC205">
        <v>1.9233</v>
      </c>
      <c r="AD205"/>
      <c r="AE205">
        <v>1.9436</v>
      </c>
      <c r="AF205"/>
      <c r="AG205"/>
      <c r="AH205">
        <v>2.1873</v>
      </c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>
        <v>2.1335999999999999</v>
      </c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>
        <v>1.964</v>
      </c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>
        <v>1.8317000000000001</v>
      </c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>
        <v>1.8319000000000001</v>
      </c>
      <c r="EF205"/>
      <c r="EG205"/>
      <c r="EH205"/>
      <c r="EI205"/>
      <c r="EJ205"/>
      <c r="EK205"/>
      <c r="EL205"/>
      <c r="EM205">
        <v>1.9435</v>
      </c>
      <c r="EN205">
        <v>1.9</v>
      </c>
      <c r="EO205"/>
      <c r="EP205"/>
      <c r="EQ205"/>
      <c r="ER205"/>
      <c r="ES205"/>
      <c r="ET205"/>
      <c r="EU205"/>
      <c r="EV205"/>
    </row>
    <row r="206" spans="1:152" ht="15" x14ac:dyDescent="0.25">
      <c r="A206" s="1">
        <v>1</v>
      </c>
      <c r="B206" s="1" t="str">
        <v>2019-12-20</v>
      </c>
      <c r="C206" s="1">
        <v>3.7008999999999999</v>
      </c>
      <c r="F206" s="8">
        <f t="shared" si="9"/>
        <v>1</v>
      </c>
      <c r="G206" s="9">
        <f t="shared" si="10"/>
        <v>43819</v>
      </c>
      <c r="H206" s="10">
        <f t="shared" si="11"/>
        <v>3.7008999999999999</v>
      </c>
      <c r="U206" s="11">
        <v>44089</v>
      </c>
      <c r="V206"/>
      <c r="W206">
        <v>1.8827</v>
      </c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>
        <v>2.1570999999999998</v>
      </c>
      <c r="CZ206"/>
      <c r="DA206"/>
      <c r="DB206"/>
      <c r="DC206"/>
      <c r="DD206"/>
      <c r="DE206">
        <v>1.8522000000000001</v>
      </c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</row>
    <row r="207" spans="1:152" ht="15" x14ac:dyDescent="0.25">
      <c r="A207" s="1">
        <v>109</v>
      </c>
      <c r="B207" s="1" t="str">
        <v>2019-12-20</v>
      </c>
      <c r="C207" s="1">
        <v>3.8351999999999999</v>
      </c>
      <c r="F207" s="8">
        <f t="shared" si="9"/>
        <v>109</v>
      </c>
      <c r="G207" s="9">
        <f t="shared" si="10"/>
        <v>43819</v>
      </c>
      <c r="H207" s="10">
        <f t="shared" si="11"/>
        <v>3.8351999999999999</v>
      </c>
      <c r="U207" s="11">
        <v>44090</v>
      </c>
      <c r="V207">
        <v>1.8419000000000001</v>
      </c>
      <c r="W207"/>
      <c r="X207"/>
      <c r="Y207"/>
      <c r="Z207"/>
      <c r="AA207"/>
      <c r="AB207"/>
      <c r="AC207"/>
      <c r="AD207"/>
      <c r="AE207">
        <v>1.9436</v>
      </c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>
        <v>1.9419999999999999</v>
      </c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</row>
    <row r="208" spans="1:152" ht="15" x14ac:dyDescent="0.25">
      <c r="A208" s="1">
        <v>177</v>
      </c>
      <c r="B208" s="1" t="str">
        <v>2019-12-20</v>
      </c>
      <c r="C208" s="1">
        <v>3.6798000000000002</v>
      </c>
      <c r="F208" s="8">
        <f t="shared" si="9"/>
        <v>177</v>
      </c>
      <c r="G208" s="9">
        <f t="shared" si="10"/>
        <v>43819</v>
      </c>
      <c r="H208" s="10">
        <f t="shared" si="11"/>
        <v>3.6798000000000002</v>
      </c>
      <c r="U208" s="11">
        <v>44091</v>
      </c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>
        <v>2.0045000000000002</v>
      </c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>
        <v>2.1469999999999998</v>
      </c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</row>
    <row r="209" spans="1:152" ht="15" x14ac:dyDescent="0.25">
      <c r="A209" s="1">
        <v>32180</v>
      </c>
      <c r="B209" s="1" t="str">
        <v>2019-12-20</v>
      </c>
      <c r="C209" s="1">
        <v>3.6991999999999998</v>
      </c>
      <c r="F209" s="8">
        <f t="shared" si="9"/>
        <v>32180</v>
      </c>
      <c r="G209" s="9">
        <f t="shared" si="10"/>
        <v>43819</v>
      </c>
      <c r="H209" s="10">
        <f t="shared" si="11"/>
        <v>3.6991999999999998</v>
      </c>
      <c r="U209" s="11">
        <v>44092</v>
      </c>
      <c r="V209">
        <v>1.8419000000000001</v>
      </c>
      <c r="W209"/>
      <c r="X209">
        <v>2.4323000000000001</v>
      </c>
      <c r="Y209">
        <v>1.6288</v>
      </c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>
        <v>1.9842</v>
      </c>
      <c r="AX209">
        <v>2.0146999999999999</v>
      </c>
      <c r="AY209"/>
      <c r="AZ209"/>
      <c r="BA209"/>
      <c r="BB209"/>
      <c r="BC209"/>
      <c r="BD209">
        <v>2.1568000000000001</v>
      </c>
      <c r="BE209"/>
      <c r="BF209"/>
      <c r="BG209">
        <v>2.0249000000000001</v>
      </c>
      <c r="BH209"/>
      <c r="BI209"/>
      <c r="BJ209"/>
      <c r="BK209"/>
      <c r="BL209"/>
      <c r="BM209">
        <v>2.1166</v>
      </c>
      <c r="BN209"/>
      <c r="BO209">
        <v>2.0554000000000001</v>
      </c>
      <c r="BP209"/>
      <c r="BQ209"/>
      <c r="BR209"/>
      <c r="BS209"/>
      <c r="BT209"/>
      <c r="BU209"/>
      <c r="BV209"/>
      <c r="BW209"/>
      <c r="BX209"/>
      <c r="BY209">
        <v>1.9841</v>
      </c>
      <c r="BZ209"/>
      <c r="CA209"/>
      <c r="CB209"/>
      <c r="CC209">
        <v>2.0554999999999999</v>
      </c>
      <c r="CD209"/>
      <c r="CE209"/>
      <c r="CF209">
        <v>1.9639</v>
      </c>
      <c r="CG209"/>
      <c r="CH209">
        <v>1.8927</v>
      </c>
      <c r="CI209"/>
      <c r="CJ209"/>
      <c r="CK209"/>
      <c r="CL209"/>
      <c r="CM209"/>
      <c r="CN209">
        <v>2.0651999999999999</v>
      </c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>
        <v>2.4834000000000001</v>
      </c>
      <c r="DH209"/>
      <c r="DI209"/>
      <c r="DJ209"/>
      <c r="DK209"/>
      <c r="DL209"/>
      <c r="DM209"/>
      <c r="DN209"/>
      <c r="DO209"/>
      <c r="DP209"/>
      <c r="DQ209"/>
      <c r="DR209">
        <v>2.0350000000000001</v>
      </c>
      <c r="DS209">
        <v>2.0453000000000001</v>
      </c>
      <c r="DT209"/>
      <c r="DU209"/>
      <c r="DV209"/>
      <c r="DW209"/>
      <c r="DX209">
        <v>1.8318000000000001</v>
      </c>
      <c r="DY209"/>
      <c r="DZ209">
        <v>2.0554999999999999</v>
      </c>
      <c r="EA209"/>
      <c r="EB209"/>
      <c r="EC209"/>
      <c r="ED209"/>
      <c r="EE209"/>
      <c r="EF209"/>
      <c r="EG209"/>
      <c r="EH209"/>
      <c r="EI209">
        <v>2.6255000000000002</v>
      </c>
      <c r="EJ209"/>
      <c r="EK209"/>
      <c r="EL209">
        <v>2.0451000000000001</v>
      </c>
      <c r="EM209">
        <v>2.2385999999999999</v>
      </c>
      <c r="EN209"/>
      <c r="EO209"/>
      <c r="EP209"/>
      <c r="EQ209"/>
      <c r="ER209"/>
      <c r="ES209"/>
      <c r="ET209"/>
      <c r="EU209"/>
      <c r="EV209"/>
    </row>
    <row r="210" spans="1:152" ht="15" x14ac:dyDescent="0.25">
      <c r="A210" s="1">
        <v>13250</v>
      </c>
      <c r="B210" s="1" t="str">
        <v>2019-12-20</v>
      </c>
      <c r="C210" s="1">
        <v>2.8765999999999998</v>
      </c>
      <c r="F210" s="8">
        <f t="shared" si="9"/>
        <v>13250</v>
      </c>
      <c r="G210" s="9">
        <f t="shared" si="10"/>
        <v>43819</v>
      </c>
      <c r="H210" s="10">
        <f t="shared" si="11"/>
        <v>2.8765999999999998</v>
      </c>
      <c r="U210" s="11">
        <v>44095</v>
      </c>
      <c r="V210"/>
      <c r="W210"/>
      <c r="X210"/>
      <c r="Y210"/>
      <c r="Z210"/>
      <c r="AA210"/>
      <c r="AB210"/>
      <c r="AC210"/>
      <c r="AD210"/>
      <c r="AE210">
        <v>2.198</v>
      </c>
      <c r="AF210"/>
      <c r="AG210"/>
      <c r="AH210"/>
      <c r="AI210"/>
      <c r="AJ210"/>
      <c r="AK210"/>
      <c r="AL210"/>
      <c r="AM210"/>
      <c r="AN210"/>
      <c r="AO210"/>
      <c r="AP210"/>
      <c r="AQ210"/>
      <c r="AR210">
        <v>2.6057999999999999</v>
      </c>
      <c r="AS210"/>
      <c r="AT210"/>
      <c r="AU210"/>
      <c r="AV210">
        <v>2.4016999999999999</v>
      </c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>
        <v>1.5670999999999999</v>
      </c>
      <c r="BK210"/>
      <c r="BL210"/>
      <c r="BM210"/>
      <c r="BN210"/>
      <c r="BO210"/>
      <c r="BP210"/>
      <c r="BQ210"/>
      <c r="BR210"/>
      <c r="BS210"/>
      <c r="BT210"/>
      <c r="BU210">
        <v>2.4024999999999999</v>
      </c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>
        <v>1.7303999999999999</v>
      </c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>
        <v>2.1063000000000001</v>
      </c>
      <c r="DA210"/>
      <c r="DB210"/>
      <c r="DC210"/>
      <c r="DD210"/>
      <c r="DE210"/>
      <c r="DF210"/>
      <c r="DG210"/>
      <c r="DH210"/>
      <c r="DI210"/>
      <c r="DJ210">
        <v>2.0653999999999999</v>
      </c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</row>
    <row r="211" spans="1:152" ht="15" x14ac:dyDescent="0.25">
      <c r="A211" s="1">
        <v>110</v>
      </c>
      <c r="B211" s="1" t="str">
        <v>2019-12-20</v>
      </c>
      <c r="C211" s="1">
        <v>3.6</v>
      </c>
      <c r="F211" s="8">
        <f t="shared" si="9"/>
        <v>110</v>
      </c>
      <c r="G211" s="9">
        <f t="shared" si="10"/>
        <v>43819</v>
      </c>
      <c r="H211" s="10">
        <f t="shared" si="11"/>
        <v>3.6</v>
      </c>
      <c r="U211" s="11">
        <v>44096</v>
      </c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>
        <v>2.1392000000000002</v>
      </c>
      <c r="DC211">
        <v>1.9736</v>
      </c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</row>
    <row r="212" spans="1:152" ht="15" x14ac:dyDescent="0.25">
      <c r="A212" s="1">
        <v>31</v>
      </c>
      <c r="B212" s="1" t="str">
        <v>2019-12-20</v>
      </c>
      <c r="C212" s="1">
        <v>3.6</v>
      </c>
      <c r="F212" s="8">
        <f t="shared" si="9"/>
        <v>31</v>
      </c>
      <c r="G212" s="9">
        <f t="shared" si="10"/>
        <v>43819</v>
      </c>
      <c r="H212" s="10">
        <f t="shared" si="11"/>
        <v>3.6</v>
      </c>
      <c r="U212" s="11">
        <v>44097</v>
      </c>
      <c r="V212"/>
      <c r="W212">
        <v>2.0655000000000001</v>
      </c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>
        <v>2.2181999999999999</v>
      </c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>
        <v>2.1164000000000001</v>
      </c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>
        <v>2.5242</v>
      </c>
      <c r="CU212"/>
      <c r="CV212"/>
      <c r="CW212"/>
      <c r="CX212"/>
      <c r="CY212"/>
      <c r="CZ212">
        <v>2.1776</v>
      </c>
      <c r="DA212"/>
      <c r="DB212">
        <v>2.4310999999999998</v>
      </c>
      <c r="DC212"/>
      <c r="DD212"/>
      <c r="DE212">
        <v>2.3506999999999998</v>
      </c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>
        <v>2.4424000000000001</v>
      </c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>
        <v>2.6255000000000002</v>
      </c>
      <c r="EJ212"/>
      <c r="EK212"/>
      <c r="EL212"/>
      <c r="EM212"/>
      <c r="EN212"/>
      <c r="EO212"/>
      <c r="EP212"/>
      <c r="EQ212"/>
      <c r="ER212"/>
      <c r="ES212"/>
      <c r="ET212"/>
      <c r="EU212"/>
      <c r="EV212"/>
    </row>
    <row r="213" spans="1:152" ht="15" x14ac:dyDescent="0.25">
      <c r="A213" s="1">
        <v>16</v>
      </c>
      <c r="B213" s="1" t="str">
        <v>2019-12-20</v>
      </c>
      <c r="C213" s="1">
        <v>3.39</v>
      </c>
      <c r="F213" s="8">
        <f t="shared" si="9"/>
        <v>16</v>
      </c>
      <c r="G213" s="9">
        <f t="shared" si="10"/>
        <v>43819</v>
      </c>
      <c r="H213" s="10">
        <f t="shared" si="11"/>
        <v>3.39</v>
      </c>
      <c r="U213" s="11">
        <v>44098</v>
      </c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>
        <v>2.3607999999999998</v>
      </c>
      <c r="BF213"/>
      <c r="BG213">
        <v>2.2284000000000002</v>
      </c>
      <c r="BH213"/>
      <c r="BI213"/>
      <c r="BJ213">
        <v>1.831</v>
      </c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>
        <v>2.2789000000000001</v>
      </c>
      <c r="CN213"/>
      <c r="CO213">
        <v>2.6566999999999998</v>
      </c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>
        <v>2.6255000000000002</v>
      </c>
      <c r="EJ213"/>
      <c r="EK213"/>
      <c r="EL213">
        <v>2.2688000000000001</v>
      </c>
      <c r="EM213"/>
      <c r="EN213"/>
      <c r="EO213"/>
      <c r="EP213"/>
      <c r="EQ213"/>
      <c r="ER213"/>
      <c r="ES213"/>
      <c r="ET213"/>
      <c r="EU213"/>
      <c r="EV213"/>
    </row>
    <row r="214" spans="1:152" ht="15" x14ac:dyDescent="0.25">
      <c r="A214" s="1">
        <v>99</v>
      </c>
      <c r="B214" s="1" t="str">
        <v>2019-12-20</v>
      </c>
      <c r="C214" s="1">
        <v>3.7526999999999999</v>
      </c>
      <c r="F214" s="8">
        <f t="shared" si="9"/>
        <v>99</v>
      </c>
      <c r="G214" s="9">
        <f t="shared" si="10"/>
        <v>43819</v>
      </c>
      <c r="H214" s="10">
        <f t="shared" si="11"/>
        <v>3.7526999999999999</v>
      </c>
      <c r="U214" s="11">
        <v>44099</v>
      </c>
      <c r="V214"/>
      <c r="W214"/>
      <c r="X214">
        <v>2.4016999999999999</v>
      </c>
      <c r="Y214"/>
      <c r="Z214"/>
      <c r="AA214"/>
      <c r="AB214">
        <v>2.524</v>
      </c>
      <c r="AC214"/>
      <c r="AD214"/>
      <c r="AE214"/>
      <c r="AF214"/>
      <c r="AG214"/>
      <c r="AH214"/>
      <c r="AI214"/>
      <c r="AJ214">
        <v>1.9335</v>
      </c>
      <c r="AK214">
        <v>2.5238999999999998</v>
      </c>
      <c r="AL214"/>
      <c r="AM214"/>
      <c r="AN214"/>
      <c r="AO214"/>
      <c r="AP214">
        <v>1.9943</v>
      </c>
      <c r="AQ214"/>
      <c r="AR214"/>
      <c r="AS214"/>
      <c r="AT214"/>
      <c r="AU214"/>
      <c r="AV214"/>
      <c r="AW214"/>
      <c r="AX214">
        <v>2.4525000000000001</v>
      </c>
      <c r="AY214">
        <v>2.2795000000000001</v>
      </c>
      <c r="AZ214"/>
      <c r="BA214">
        <v>2.3610000000000002</v>
      </c>
      <c r="BB214"/>
      <c r="BC214"/>
      <c r="BD214">
        <v>2.2284000000000002</v>
      </c>
      <c r="BE214"/>
      <c r="BF214"/>
      <c r="BG214"/>
      <c r="BH214"/>
      <c r="BI214">
        <v>1.9537</v>
      </c>
      <c r="BJ214"/>
      <c r="BK214">
        <v>2.0398999999999998</v>
      </c>
      <c r="BL214"/>
      <c r="BM214"/>
      <c r="BN214"/>
      <c r="BO214">
        <v>2.5547</v>
      </c>
      <c r="BP214"/>
      <c r="BQ214"/>
      <c r="BR214"/>
      <c r="BS214"/>
      <c r="BT214"/>
      <c r="BU214"/>
      <c r="BV214"/>
      <c r="BW214">
        <v>2.3403999999999998</v>
      </c>
      <c r="BX214"/>
      <c r="BY214">
        <v>1.9943</v>
      </c>
      <c r="BZ214"/>
      <c r="CA214"/>
      <c r="CB214">
        <v>1.8318000000000001</v>
      </c>
      <c r="CC214"/>
      <c r="CD214"/>
      <c r="CE214"/>
      <c r="CF214"/>
      <c r="CG214"/>
      <c r="CH214">
        <v>2.2079</v>
      </c>
      <c r="CI214"/>
      <c r="CJ214"/>
      <c r="CK214"/>
      <c r="CL214"/>
      <c r="CM214"/>
      <c r="CN214"/>
      <c r="CO214"/>
      <c r="CP214"/>
      <c r="CQ214"/>
      <c r="CR214"/>
      <c r="CS214"/>
      <c r="CT214"/>
      <c r="CU214">
        <v>2.2488000000000001</v>
      </c>
      <c r="CV214"/>
      <c r="CW214">
        <v>2.0042</v>
      </c>
      <c r="CX214"/>
      <c r="CY214"/>
      <c r="CZ214">
        <v>2.2692000000000001</v>
      </c>
      <c r="DA214">
        <v>2.3711000000000002</v>
      </c>
      <c r="DB214"/>
      <c r="DC214"/>
      <c r="DD214"/>
      <c r="DE214"/>
      <c r="DF214"/>
      <c r="DG214"/>
      <c r="DH214"/>
      <c r="DI214">
        <v>2.0552999999999999</v>
      </c>
      <c r="DJ214"/>
      <c r="DK214"/>
      <c r="DL214">
        <v>2.2791000000000001</v>
      </c>
      <c r="DM214">
        <v>1.974</v>
      </c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>
        <v>2.6705000000000001</v>
      </c>
      <c r="EJ214"/>
      <c r="EK214"/>
      <c r="EL214"/>
      <c r="EM214">
        <v>2.4016000000000002</v>
      </c>
      <c r="EN214"/>
      <c r="EO214"/>
      <c r="EP214"/>
      <c r="EQ214">
        <v>2.2986</v>
      </c>
      <c r="ER214"/>
      <c r="ES214"/>
      <c r="ET214"/>
      <c r="EU214"/>
      <c r="EV214"/>
    </row>
    <row r="215" spans="1:152" ht="15" x14ac:dyDescent="0.25">
      <c r="A215" s="1">
        <v>250</v>
      </c>
      <c r="B215" s="1" t="str">
        <v>2019-12-20</v>
      </c>
      <c r="C215" s="1">
        <v>3.5354000000000001</v>
      </c>
      <c r="F215" s="8">
        <f t="shared" si="9"/>
        <v>250</v>
      </c>
      <c r="G215" s="9">
        <f t="shared" si="10"/>
        <v>43819</v>
      </c>
      <c r="H215" s="10">
        <f t="shared" si="11"/>
        <v>3.5354000000000001</v>
      </c>
      <c r="U215" s="11">
        <v>44102</v>
      </c>
      <c r="V215"/>
      <c r="W215"/>
      <c r="X215"/>
      <c r="Y215"/>
      <c r="Z215"/>
      <c r="AA215"/>
      <c r="AB215"/>
      <c r="AC215">
        <v>2.1265999999999998</v>
      </c>
      <c r="AD215"/>
      <c r="AE215">
        <v>2.2795000000000001</v>
      </c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>
        <v>2.0655999999999999</v>
      </c>
      <c r="BO215"/>
      <c r="BP215"/>
      <c r="BQ215"/>
      <c r="BR215"/>
      <c r="BS215"/>
      <c r="BT215"/>
      <c r="BU215">
        <v>2.4762</v>
      </c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>
        <v>2.2284000000000002</v>
      </c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>
        <v>2.1818</v>
      </c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>
        <v>1.8218000000000001</v>
      </c>
      <c r="EB215"/>
      <c r="EC215"/>
      <c r="ED215"/>
      <c r="EE215"/>
      <c r="EF215"/>
      <c r="EG215"/>
      <c r="EH215"/>
      <c r="EI215"/>
      <c r="EJ215"/>
      <c r="EK215"/>
      <c r="EL215"/>
      <c r="EM215">
        <v>2.3811</v>
      </c>
      <c r="EN215"/>
      <c r="EO215"/>
      <c r="EP215"/>
      <c r="EQ215"/>
      <c r="ER215"/>
      <c r="ES215"/>
      <c r="ET215"/>
      <c r="EU215"/>
      <c r="EV215"/>
    </row>
    <row r="216" spans="1:152" ht="15" x14ac:dyDescent="0.25">
      <c r="A216" s="1">
        <v>32583</v>
      </c>
      <c r="B216" s="1" t="str">
        <v>2019-12-20</v>
      </c>
      <c r="C216" s="1">
        <v>3.5</v>
      </c>
      <c r="F216" s="8">
        <f t="shared" si="9"/>
        <v>32583</v>
      </c>
      <c r="G216" s="9">
        <f t="shared" si="10"/>
        <v>43819</v>
      </c>
      <c r="H216" s="10">
        <f t="shared" si="11"/>
        <v>3.5</v>
      </c>
      <c r="U216" s="11">
        <v>44103</v>
      </c>
      <c r="V216"/>
      <c r="W216"/>
      <c r="X216"/>
      <c r="Y216"/>
      <c r="Z216"/>
      <c r="AA216"/>
      <c r="AB216"/>
      <c r="AC216"/>
      <c r="AD216"/>
      <c r="AE216"/>
      <c r="AF216">
        <v>2.2385999999999999</v>
      </c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</row>
    <row r="217" spans="1:152" ht="15" x14ac:dyDescent="0.25">
      <c r="A217" s="1">
        <v>171</v>
      </c>
      <c r="B217" s="1" t="str">
        <v>2019-12-20</v>
      </c>
      <c r="C217" s="1">
        <v>3.6071</v>
      </c>
      <c r="F217" s="8">
        <f t="shared" si="9"/>
        <v>171</v>
      </c>
      <c r="G217" s="9">
        <f t="shared" si="10"/>
        <v>43819</v>
      </c>
      <c r="H217" s="10">
        <f t="shared" si="11"/>
        <v>3.6071</v>
      </c>
      <c r="U217" s="11">
        <v>44104</v>
      </c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>
        <v>2.198</v>
      </c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>
        <v>2.4220999999999999</v>
      </c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</row>
    <row r="218" spans="1:152" ht="15" x14ac:dyDescent="0.25">
      <c r="A218" s="1">
        <v>81</v>
      </c>
      <c r="B218" s="1" t="str">
        <v>2019-12-20</v>
      </c>
      <c r="C218" s="1">
        <v>3.5562999999999998</v>
      </c>
      <c r="F218" s="8">
        <f t="shared" si="9"/>
        <v>81</v>
      </c>
      <c r="G218" s="9">
        <f t="shared" si="10"/>
        <v>43819</v>
      </c>
      <c r="H218" s="10">
        <f t="shared" si="11"/>
        <v>3.5562999999999998</v>
      </c>
      <c r="U218" s="11">
        <v>44105</v>
      </c>
      <c r="V218">
        <v>2.2587999999999999</v>
      </c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>
        <v>1.9923</v>
      </c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</row>
    <row r="219" spans="1:152" ht="15" x14ac:dyDescent="0.25">
      <c r="A219" s="1">
        <v>10</v>
      </c>
      <c r="B219" s="1" t="str">
        <v>2019-12-20</v>
      </c>
      <c r="C219" s="1">
        <v>3.4426000000000001</v>
      </c>
      <c r="F219" s="8">
        <f t="shared" si="9"/>
        <v>10</v>
      </c>
      <c r="G219" s="9">
        <f t="shared" si="10"/>
        <v>43819</v>
      </c>
      <c r="H219" s="10">
        <f t="shared" si="11"/>
        <v>3.4426000000000001</v>
      </c>
      <c r="U219" s="11">
        <v>44106</v>
      </c>
      <c r="V219"/>
      <c r="W219"/>
      <c r="X219">
        <v>2.5240999999999998</v>
      </c>
      <c r="Y219">
        <v>1.6288</v>
      </c>
      <c r="Z219"/>
      <c r="AA219"/>
      <c r="AB219"/>
      <c r="AC219"/>
      <c r="AD219"/>
      <c r="AE219"/>
      <c r="AF219"/>
      <c r="AG219">
        <v>2.5851000000000002</v>
      </c>
      <c r="AH219">
        <v>2.7179000000000002</v>
      </c>
      <c r="AI219"/>
      <c r="AJ219"/>
      <c r="AK219">
        <v>2.5647000000000002</v>
      </c>
      <c r="AL219"/>
      <c r="AM219"/>
      <c r="AN219"/>
      <c r="AO219"/>
      <c r="AP219">
        <v>2.3506999999999998</v>
      </c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>
        <v>2.2284000000000002</v>
      </c>
      <c r="BE219"/>
      <c r="BF219"/>
      <c r="BG219"/>
      <c r="BH219"/>
      <c r="BI219"/>
      <c r="BJ219"/>
      <c r="BK219">
        <v>2.0398999999999998</v>
      </c>
      <c r="BL219"/>
      <c r="BM219"/>
      <c r="BN219"/>
      <c r="BO219">
        <v>2.5956000000000001</v>
      </c>
      <c r="BP219"/>
      <c r="BQ219"/>
      <c r="BR219"/>
      <c r="BS219"/>
      <c r="BT219">
        <v>2.1977000000000002</v>
      </c>
      <c r="BU219"/>
      <c r="BV219"/>
      <c r="BW219"/>
      <c r="BX219"/>
      <c r="BY219">
        <v>2.2284999999999999</v>
      </c>
      <c r="BZ219"/>
      <c r="CA219"/>
      <c r="CB219"/>
      <c r="CC219"/>
      <c r="CD219"/>
      <c r="CE219"/>
      <c r="CF219">
        <v>2.2181999999999999</v>
      </c>
      <c r="CG219"/>
      <c r="CH219"/>
      <c r="CI219"/>
      <c r="CJ219">
        <v>2.4729999999999999</v>
      </c>
      <c r="CK219"/>
      <c r="CL219"/>
      <c r="CM219"/>
      <c r="CN219">
        <v>2.8401999999999998</v>
      </c>
      <c r="CO219">
        <v>2.6873</v>
      </c>
      <c r="CP219"/>
      <c r="CQ219"/>
      <c r="CR219"/>
      <c r="CS219"/>
      <c r="CT219"/>
      <c r="CU219"/>
      <c r="CV219"/>
      <c r="CW219">
        <v>2.1364000000000001</v>
      </c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>
        <v>2.0960000000000001</v>
      </c>
      <c r="DS219"/>
      <c r="DT219"/>
      <c r="DU219"/>
      <c r="DV219"/>
      <c r="DW219">
        <v>2.524</v>
      </c>
      <c r="DX219"/>
      <c r="DY219"/>
      <c r="DZ219"/>
      <c r="EA219">
        <v>1.9132</v>
      </c>
      <c r="EB219"/>
      <c r="EC219"/>
      <c r="ED219"/>
      <c r="EE219"/>
      <c r="EF219"/>
      <c r="EG219">
        <v>2.0047000000000001</v>
      </c>
      <c r="EH219"/>
      <c r="EI219"/>
      <c r="EJ219">
        <v>2.2284999999999999</v>
      </c>
      <c r="EK219"/>
      <c r="EL219"/>
      <c r="EM219"/>
      <c r="EN219"/>
      <c r="EO219"/>
      <c r="EP219"/>
      <c r="EQ219"/>
      <c r="ER219"/>
      <c r="ES219"/>
      <c r="ET219"/>
      <c r="EU219"/>
      <c r="EV219"/>
    </row>
    <row r="220" spans="1:152" ht="15" x14ac:dyDescent="0.25">
      <c r="A220" s="1">
        <v>139</v>
      </c>
      <c r="B220" s="1" t="str">
        <v>2019-12-20</v>
      </c>
      <c r="C220" s="1">
        <v>3.8147000000000002</v>
      </c>
      <c r="F220" s="8">
        <f t="shared" si="9"/>
        <v>139</v>
      </c>
      <c r="G220" s="9">
        <f t="shared" si="10"/>
        <v>43819</v>
      </c>
      <c r="H220" s="10">
        <f t="shared" si="11"/>
        <v>3.8147000000000002</v>
      </c>
      <c r="U220" s="11">
        <v>44109</v>
      </c>
      <c r="V220"/>
      <c r="W220"/>
      <c r="X220"/>
      <c r="Y220"/>
      <c r="Z220"/>
      <c r="AA220"/>
      <c r="AB220"/>
      <c r="AC220"/>
      <c r="AD220"/>
      <c r="AE220">
        <v>2.3915999999999999</v>
      </c>
      <c r="AF220"/>
      <c r="AG220"/>
      <c r="AH220"/>
      <c r="AI220"/>
      <c r="AJ220"/>
      <c r="AK220"/>
      <c r="AL220"/>
      <c r="AM220"/>
      <c r="AN220">
        <v>2.3302999999999998</v>
      </c>
      <c r="AO220"/>
      <c r="AP220"/>
      <c r="AQ220"/>
      <c r="AR220"/>
      <c r="AS220"/>
      <c r="AT220"/>
      <c r="AU220"/>
      <c r="AV220">
        <v>2.5032999999999999</v>
      </c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>
        <v>2.6027999999999998</v>
      </c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>
        <v>2.2284000000000002</v>
      </c>
      <c r="CL220"/>
      <c r="CM220">
        <v>2.6766999999999999</v>
      </c>
      <c r="CN220"/>
      <c r="CO220"/>
      <c r="CP220"/>
      <c r="CQ220"/>
      <c r="CR220"/>
      <c r="CS220"/>
      <c r="CT220"/>
      <c r="CU220"/>
      <c r="CV220"/>
      <c r="CW220">
        <v>2.1772</v>
      </c>
      <c r="CX220"/>
      <c r="CY220"/>
      <c r="CZ220"/>
      <c r="DA220"/>
      <c r="DB220"/>
      <c r="DC220">
        <v>2.3121999999999998</v>
      </c>
      <c r="DD220"/>
      <c r="DE220"/>
      <c r="DF220"/>
      <c r="DG220"/>
      <c r="DH220"/>
      <c r="DI220"/>
      <c r="DJ220">
        <v>2.4729999999999999</v>
      </c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>
        <v>2.2387000000000001</v>
      </c>
      <c r="EP220"/>
      <c r="EQ220"/>
      <c r="ER220"/>
      <c r="ES220"/>
      <c r="ET220"/>
      <c r="EU220"/>
      <c r="EV220"/>
    </row>
    <row r="221" spans="1:152" ht="15" x14ac:dyDescent="0.25">
      <c r="A221" s="1">
        <v>90</v>
      </c>
      <c r="B221" s="1" t="str">
        <v>2019-12-20</v>
      </c>
      <c r="C221" s="1">
        <v>3.4944000000000002</v>
      </c>
      <c r="F221" s="8">
        <f t="shared" si="9"/>
        <v>90</v>
      </c>
      <c r="G221" s="9">
        <f t="shared" si="10"/>
        <v>43819</v>
      </c>
      <c r="H221" s="10">
        <f t="shared" si="11"/>
        <v>3.4944000000000002</v>
      </c>
      <c r="U221" s="11">
        <v>44110</v>
      </c>
      <c r="V221"/>
      <c r="W221"/>
      <c r="X221"/>
      <c r="Y221"/>
      <c r="Z221"/>
      <c r="AA221"/>
      <c r="AB221"/>
      <c r="AC221">
        <v>2.1265999999999998</v>
      </c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>
        <v>2</v>
      </c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>
        <v>2.0335999999999999</v>
      </c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>
        <v>2.1738</v>
      </c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>
        <v>2.5648</v>
      </c>
      <c r="EG221"/>
      <c r="EH221"/>
      <c r="EI221"/>
      <c r="EJ221"/>
      <c r="EK221">
        <v>2.2791000000000001</v>
      </c>
      <c r="EL221"/>
      <c r="EM221"/>
      <c r="EN221"/>
      <c r="EO221"/>
      <c r="EP221"/>
      <c r="EQ221"/>
      <c r="ER221"/>
      <c r="ES221"/>
      <c r="ET221"/>
      <c r="EU221"/>
      <c r="EV221"/>
    </row>
    <row r="222" spans="1:152" ht="15" x14ac:dyDescent="0.25">
      <c r="A222" s="1">
        <v>30250</v>
      </c>
      <c r="B222" s="1" t="str">
        <v>2019-12-20</v>
      </c>
      <c r="C222" s="1">
        <v>3.6594000000000002</v>
      </c>
      <c r="F222" s="8">
        <f t="shared" si="9"/>
        <v>30250</v>
      </c>
      <c r="G222" s="9">
        <f t="shared" si="10"/>
        <v>43819</v>
      </c>
      <c r="H222" s="10">
        <f t="shared" si="11"/>
        <v>3.6594000000000002</v>
      </c>
      <c r="U222" s="11">
        <v>44111</v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>
        <v>2.7383000000000002</v>
      </c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>
        <v>2.4424000000000001</v>
      </c>
      <c r="CS222">
        <v>2.7486000000000002</v>
      </c>
      <c r="CT222"/>
      <c r="CU222"/>
      <c r="CV222"/>
      <c r="CW222"/>
      <c r="CX222"/>
      <c r="CY222"/>
      <c r="CZ222">
        <v>2.4935</v>
      </c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</row>
    <row r="223" spans="1:152" ht="15" x14ac:dyDescent="0.25">
      <c r="A223" s="1">
        <v>32502</v>
      </c>
      <c r="B223" s="1" t="str">
        <v>2019-12-20</v>
      </c>
      <c r="C223" s="1">
        <v>3.4529999999999998</v>
      </c>
      <c r="F223" s="8">
        <f t="shared" si="9"/>
        <v>32502</v>
      </c>
      <c r="G223" s="9">
        <f t="shared" si="10"/>
        <v>43819</v>
      </c>
      <c r="H223" s="10">
        <f t="shared" si="11"/>
        <v>3.4529999999999998</v>
      </c>
      <c r="U223" s="11">
        <v>44112</v>
      </c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>
        <v>2.3504999999999998</v>
      </c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>
        <v>2.0398999999999998</v>
      </c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</row>
    <row r="224" spans="1:152" ht="15" x14ac:dyDescent="0.25">
      <c r="A224" s="1">
        <v>102</v>
      </c>
      <c r="B224" s="1" t="str">
        <v>2019-12-23</v>
      </c>
      <c r="C224" s="1">
        <v>3.3393000000000002</v>
      </c>
      <c r="F224" s="8">
        <f t="shared" si="9"/>
        <v>102</v>
      </c>
      <c r="G224" s="9">
        <f t="shared" si="10"/>
        <v>43822</v>
      </c>
      <c r="H224" s="10">
        <f t="shared" si="11"/>
        <v>3.3393000000000002</v>
      </c>
      <c r="U224" s="11">
        <v>44113</v>
      </c>
      <c r="V224"/>
      <c r="W224">
        <v>2.6461999999999999</v>
      </c>
      <c r="X224">
        <v>2.8405999999999998</v>
      </c>
      <c r="Y224">
        <v>1.6288</v>
      </c>
      <c r="Z224"/>
      <c r="AA224"/>
      <c r="AB224">
        <v>2.5642</v>
      </c>
      <c r="AC224"/>
      <c r="AD224">
        <v>2.4321000000000002</v>
      </c>
      <c r="AE224">
        <v>2.5954999999999999</v>
      </c>
      <c r="AF224"/>
      <c r="AG224">
        <v>2.8816999999999999</v>
      </c>
      <c r="AH224"/>
      <c r="AI224">
        <v>2.7587999999999999</v>
      </c>
      <c r="AJ224"/>
      <c r="AK224">
        <v>2.9733999999999998</v>
      </c>
      <c r="AL224"/>
      <c r="AM224"/>
      <c r="AN224"/>
      <c r="AO224">
        <v>2.8917999999999999</v>
      </c>
      <c r="AP224">
        <v>2.6669999999999998</v>
      </c>
      <c r="AQ224">
        <v>2.6154999999999999</v>
      </c>
      <c r="AR224"/>
      <c r="AS224">
        <v>2.8815</v>
      </c>
      <c r="AT224">
        <v>2.6461000000000001</v>
      </c>
      <c r="AU224"/>
      <c r="AV224">
        <v>2.4422000000000001</v>
      </c>
      <c r="AW224"/>
      <c r="AX224"/>
      <c r="AY224"/>
      <c r="AZ224"/>
      <c r="BA224">
        <v>2.7077</v>
      </c>
      <c r="BB224"/>
      <c r="BC224"/>
      <c r="BD224">
        <v>2.7690000000000001</v>
      </c>
      <c r="BE224"/>
      <c r="BF224">
        <v>2.5137999999999998</v>
      </c>
      <c r="BG224">
        <v>2.7073999999999998</v>
      </c>
      <c r="BH224"/>
      <c r="BI224"/>
      <c r="BJ224">
        <v>2.3389000000000002</v>
      </c>
      <c r="BK224"/>
      <c r="BL224"/>
      <c r="BM224">
        <v>2.5648</v>
      </c>
      <c r="BN224">
        <v>2.4626999999999999</v>
      </c>
      <c r="BO224">
        <v>2.9430000000000001</v>
      </c>
      <c r="BP224"/>
      <c r="BQ224"/>
      <c r="BR224"/>
      <c r="BS224"/>
      <c r="BT224"/>
      <c r="BU224"/>
      <c r="BV224">
        <v>2.5848</v>
      </c>
      <c r="BW224"/>
      <c r="BX224"/>
      <c r="BY224">
        <v>2.9740000000000002</v>
      </c>
      <c r="BZ224"/>
      <c r="CA224"/>
      <c r="CB224"/>
      <c r="CC224"/>
      <c r="CD224"/>
      <c r="CE224"/>
      <c r="CF224">
        <v>2.4115000000000002</v>
      </c>
      <c r="CG224"/>
      <c r="CH224"/>
      <c r="CI224"/>
      <c r="CJ224"/>
      <c r="CK224"/>
      <c r="CL224"/>
      <c r="CM224"/>
      <c r="CN224">
        <v>3.0859000000000001</v>
      </c>
      <c r="CO224"/>
      <c r="CP224"/>
      <c r="CQ224"/>
      <c r="CR224"/>
      <c r="CS224"/>
      <c r="CT224">
        <v>2.9329999999999998</v>
      </c>
      <c r="CU224">
        <v>2.9676999999999998</v>
      </c>
      <c r="CV224"/>
      <c r="CW224"/>
      <c r="CX224"/>
      <c r="CY224"/>
      <c r="CZ224">
        <v>2.9123999999999999</v>
      </c>
      <c r="DA224"/>
      <c r="DB224"/>
      <c r="DC224"/>
      <c r="DD224">
        <v>2.0247999999999999</v>
      </c>
      <c r="DE224"/>
      <c r="DF224"/>
      <c r="DG224">
        <v>3.0251000000000001</v>
      </c>
      <c r="DH224"/>
      <c r="DI224"/>
      <c r="DJ224">
        <v>2.7789999999999999</v>
      </c>
      <c r="DK224">
        <v>2.9228000000000001</v>
      </c>
      <c r="DL224"/>
      <c r="DM224"/>
      <c r="DN224"/>
      <c r="DO224"/>
      <c r="DP224"/>
      <c r="DQ224"/>
      <c r="DR224">
        <v>2.6055999999999999</v>
      </c>
      <c r="DS224">
        <v>2.8203</v>
      </c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>
        <v>2.8006000000000002</v>
      </c>
      <c r="EJ224"/>
      <c r="EK224">
        <v>2.5335999999999999</v>
      </c>
      <c r="EL224"/>
      <c r="EM224">
        <v>2.9533</v>
      </c>
      <c r="EN224">
        <v>2.8</v>
      </c>
      <c r="EO224"/>
      <c r="EP224"/>
      <c r="EQ224">
        <v>2.5988000000000002</v>
      </c>
      <c r="ER224"/>
      <c r="ES224"/>
      <c r="ET224"/>
      <c r="EU224"/>
      <c r="EV224"/>
    </row>
    <row r="225" spans="1:152" ht="15" x14ac:dyDescent="0.25">
      <c r="A225" s="1">
        <v>24250</v>
      </c>
      <c r="B225" s="1" t="str">
        <v>2019-12-23</v>
      </c>
      <c r="C225" s="1">
        <v>3.4836</v>
      </c>
      <c r="F225" s="8">
        <f t="shared" si="9"/>
        <v>24250</v>
      </c>
      <c r="G225" s="9">
        <f t="shared" si="10"/>
        <v>43822</v>
      </c>
      <c r="H225" s="10">
        <f t="shared" si="11"/>
        <v>3.4836</v>
      </c>
      <c r="U225" s="11">
        <v>44117</v>
      </c>
      <c r="V225"/>
      <c r="W225"/>
      <c r="X225"/>
      <c r="Y225"/>
      <c r="Z225"/>
      <c r="AA225">
        <v>2.4015</v>
      </c>
      <c r="AB225"/>
      <c r="AC225"/>
      <c r="AD225"/>
      <c r="AE225"/>
      <c r="AF225">
        <v>2.8405999999999998</v>
      </c>
      <c r="AG225"/>
      <c r="AH225">
        <v>2.9220999999999999</v>
      </c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>
        <v>2.9842</v>
      </c>
      <c r="CD225"/>
      <c r="CE225"/>
      <c r="CF225"/>
      <c r="CG225"/>
      <c r="CH225"/>
      <c r="CI225"/>
      <c r="CJ225"/>
      <c r="CK225">
        <v>2.6772</v>
      </c>
      <c r="CL225">
        <v>3.0043000000000002</v>
      </c>
      <c r="CM225"/>
      <c r="CN225"/>
      <c r="CO225">
        <v>3.0865</v>
      </c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>
        <v>2.6722000000000001</v>
      </c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</row>
    <row r="226" spans="1:152" ht="15" x14ac:dyDescent="0.25">
      <c r="A226" s="1">
        <v>53</v>
      </c>
      <c r="B226" s="1" t="str">
        <v>2019-12-23</v>
      </c>
      <c r="C226" s="1">
        <v>3.3805000000000001</v>
      </c>
      <c r="F226" s="8">
        <f t="shared" si="9"/>
        <v>53</v>
      </c>
      <c r="G226" s="9">
        <f t="shared" si="10"/>
        <v>43822</v>
      </c>
      <c r="H226" s="10">
        <f t="shared" si="11"/>
        <v>3.3805000000000001</v>
      </c>
      <c r="U226" s="11">
        <v>44118</v>
      </c>
      <c r="V226"/>
      <c r="W226"/>
      <c r="X226"/>
      <c r="Y226"/>
      <c r="Z226">
        <v>2.5440999999999998</v>
      </c>
      <c r="AA226"/>
      <c r="AB226">
        <v>2.9632000000000001</v>
      </c>
      <c r="AC226"/>
      <c r="AD226"/>
      <c r="AE226"/>
      <c r="AF226"/>
      <c r="AG226">
        <v>2.8508</v>
      </c>
      <c r="AH226"/>
      <c r="AI226"/>
      <c r="AJ226"/>
      <c r="AK226"/>
      <c r="AL226"/>
      <c r="AM226"/>
      <c r="AN226">
        <v>2.4525000000000001</v>
      </c>
      <c r="AO226"/>
      <c r="AP226"/>
      <c r="AQ226"/>
      <c r="AR226"/>
      <c r="AS226"/>
      <c r="AT226"/>
      <c r="AU226"/>
      <c r="AV226"/>
      <c r="AW226"/>
      <c r="AX226"/>
      <c r="AY226"/>
      <c r="AZ226"/>
      <c r="BA226">
        <v>2.7077</v>
      </c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>
        <v>2.67</v>
      </c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>
        <v>2.5137</v>
      </c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>
        <v>2.4015</v>
      </c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</row>
    <row r="227" spans="1:152" ht="15" x14ac:dyDescent="0.25">
      <c r="A227" s="1">
        <v>30400</v>
      </c>
      <c r="B227" s="1" t="str">
        <v>2019-12-23</v>
      </c>
      <c r="C227" s="1">
        <v>3.0310000000000001</v>
      </c>
      <c r="F227" s="8">
        <f t="shared" si="9"/>
        <v>30400</v>
      </c>
      <c r="G227" s="9">
        <f t="shared" si="10"/>
        <v>43822</v>
      </c>
      <c r="H227" s="10">
        <f t="shared" si="11"/>
        <v>3.0310000000000001</v>
      </c>
      <c r="U227" s="11">
        <v>44119</v>
      </c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>
        <v>2.7690000000000001</v>
      </c>
      <c r="AX227"/>
      <c r="AY227"/>
      <c r="AZ227"/>
      <c r="BA227"/>
      <c r="BB227"/>
      <c r="BC227"/>
      <c r="BD227"/>
      <c r="BE227"/>
      <c r="BF227"/>
      <c r="BG227">
        <v>2.7073999999999998</v>
      </c>
      <c r="BH227"/>
      <c r="BI227"/>
      <c r="BJ227"/>
      <c r="BK227"/>
      <c r="BL227"/>
      <c r="BM227"/>
      <c r="BN227"/>
      <c r="BO227"/>
      <c r="BP227"/>
      <c r="BQ227"/>
      <c r="BR227"/>
      <c r="BS227">
        <v>2.718</v>
      </c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>
        <v>3.0348000000000002</v>
      </c>
      <c r="CJ227"/>
      <c r="CK227"/>
      <c r="CL227"/>
      <c r="CM227"/>
      <c r="CN227"/>
      <c r="CO227"/>
      <c r="CP227">
        <v>3.0762</v>
      </c>
      <c r="CQ227"/>
      <c r="CR227"/>
      <c r="CS227"/>
      <c r="CT227"/>
      <c r="CU227"/>
      <c r="CV227"/>
      <c r="CW227"/>
      <c r="CX227"/>
      <c r="CY227">
        <v>2.5545</v>
      </c>
      <c r="CZ227"/>
      <c r="DA227"/>
      <c r="DB227">
        <v>2.8334999999999999</v>
      </c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</row>
    <row r="228" spans="1:152" ht="15" x14ac:dyDescent="0.25">
      <c r="A228" s="1">
        <v>32401</v>
      </c>
      <c r="B228" s="1" t="str">
        <v>2019-12-23</v>
      </c>
      <c r="C228" s="1">
        <v>4.2286999999999999</v>
      </c>
      <c r="F228" s="8">
        <f t="shared" si="9"/>
        <v>32401</v>
      </c>
      <c r="G228" s="9">
        <f t="shared" si="10"/>
        <v>43822</v>
      </c>
      <c r="H228" s="10">
        <f t="shared" si="11"/>
        <v>4.2286999999999999</v>
      </c>
      <c r="U228" s="11">
        <v>44120</v>
      </c>
      <c r="V228"/>
      <c r="W228"/>
      <c r="X228"/>
      <c r="Y228">
        <v>2.8201000000000001</v>
      </c>
      <c r="Z228"/>
      <c r="AA228"/>
      <c r="AB228"/>
      <c r="AC228"/>
      <c r="AD228"/>
      <c r="AE228"/>
      <c r="AF228"/>
      <c r="AG228">
        <v>2.9224999999999999</v>
      </c>
      <c r="AH228"/>
      <c r="AI228"/>
      <c r="AJ228"/>
      <c r="AK228">
        <v>3.0144000000000002</v>
      </c>
      <c r="AL228"/>
      <c r="AM228"/>
      <c r="AN228"/>
      <c r="AO228"/>
      <c r="AP228">
        <v>2.6669999999999998</v>
      </c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>
        <v>2.9430000000000001</v>
      </c>
      <c r="BF228"/>
      <c r="BG228">
        <v>2.7073999999999998</v>
      </c>
      <c r="BH228"/>
      <c r="BI228"/>
      <c r="BJ228"/>
      <c r="BK228">
        <v>2.6501999999999999</v>
      </c>
      <c r="BL228"/>
      <c r="BM228">
        <v>2.8102</v>
      </c>
      <c r="BN228"/>
      <c r="BO228">
        <v>3.0249000000000001</v>
      </c>
      <c r="BP228"/>
      <c r="BQ228"/>
      <c r="BR228">
        <v>2.2078000000000002</v>
      </c>
      <c r="BS228"/>
      <c r="BT228">
        <v>2.5032000000000001</v>
      </c>
      <c r="BU228"/>
      <c r="BV228"/>
      <c r="BW228"/>
      <c r="BX228"/>
      <c r="BY228">
        <v>2.9740000000000002</v>
      </c>
      <c r="BZ228">
        <v>2.3708</v>
      </c>
      <c r="CA228"/>
      <c r="CB228"/>
      <c r="CC228"/>
      <c r="CD228"/>
      <c r="CE228"/>
      <c r="CF228">
        <v>2.6871</v>
      </c>
      <c r="CG228"/>
      <c r="CH228"/>
      <c r="CI228"/>
      <c r="CJ228"/>
      <c r="CK228"/>
      <c r="CL228"/>
      <c r="CM228"/>
      <c r="CN228"/>
      <c r="CO228"/>
      <c r="CP228"/>
      <c r="CQ228">
        <v>2.5926</v>
      </c>
      <c r="CR228"/>
      <c r="CS228">
        <v>3.0350999999999999</v>
      </c>
      <c r="CT228">
        <v>2.9329999999999998</v>
      </c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>
        <v>2.8195999999999999</v>
      </c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>
        <v>2.3199000000000001</v>
      </c>
      <c r="EF228"/>
      <c r="EG228"/>
      <c r="EH228">
        <v>2.7256999999999998</v>
      </c>
      <c r="EI228">
        <v>2.8824999999999998</v>
      </c>
      <c r="EJ228"/>
      <c r="EK228"/>
      <c r="EL228"/>
      <c r="EM228"/>
      <c r="EN228"/>
      <c r="EO228"/>
      <c r="EP228"/>
      <c r="EQ228">
        <v>2.9093</v>
      </c>
      <c r="ER228"/>
      <c r="ES228"/>
      <c r="ET228"/>
      <c r="EU228"/>
      <c r="EV228"/>
    </row>
    <row r="229" spans="1:152" ht="15" x14ac:dyDescent="0.25">
      <c r="A229" s="1">
        <v>32582</v>
      </c>
      <c r="B229" s="1" t="str">
        <v>2019-12-23</v>
      </c>
      <c r="C229" s="1">
        <v>3.6597</v>
      </c>
      <c r="F229" s="8">
        <f t="shared" si="9"/>
        <v>32582</v>
      </c>
      <c r="G229" s="9">
        <f t="shared" si="10"/>
        <v>43822</v>
      </c>
      <c r="H229" s="10">
        <f t="shared" si="11"/>
        <v>3.6597</v>
      </c>
      <c r="U229" s="11">
        <v>44123</v>
      </c>
      <c r="V229">
        <v>2.9426999999999999</v>
      </c>
      <c r="W229"/>
      <c r="X229"/>
      <c r="Y229"/>
      <c r="Z229"/>
      <c r="AA229"/>
      <c r="AB229">
        <v>2.9632000000000001</v>
      </c>
      <c r="AC229"/>
      <c r="AD229"/>
      <c r="AE229">
        <v>2.8612000000000002</v>
      </c>
      <c r="AF229"/>
      <c r="AG229"/>
      <c r="AH229"/>
      <c r="AI229"/>
      <c r="AJ229"/>
      <c r="AK229"/>
      <c r="AL229">
        <v>3.0044</v>
      </c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>
        <v>2.7997000000000001</v>
      </c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>
        <v>2.9584999999999999</v>
      </c>
      <c r="BV229"/>
      <c r="BW229"/>
      <c r="BX229"/>
      <c r="BY229"/>
      <c r="BZ229"/>
      <c r="CA229"/>
      <c r="CB229"/>
      <c r="CC229">
        <v>3.0148999999999999</v>
      </c>
      <c r="CD229"/>
      <c r="CE229"/>
      <c r="CF229"/>
      <c r="CG229"/>
      <c r="CH229"/>
      <c r="CI229"/>
      <c r="CJ229"/>
      <c r="CK229">
        <v>2.6772</v>
      </c>
      <c r="CL229">
        <v>2.9634</v>
      </c>
      <c r="CM229"/>
      <c r="CN229"/>
      <c r="CO229"/>
      <c r="CP229"/>
      <c r="CQ229"/>
      <c r="CR229"/>
      <c r="CS229">
        <v>3.0350999999999999</v>
      </c>
      <c r="CT229"/>
      <c r="CU229"/>
      <c r="CV229"/>
      <c r="CW229"/>
      <c r="CX229"/>
      <c r="CY229"/>
      <c r="CZ229"/>
      <c r="DA229"/>
      <c r="DB229">
        <v>2.8334999999999999</v>
      </c>
      <c r="DC229">
        <v>2.7383999999999999</v>
      </c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>
        <v>2.2787999999999999</v>
      </c>
      <c r="DR229"/>
      <c r="DS229"/>
      <c r="DT229">
        <v>3.0352000000000001</v>
      </c>
      <c r="DU229"/>
      <c r="DV229"/>
      <c r="DW229"/>
      <c r="DX229">
        <v>2.7892999999999999</v>
      </c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>
        <v>2.9839000000000002</v>
      </c>
      <c r="EN229"/>
      <c r="EO229"/>
      <c r="EP229">
        <v>2.8713000000000002</v>
      </c>
      <c r="EQ229"/>
      <c r="ER229"/>
      <c r="ES229"/>
      <c r="ET229"/>
      <c r="EU229"/>
      <c r="EV229"/>
    </row>
    <row r="230" spans="1:152" ht="15" x14ac:dyDescent="0.25">
      <c r="A230" s="1">
        <v>59</v>
      </c>
      <c r="B230" s="1" t="str">
        <v>2019-12-23</v>
      </c>
      <c r="C230" s="1">
        <v>3.6073</v>
      </c>
      <c r="F230" s="8">
        <f t="shared" si="9"/>
        <v>59</v>
      </c>
      <c r="G230" s="9">
        <f t="shared" si="10"/>
        <v>43822</v>
      </c>
      <c r="H230" s="10">
        <f t="shared" si="11"/>
        <v>3.6073</v>
      </c>
      <c r="U230" s="11">
        <v>44124</v>
      </c>
      <c r="V230">
        <v>2.9426999999999999</v>
      </c>
      <c r="W230"/>
      <c r="X230"/>
      <c r="Y230"/>
      <c r="Z230"/>
      <c r="AA230">
        <v>2.7282000000000002</v>
      </c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>
        <v>2.4729000000000001</v>
      </c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>
        <v>2.6055000000000001</v>
      </c>
      <c r="EB230"/>
      <c r="EC230"/>
      <c r="ED230"/>
      <c r="EE230"/>
      <c r="EF230"/>
      <c r="EG230"/>
      <c r="EH230"/>
      <c r="EI230">
        <v>3.0219</v>
      </c>
      <c r="EJ230"/>
      <c r="EK230">
        <v>2.6974</v>
      </c>
      <c r="EL230"/>
      <c r="EM230"/>
      <c r="EN230"/>
      <c r="EO230"/>
      <c r="EP230"/>
      <c r="EQ230"/>
      <c r="ER230"/>
      <c r="ES230"/>
      <c r="ET230"/>
      <c r="EU230"/>
      <c r="EV230"/>
    </row>
    <row r="231" spans="1:152" ht="15" x14ac:dyDescent="0.25">
      <c r="A231" s="1">
        <v>137</v>
      </c>
      <c r="B231" s="1" t="str">
        <v>2019-12-23</v>
      </c>
      <c r="C231" s="1">
        <v>3.3088000000000002</v>
      </c>
      <c r="F231" s="8">
        <f t="shared" si="9"/>
        <v>137</v>
      </c>
      <c r="G231" s="9">
        <f t="shared" si="10"/>
        <v>43822</v>
      </c>
      <c r="H231" s="10">
        <f t="shared" si="11"/>
        <v>3.3088000000000002</v>
      </c>
      <c r="U231" s="11">
        <v>44125</v>
      </c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>
        <v>2.7587999999999999</v>
      </c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>
        <v>2.8405999999999998</v>
      </c>
      <c r="DT231"/>
      <c r="DU231"/>
      <c r="DV231"/>
      <c r="DW231"/>
      <c r="DX231"/>
      <c r="DY231"/>
      <c r="DZ231">
        <v>3.0457000000000001</v>
      </c>
      <c r="EA231"/>
      <c r="EB231"/>
      <c r="EC231"/>
      <c r="ED231"/>
      <c r="EE231"/>
      <c r="EF231">
        <v>2.8509000000000002</v>
      </c>
      <c r="EG231"/>
      <c r="EH231"/>
      <c r="EI231">
        <v>3.0219</v>
      </c>
      <c r="EJ231"/>
      <c r="EK231"/>
      <c r="EL231"/>
      <c r="EM231"/>
      <c r="EN231"/>
      <c r="EO231"/>
      <c r="EP231"/>
      <c r="EQ231"/>
      <c r="ER231"/>
      <c r="ES231">
        <v>3.4045999999999998</v>
      </c>
      <c r="ET231"/>
      <c r="EU231"/>
      <c r="EV231"/>
    </row>
    <row r="232" spans="1:152" ht="15" x14ac:dyDescent="0.25">
      <c r="A232" s="1">
        <v>32724</v>
      </c>
      <c r="B232" s="1" t="str">
        <v>2019-12-23</v>
      </c>
      <c r="C232" s="1">
        <v>3.4842</v>
      </c>
      <c r="F232" s="8">
        <f t="shared" si="9"/>
        <v>32724</v>
      </c>
      <c r="G232" s="9">
        <f t="shared" si="10"/>
        <v>43822</v>
      </c>
      <c r="H232" s="10">
        <f t="shared" si="11"/>
        <v>3.4842</v>
      </c>
      <c r="U232" s="11">
        <v>44126</v>
      </c>
      <c r="V232">
        <v>2.9632000000000001</v>
      </c>
      <c r="W232"/>
      <c r="X232"/>
      <c r="Y232"/>
      <c r="Z232"/>
      <c r="AA232">
        <v>2.8609</v>
      </c>
      <c r="AB232"/>
      <c r="AC232"/>
      <c r="AD232"/>
      <c r="AE232"/>
      <c r="AF232"/>
      <c r="AG232">
        <v>3.0968</v>
      </c>
      <c r="AH232">
        <v>2.9222000000000001</v>
      </c>
      <c r="AI232"/>
      <c r="AJ232"/>
      <c r="AK232"/>
      <c r="AL232"/>
      <c r="AM232"/>
      <c r="AN232"/>
      <c r="AO232"/>
      <c r="AP232"/>
      <c r="AQ232"/>
      <c r="AR232">
        <v>3.0249999999999999</v>
      </c>
      <c r="AS232"/>
      <c r="AT232"/>
      <c r="AU232"/>
      <c r="AV232"/>
      <c r="AW232"/>
      <c r="AX232"/>
      <c r="AY232"/>
      <c r="AZ232"/>
      <c r="BA232">
        <v>2.7077</v>
      </c>
      <c r="BB232"/>
      <c r="BC232">
        <v>2.9222999999999999</v>
      </c>
      <c r="BD232">
        <v>2.7997000000000001</v>
      </c>
      <c r="BE232"/>
      <c r="BF232"/>
      <c r="BG232"/>
      <c r="BH232">
        <v>3.0146999999999999</v>
      </c>
      <c r="BI232"/>
      <c r="BJ232"/>
      <c r="BK232"/>
      <c r="BL232"/>
      <c r="BM232">
        <v>2.8102</v>
      </c>
      <c r="BN232"/>
      <c r="BO232"/>
      <c r="BP232"/>
      <c r="BQ232"/>
      <c r="BR232"/>
      <c r="BS232">
        <v>2.718</v>
      </c>
      <c r="BT232"/>
      <c r="BU232"/>
      <c r="BV232">
        <v>2.9737</v>
      </c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>
        <v>2.7484000000000002</v>
      </c>
      <c r="CX232"/>
      <c r="CY232"/>
      <c r="CZ232"/>
      <c r="DA232"/>
      <c r="DB232"/>
      <c r="DC232"/>
      <c r="DD232"/>
      <c r="DE232"/>
      <c r="DF232"/>
      <c r="DG232"/>
      <c r="DH232"/>
      <c r="DI232"/>
      <c r="DJ232">
        <v>2.8914</v>
      </c>
      <c r="DK232"/>
      <c r="DL232"/>
      <c r="DM232"/>
      <c r="DN232"/>
      <c r="DO232"/>
      <c r="DP232"/>
      <c r="DQ232"/>
      <c r="DR232">
        <v>2.8508</v>
      </c>
      <c r="DS232"/>
      <c r="DT232"/>
      <c r="DU232"/>
      <c r="DV232"/>
      <c r="DW232"/>
      <c r="DX232"/>
      <c r="DY232"/>
      <c r="DZ232"/>
      <c r="EA232"/>
      <c r="EB232"/>
      <c r="EC232">
        <v>2.8921000000000001</v>
      </c>
      <c r="ED232"/>
      <c r="EE232"/>
      <c r="EF232"/>
      <c r="EG232"/>
      <c r="EH232"/>
      <c r="EI232"/>
      <c r="EJ232"/>
      <c r="EK232"/>
      <c r="EL232">
        <v>2.8712</v>
      </c>
      <c r="EM232"/>
      <c r="EN232"/>
      <c r="EO232"/>
      <c r="EP232"/>
      <c r="EQ232"/>
      <c r="ER232"/>
      <c r="ES232"/>
      <c r="ET232"/>
      <c r="EU232"/>
      <c r="EV232"/>
    </row>
    <row r="233" spans="1:152" ht="15" x14ac:dyDescent="0.25">
      <c r="A233" s="1">
        <v>32040</v>
      </c>
      <c r="B233" s="1" t="str">
        <v>2019-12-23</v>
      </c>
      <c r="C233" s="1">
        <v>3.5964999999999998</v>
      </c>
      <c r="F233" s="8">
        <f t="shared" si="9"/>
        <v>32040</v>
      </c>
      <c r="G233" s="9">
        <f t="shared" si="10"/>
        <v>43822</v>
      </c>
      <c r="H233" s="10">
        <f t="shared" si="11"/>
        <v>3.5964999999999998</v>
      </c>
      <c r="U233" s="11">
        <v>44127</v>
      </c>
      <c r="V233"/>
      <c r="W233">
        <v>2.8096000000000001</v>
      </c>
      <c r="X233">
        <v>3.2094</v>
      </c>
      <c r="Y233">
        <v>2.8201000000000001</v>
      </c>
      <c r="Z233">
        <v>3.1577000000000002</v>
      </c>
      <c r="AA233">
        <v>3.0144000000000002</v>
      </c>
      <c r="AB233">
        <v>3.0552999999999999</v>
      </c>
      <c r="AC233">
        <v>3.1273</v>
      </c>
      <c r="AD233">
        <v>3.0760000000000001</v>
      </c>
      <c r="AE233">
        <v>2.9634</v>
      </c>
      <c r="AF233"/>
      <c r="AG233">
        <v>3.2401</v>
      </c>
      <c r="AH233">
        <v>2.9119999999999999</v>
      </c>
      <c r="AI233">
        <v>3.0966999999999998</v>
      </c>
      <c r="AJ233">
        <v>3.2301000000000002</v>
      </c>
      <c r="AK233">
        <v>3.1680999999999999</v>
      </c>
      <c r="AL233"/>
      <c r="AM233">
        <v>3.1886999999999999</v>
      </c>
      <c r="AN233"/>
      <c r="AO233">
        <v>3.1991000000000001</v>
      </c>
      <c r="AP233"/>
      <c r="AQ233"/>
      <c r="AR233"/>
      <c r="AS233">
        <v>3.3222999999999998</v>
      </c>
      <c r="AT233">
        <v>3.0249000000000001</v>
      </c>
      <c r="AU233"/>
      <c r="AV233"/>
      <c r="AW233"/>
      <c r="AX233">
        <v>3.2503000000000002</v>
      </c>
      <c r="AY233">
        <v>2.7589999999999999</v>
      </c>
      <c r="AZ233">
        <v>3.117</v>
      </c>
      <c r="BA233">
        <v>2.9634</v>
      </c>
      <c r="BB233"/>
      <c r="BC233"/>
      <c r="BD233">
        <v>2.9838</v>
      </c>
      <c r="BE233">
        <v>3.3532000000000002</v>
      </c>
      <c r="BF233">
        <v>3.0758999999999999</v>
      </c>
      <c r="BG233">
        <v>3.0144000000000002</v>
      </c>
      <c r="BH233"/>
      <c r="BI233">
        <v>2.9940000000000002</v>
      </c>
      <c r="BJ233">
        <v>2.8090000000000002</v>
      </c>
      <c r="BK233">
        <v>2.7521</v>
      </c>
      <c r="BL233"/>
      <c r="BM233"/>
      <c r="BN233"/>
      <c r="BO233">
        <v>3.24</v>
      </c>
      <c r="BP233"/>
      <c r="BQ233"/>
      <c r="BR233"/>
      <c r="BS233"/>
      <c r="BT233"/>
      <c r="BU233"/>
      <c r="BV233"/>
      <c r="BW233"/>
      <c r="BX233"/>
      <c r="BY233">
        <v>3.3633999999999999</v>
      </c>
      <c r="BZ233">
        <v>2.8610000000000002</v>
      </c>
      <c r="CA233">
        <v>3.1682999999999999</v>
      </c>
      <c r="CB233"/>
      <c r="CC233">
        <v>3.1274999999999999</v>
      </c>
      <c r="CD233">
        <v>3.3121</v>
      </c>
      <c r="CE233"/>
      <c r="CF233">
        <v>3.0247999999999999</v>
      </c>
      <c r="CG233"/>
      <c r="CH233">
        <v>3.1067999999999998</v>
      </c>
      <c r="CI233">
        <v>3.2401</v>
      </c>
      <c r="CJ233">
        <v>3.0041000000000002</v>
      </c>
      <c r="CK233"/>
      <c r="CL233">
        <v>3.3839999999999999</v>
      </c>
      <c r="CM233"/>
      <c r="CN233">
        <v>3.2606999999999999</v>
      </c>
      <c r="CO233">
        <v>3.343</v>
      </c>
      <c r="CP233">
        <v>3.2299000000000002</v>
      </c>
      <c r="CQ233"/>
      <c r="CR233">
        <v>3.3018000000000001</v>
      </c>
      <c r="CS233"/>
      <c r="CT233">
        <v>3.2812000000000001</v>
      </c>
      <c r="CU233"/>
      <c r="CV233"/>
      <c r="CW233">
        <v>2.8403999999999998</v>
      </c>
      <c r="CX233">
        <v>3.3271999999999999</v>
      </c>
      <c r="CY233"/>
      <c r="CZ233"/>
      <c r="DA233">
        <v>2.5137999999999998</v>
      </c>
      <c r="DB233"/>
      <c r="DC233"/>
      <c r="DD233"/>
      <c r="DE233"/>
      <c r="DF233">
        <v>3.1890000000000001</v>
      </c>
      <c r="DG233"/>
      <c r="DH233">
        <v>3.3121</v>
      </c>
      <c r="DI233">
        <v>2.6968999999999999</v>
      </c>
      <c r="DJ233">
        <v>3.0550000000000002</v>
      </c>
      <c r="DK233">
        <v>3.0455999999999999</v>
      </c>
      <c r="DL233"/>
      <c r="DM233">
        <v>3.2092999999999998</v>
      </c>
      <c r="DN233"/>
      <c r="DO233"/>
      <c r="DP233"/>
      <c r="DQ233"/>
      <c r="DR233"/>
      <c r="DS233">
        <v>3.1067999999999998</v>
      </c>
      <c r="DT233">
        <v>3.3633999999999999</v>
      </c>
      <c r="DU233"/>
      <c r="DV233"/>
      <c r="DW233">
        <v>3.2092999999999998</v>
      </c>
      <c r="DX233">
        <v>3.4148000000000001</v>
      </c>
      <c r="DY233"/>
      <c r="DZ233">
        <v>3.0457000000000001</v>
      </c>
      <c r="EA233"/>
      <c r="EB233"/>
      <c r="EC233"/>
      <c r="ED233"/>
      <c r="EE233">
        <v>2.7075</v>
      </c>
      <c r="EF233"/>
      <c r="EG233"/>
      <c r="EH233">
        <v>2.7256999999999998</v>
      </c>
      <c r="EI233"/>
      <c r="EJ233"/>
      <c r="EK233">
        <v>2.8094999999999999</v>
      </c>
      <c r="EL233">
        <v>2.9836</v>
      </c>
      <c r="EM233">
        <v>3.2604000000000002</v>
      </c>
      <c r="EN233"/>
      <c r="EO233"/>
      <c r="EP233">
        <v>3.0278</v>
      </c>
      <c r="EQ233"/>
      <c r="ER233"/>
      <c r="ES233"/>
      <c r="ET233"/>
      <c r="EU233"/>
      <c r="EV233"/>
    </row>
    <row r="234" spans="1:152" ht="15" x14ac:dyDescent="0.25">
      <c r="A234" s="1">
        <v>32663</v>
      </c>
      <c r="B234" s="1" t="str">
        <v>2019-12-23</v>
      </c>
      <c r="C234" s="1">
        <v>3.7012</v>
      </c>
      <c r="F234" s="8">
        <f t="shared" si="9"/>
        <v>32663</v>
      </c>
      <c r="G234" s="9">
        <f t="shared" si="10"/>
        <v>43822</v>
      </c>
      <c r="H234" s="10">
        <f t="shared" si="11"/>
        <v>3.7012</v>
      </c>
      <c r="U234" s="11">
        <v>44130</v>
      </c>
      <c r="V234"/>
      <c r="W234"/>
      <c r="X234"/>
      <c r="Y234"/>
      <c r="Z234"/>
      <c r="AA234"/>
      <c r="AB234"/>
      <c r="AC234"/>
      <c r="AD234"/>
      <c r="AE234"/>
      <c r="AF234"/>
      <c r="AG234">
        <v>3.2606000000000002</v>
      </c>
      <c r="AH234"/>
      <c r="AI234"/>
      <c r="AJ234"/>
      <c r="AK234"/>
      <c r="AL234">
        <v>3.343</v>
      </c>
      <c r="AM234"/>
      <c r="AN234"/>
      <c r="AO234"/>
      <c r="AP234">
        <v>2.6669999999999998</v>
      </c>
      <c r="AQ234"/>
      <c r="AR234"/>
      <c r="AS234"/>
      <c r="AT234"/>
      <c r="AU234"/>
      <c r="AV234">
        <v>2.7481</v>
      </c>
      <c r="AW234"/>
      <c r="AX234"/>
      <c r="AY234"/>
      <c r="AZ234"/>
      <c r="BA234"/>
      <c r="BB234"/>
      <c r="BC234"/>
      <c r="BD234"/>
      <c r="BE234"/>
      <c r="BF234"/>
      <c r="BG234"/>
      <c r="BH234">
        <v>3.117</v>
      </c>
      <c r="BI234"/>
      <c r="BJ234"/>
      <c r="BK234"/>
      <c r="BL234"/>
      <c r="BM234"/>
      <c r="BN234">
        <v>3.0043000000000002</v>
      </c>
      <c r="BO234"/>
      <c r="BP234"/>
      <c r="BQ234"/>
      <c r="BR234"/>
      <c r="BS234"/>
      <c r="BT234"/>
      <c r="BU234">
        <v>3.1564000000000001</v>
      </c>
      <c r="BV234"/>
      <c r="BW234">
        <v>2.8607999999999998</v>
      </c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>
        <v>3.0453000000000001</v>
      </c>
      <c r="DA234"/>
      <c r="DB234"/>
      <c r="DC234">
        <v>3.1528999999999998</v>
      </c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>
        <v>3.1545000000000001</v>
      </c>
      <c r="EJ234"/>
      <c r="EK234"/>
      <c r="EL234"/>
      <c r="EM234"/>
      <c r="EN234"/>
      <c r="EO234"/>
      <c r="EP234"/>
      <c r="EQ234"/>
      <c r="ER234">
        <v>2.1568000000000001</v>
      </c>
      <c r="ES234"/>
      <c r="ET234"/>
      <c r="EU234"/>
      <c r="EV234"/>
    </row>
    <row r="235" spans="1:152" ht="15" x14ac:dyDescent="0.25">
      <c r="A235" s="1">
        <v>32703</v>
      </c>
      <c r="B235" s="1" t="str">
        <v>2019-12-23</v>
      </c>
      <c r="C235" s="1">
        <v>3.5554999999999999</v>
      </c>
      <c r="F235" s="8">
        <f t="shared" si="9"/>
        <v>32703</v>
      </c>
      <c r="G235" s="9">
        <f t="shared" si="10"/>
        <v>43822</v>
      </c>
      <c r="H235" s="10">
        <f t="shared" si="11"/>
        <v>3.5554999999999999</v>
      </c>
      <c r="U235" s="11">
        <v>44131</v>
      </c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>
        <v>3.0144000000000002</v>
      </c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>
        <v>2.8711000000000002</v>
      </c>
      <c r="EL235"/>
      <c r="EM235"/>
      <c r="EN235"/>
      <c r="EO235"/>
      <c r="EP235"/>
      <c r="EQ235"/>
      <c r="ER235"/>
      <c r="ES235"/>
      <c r="ET235"/>
      <c r="EU235"/>
      <c r="EV235"/>
    </row>
    <row r="236" spans="1:152" ht="15" x14ac:dyDescent="0.25">
      <c r="A236" s="1">
        <v>178</v>
      </c>
      <c r="B236" s="1" t="str">
        <v>2019-12-23</v>
      </c>
      <c r="C236" s="1">
        <v>3.5663999999999998</v>
      </c>
      <c r="F236" s="8">
        <f t="shared" si="9"/>
        <v>178</v>
      </c>
      <c r="G236" s="9">
        <f t="shared" si="10"/>
        <v>43822</v>
      </c>
      <c r="H236" s="10">
        <f t="shared" si="11"/>
        <v>3.5663999999999998</v>
      </c>
      <c r="U236" s="11">
        <v>44132</v>
      </c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>
        <v>3.4868999999999999</v>
      </c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>
        <v>3.0038999999999998</v>
      </c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>
        <v>3.1545000000000001</v>
      </c>
      <c r="EJ236"/>
      <c r="EK236"/>
      <c r="EL236"/>
      <c r="EM236"/>
      <c r="EN236"/>
      <c r="EO236"/>
      <c r="EP236"/>
      <c r="EQ236"/>
      <c r="ER236"/>
      <c r="ES236"/>
      <c r="ET236"/>
      <c r="EU236"/>
      <c r="EV236"/>
    </row>
    <row r="237" spans="1:152" ht="15" x14ac:dyDescent="0.25">
      <c r="A237" s="1">
        <v>32222</v>
      </c>
      <c r="B237" s="1" t="str">
        <v>2019-12-23</v>
      </c>
      <c r="C237" s="1">
        <v>3.3186</v>
      </c>
      <c r="F237" s="8">
        <f t="shared" si="9"/>
        <v>32222</v>
      </c>
      <c r="G237" s="9">
        <f t="shared" si="10"/>
        <v>43822</v>
      </c>
      <c r="H237" s="10">
        <f t="shared" si="11"/>
        <v>3.3186</v>
      </c>
      <c r="U237" s="11">
        <v>44133</v>
      </c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>
        <v>2.7521</v>
      </c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>
        <v>2.6772</v>
      </c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>
        <v>3.2709999999999999</v>
      </c>
      <c r="EG237"/>
      <c r="EH237"/>
      <c r="EI237"/>
      <c r="EJ237"/>
      <c r="EK237">
        <v>3.0350000000000001</v>
      </c>
      <c r="EL237"/>
      <c r="EM237"/>
      <c r="EN237"/>
      <c r="EO237"/>
      <c r="EP237"/>
      <c r="EQ237"/>
      <c r="ER237"/>
      <c r="ES237"/>
      <c r="ET237"/>
      <c r="EU237"/>
      <c r="EV237"/>
    </row>
    <row r="238" spans="1:152" ht="15" x14ac:dyDescent="0.25">
      <c r="A238" s="1">
        <v>33123</v>
      </c>
      <c r="B238" s="1" t="str">
        <v>2019-12-23</v>
      </c>
      <c r="C238" s="1">
        <v>3.6179999999999999</v>
      </c>
      <c r="F238" s="8">
        <f t="shared" si="9"/>
        <v>33123</v>
      </c>
      <c r="G238" s="9">
        <f t="shared" si="10"/>
        <v>43822</v>
      </c>
      <c r="H238" s="10">
        <f t="shared" si="11"/>
        <v>3.6179999999999999</v>
      </c>
      <c r="U238" s="11">
        <v>44134</v>
      </c>
      <c r="V238"/>
      <c r="W238"/>
      <c r="X238">
        <v>3.2299000000000002</v>
      </c>
      <c r="Y238">
        <v>2.8201000000000001</v>
      </c>
      <c r="Z238"/>
      <c r="AA238"/>
      <c r="AB238"/>
      <c r="AC238"/>
      <c r="AD238"/>
      <c r="AE238"/>
      <c r="AF238"/>
      <c r="AG238"/>
      <c r="AH238"/>
      <c r="AI238"/>
      <c r="AJ238"/>
      <c r="AK238"/>
      <c r="AL238">
        <v>3.343</v>
      </c>
      <c r="AM238"/>
      <c r="AN238"/>
      <c r="AO238"/>
      <c r="AP238">
        <v>2.6669999999999998</v>
      </c>
      <c r="AQ238">
        <v>3.2298</v>
      </c>
      <c r="AR238"/>
      <c r="AS238"/>
      <c r="AT238"/>
      <c r="AU238"/>
      <c r="AV238"/>
      <c r="AW238">
        <v>3.1375999999999999</v>
      </c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>
        <v>3.2810999999999999</v>
      </c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>
        <v>3.4558</v>
      </c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>
        <v>3.0246</v>
      </c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>
        <v>3.1273</v>
      </c>
      <c r="DT238"/>
      <c r="DU238"/>
      <c r="DV238"/>
      <c r="DW238"/>
      <c r="DX238"/>
      <c r="DY238"/>
      <c r="DZ238"/>
      <c r="EA238">
        <v>3.0043000000000002</v>
      </c>
      <c r="EB238"/>
      <c r="EC238"/>
      <c r="ED238">
        <v>3.1787999999999998</v>
      </c>
      <c r="EE238"/>
      <c r="EF238"/>
      <c r="EG238"/>
      <c r="EH238"/>
      <c r="EI238">
        <v>3.1545000000000001</v>
      </c>
      <c r="EJ238"/>
      <c r="EK238"/>
      <c r="EL238"/>
      <c r="EM238"/>
      <c r="EN238"/>
      <c r="EO238"/>
      <c r="EP238"/>
      <c r="EQ238">
        <v>3.3433999999999999</v>
      </c>
      <c r="ER238"/>
      <c r="ES238"/>
      <c r="ET238"/>
      <c r="EU238"/>
      <c r="EV238"/>
    </row>
    <row r="239" spans="1:152" ht="15" x14ac:dyDescent="0.25">
      <c r="A239" s="1">
        <v>184</v>
      </c>
      <c r="B239" s="1" t="str">
        <v>2019-12-23</v>
      </c>
      <c r="C239" s="1">
        <v>3.3184999999999998</v>
      </c>
      <c r="F239" s="8">
        <f t="shared" si="9"/>
        <v>184</v>
      </c>
      <c r="G239" s="9">
        <f t="shared" si="10"/>
        <v>43822</v>
      </c>
      <c r="H239" s="10">
        <f t="shared" si="11"/>
        <v>3.3184999999999998</v>
      </c>
      <c r="U239" s="11">
        <v>44138</v>
      </c>
      <c r="V239"/>
      <c r="W239"/>
      <c r="X239"/>
      <c r="Y239"/>
      <c r="Z239"/>
      <c r="AA239"/>
      <c r="AB239"/>
      <c r="AC239"/>
      <c r="AD239"/>
      <c r="AE239">
        <v>2.9634</v>
      </c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>
        <v>2.9634</v>
      </c>
      <c r="BB239"/>
      <c r="BC239"/>
      <c r="BD239">
        <v>2.9838</v>
      </c>
      <c r="BE239"/>
      <c r="BF239"/>
      <c r="BG239"/>
      <c r="BH239"/>
      <c r="BI239"/>
      <c r="BJ239">
        <v>2.7988</v>
      </c>
      <c r="BK239"/>
      <c r="BL239"/>
      <c r="BM239"/>
      <c r="BN239"/>
      <c r="BO239"/>
      <c r="BP239"/>
      <c r="BQ239"/>
      <c r="BR239"/>
      <c r="BS239"/>
      <c r="BT239"/>
      <c r="BU239">
        <v>3.1564000000000001</v>
      </c>
      <c r="BV239"/>
      <c r="BW239"/>
      <c r="BX239"/>
      <c r="BY239">
        <v>3.3736999999999999</v>
      </c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>
        <v>3.1408</v>
      </c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>
        <v>3.4863</v>
      </c>
      <c r="EF239"/>
      <c r="EG239"/>
      <c r="EH239"/>
      <c r="EI239"/>
      <c r="EJ239"/>
      <c r="EK239"/>
      <c r="EL239"/>
      <c r="EM239">
        <v>3.2606999999999999</v>
      </c>
      <c r="EN239"/>
      <c r="EO239"/>
      <c r="EP239"/>
      <c r="EQ239"/>
      <c r="ER239"/>
      <c r="ES239"/>
      <c r="ET239"/>
      <c r="EU239"/>
      <c r="EV239"/>
    </row>
    <row r="240" spans="1:152" ht="15" x14ac:dyDescent="0.25">
      <c r="A240" s="1">
        <v>146</v>
      </c>
      <c r="B240" s="1" t="str">
        <v>2019-12-23</v>
      </c>
      <c r="C240" s="1">
        <v>3.7006999999999999</v>
      </c>
      <c r="F240" s="8">
        <f t="shared" si="9"/>
        <v>146</v>
      </c>
      <c r="G240" s="9">
        <f t="shared" si="10"/>
        <v>43822</v>
      </c>
      <c r="H240" s="10">
        <f t="shared" si="11"/>
        <v>3.7006999999999999</v>
      </c>
      <c r="U240" s="11">
        <v>44139</v>
      </c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>
        <v>3.2193000000000001</v>
      </c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>
        <v>3.0457000000000001</v>
      </c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</row>
    <row r="241" spans="1:152" ht="15" x14ac:dyDescent="0.25">
      <c r="A241" s="1">
        <v>33083</v>
      </c>
      <c r="B241" s="1" t="str">
        <v>2019-12-23</v>
      </c>
      <c r="C241" s="1">
        <v>3.7719</v>
      </c>
      <c r="F241" s="8">
        <f t="shared" si="9"/>
        <v>33083</v>
      </c>
      <c r="G241" s="9">
        <f t="shared" si="10"/>
        <v>43822</v>
      </c>
      <c r="H241" s="10">
        <f t="shared" si="11"/>
        <v>3.7719</v>
      </c>
      <c r="U241" s="11">
        <v>44140</v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>
        <v>2.9940000000000002</v>
      </c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>
        <v>3.3839000000000001</v>
      </c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>
        <v>3.1274000000000002</v>
      </c>
      <c r="DL241"/>
      <c r="DM241">
        <v>3.2092999999999998</v>
      </c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>
        <v>3.0556000000000001</v>
      </c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</row>
    <row r="242" spans="1:152" ht="15" x14ac:dyDescent="0.25">
      <c r="A242" s="1">
        <v>33003</v>
      </c>
      <c r="B242" s="1" t="str">
        <v>2019-12-24</v>
      </c>
      <c r="C242" s="1">
        <v>3.6</v>
      </c>
      <c r="F242" s="8">
        <f t="shared" si="9"/>
        <v>33003</v>
      </c>
      <c r="G242" s="9">
        <f t="shared" si="10"/>
        <v>43823</v>
      </c>
      <c r="H242" s="10">
        <f t="shared" si="11"/>
        <v>3.6</v>
      </c>
      <c r="U242" s="11">
        <v>44141</v>
      </c>
      <c r="V242">
        <v>3.2915000000000001</v>
      </c>
      <c r="W242"/>
      <c r="X242"/>
      <c r="Y242">
        <v>3.4146999999999998</v>
      </c>
      <c r="Z242"/>
      <c r="AA242">
        <v>3.0964</v>
      </c>
      <c r="AB242"/>
      <c r="AC242">
        <v>3.4251</v>
      </c>
      <c r="AD242"/>
      <c r="AE242"/>
      <c r="AF242">
        <v>3.4971000000000001</v>
      </c>
      <c r="AG242">
        <v>3.2812000000000001</v>
      </c>
      <c r="AH242"/>
      <c r="AI242">
        <v>3.3532000000000002</v>
      </c>
      <c r="AJ242"/>
      <c r="AK242">
        <v>3.4148000000000001</v>
      </c>
      <c r="AL242">
        <v>3.3738000000000001</v>
      </c>
      <c r="AM242"/>
      <c r="AN242"/>
      <c r="AO242"/>
      <c r="AP242">
        <v>3.0348000000000002</v>
      </c>
      <c r="AQ242"/>
      <c r="AR242"/>
      <c r="AS242"/>
      <c r="AT242"/>
      <c r="AU242"/>
      <c r="AV242">
        <v>2.8092000000000001</v>
      </c>
      <c r="AW242">
        <v>3.3635000000000002</v>
      </c>
      <c r="AX242"/>
      <c r="AY242"/>
      <c r="AZ242"/>
      <c r="BA242"/>
      <c r="BB242"/>
      <c r="BC242"/>
      <c r="BD242"/>
      <c r="BE242">
        <v>3.4765999999999999</v>
      </c>
      <c r="BF242"/>
      <c r="BG242">
        <v>3.5383</v>
      </c>
      <c r="BH242"/>
      <c r="BI242"/>
      <c r="BJ242">
        <v>3.1374</v>
      </c>
      <c r="BK242">
        <v>3.1072000000000002</v>
      </c>
      <c r="BL242"/>
      <c r="BM242"/>
      <c r="BN242">
        <v>3.3942999999999999</v>
      </c>
      <c r="BO242">
        <v>3.2812999999999999</v>
      </c>
      <c r="BP242"/>
      <c r="BQ242"/>
      <c r="BR242"/>
      <c r="BS242">
        <v>2.8203999999999998</v>
      </c>
      <c r="BT242"/>
      <c r="BU242"/>
      <c r="BV242">
        <v>3.3327</v>
      </c>
      <c r="BW242"/>
      <c r="BX242"/>
      <c r="BY242">
        <v>3.6720999999999999</v>
      </c>
      <c r="BZ242"/>
      <c r="CA242"/>
      <c r="CB242"/>
      <c r="CC242"/>
      <c r="CD242"/>
      <c r="CE242"/>
      <c r="CF242">
        <v>2.8193000000000001</v>
      </c>
      <c r="CG242"/>
      <c r="CH242"/>
      <c r="CI242">
        <v>3.456</v>
      </c>
      <c r="CJ242"/>
      <c r="CK242">
        <v>3.1375000000000002</v>
      </c>
      <c r="CL242"/>
      <c r="CM242">
        <v>3.4354</v>
      </c>
      <c r="CN242">
        <v>3.5897999999999999</v>
      </c>
      <c r="CO242">
        <v>3.4971000000000001</v>
      </c>
      <c r="CP242"/>
      <c r="CQ242">
        <v>3.26</v>
      </c>
      <c r="CR242"/>
      <c r="CS242"/>
      <c r="CT242"/>
      <c r="CU242"/>
      <c r="CV242"/>
      <c r="CW242"/>
      <c r="CX242"/>
      <c r="CY242"/>
      <c r="CZ242">
        <v>3.2504</v>
      </c>
      <c r="DA242"/>
      <c r="DB242"/>
      <c r="DC242"/>
      <c r="DD242"/>
      <c r="DE242"/>
      <c r="DF242"/>
      <c r="DG242"/>
      <c r="DH242"/>
      <c r="DI242"/>
      <c r="DJ242">
        <v>3.0143</v>
      </c>
      <c r="DK242"/>
      <c r="DL242"/>
      <c r="DM242"/>
      <c r="DN242"/>
      <c r="DO242"/>
      <c r="DP242"/>
      <c r="DQ242"/>
      <c r="DR242">
        <v>3.2709999999999999</v>
      </c>
      <c r="DS242">
        <v>3.2709999999999999</v>
      </c>
      <c r="DT242">
        <v>3.456</v>
      </c>
      <c r="DU242"/>
      <c r="DV242"/>
      <c r="DW242"/>
      <c r="DX242">
        <v>3.4765000000000001</v>
      </c>
      <c r="DY242"/>
      <c r="DZ242"/>
      <c r="EA242">
        <v>3.2298</v>
      </c>
      <c r="EB242"/>
      <c r="EC242"/>
      <c r="ED242"/>
      <c r="EE242"/>
      <c r="EF242"/>
      <c r="EG242"/>
      <c r="EH242"/>
      <c r="EI242">
        <v>3.1795</v>
      </c>
      <c r="EJ242">
        <v>3.4457</v>
      </c>
      <c r="EK242">
        <v>3.3429000000000002</v>
      </c>
      <c r="EL242"/>
      <c r="EM242"/>
      <c r="EN242"/>
      <c r="EO242"/>
      <c r="EP242">
        <v>3.2812999999999999</v>
      </c>
      <c r="EQ242"/>
      <c r="ER242"/>
      <c r="ES242"/>
      <c r="ET242"/>
      <c r="EU242"/>
      <c r="EV242"/>
    </row>
    <row r="243" spans="1:152" ht="15" x14ac:dyDescent="0.25">
      <c r="A243" s="1">
        <v>1</v>
      </c>
      <c r="B243" s="1" t="str">
        <v>2019-12-24</v>
      </c>
      <c r="C243" s="1">
        <v>3.7010000000000001</v>
      </c>
      <c r="F243" s="8">
        <f t="shared" si="9"/>
        <v>1</v>
      </c>
      <c r="G243" s="9">
        <f t="shared" si="10"/>
        <v>43823</v>
      </c>
      <c r="H243" s="10">
        <f t="shared" si="11"/>
        <v>3.7010000000000001</v>
      </c>
      <c r="U243" s="11">
        <v>44144</v>
      </c>
      <c r="V243"/>
      <c r="W243">
        <v>3.1579000000000002</v>
      </c>
      <c r="X243">
        <v>3.4148999999999998</v>
      </c>
      <c r="Y243"/>
      <c r="Z243"/>
      <c r="AA243"/>
      <c r="AB243"/>
      <c r="AC243"/>
      <c r="AD243"/>
      <c r="AE243">
        <v>3.3429000000000002</v>
      </c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>
        <v>3.3942999999999999</v>
      </c>
      <c r="BO243"/>
      <c r="BP243"/>
      <c r="BQ243"/>
      <c r="BR243"/>
      <c r="BS243"/>
      <c r="BT243"/>
      <c r="BU243">
        <v>3.2119</v>
      </c>
      <c r="BV243"/>
      <c r="BW243"/>
      <c r="BX243"/>
      <c r="BY243"/>
      <c r="BZ243"/>
      <c r="CA243"/>
      <c r="CB243"/>
      <c r="CC243"/>
      <c r="CD243"/>
      <c r="CE243"/>
      <c r="CF243"/>
      <c r="CG243"/>
      <c r="CH243">
        <v>3.2915999999999999</v>
      </c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>
        <v>3.1476999999999999</v>
      </c>
      <c r="DE243">
        <v>3.4043000000000001</v>
      </c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>
        <v>3.3429000000000002</v>
      </c>
      <c r="EF243"/>
      <c r="EG243"/>
      <c r="EH243"/>
      <c r="EI243"/>
      <c r="EJ243"/>
      <c r="EK243"/>
      <c r="EL243"/>
      <c r="EM243"/>
      <c r="EN243">
        <v>3.3</v>
      </c>
      <c r="EO243"/>
      <c r="EP243"/>
      <c r="EQ243"/>
      <c r="ER243"/>
      <c r="ES243">
        <v>3.5897999999999999</v>
      </c>
      <c r="ET243"/>
      <c r="EU243"/>
      <c r="EV243"/>
    </row>
    <row r="244" spans="1:152" ht="15" x14ac:dyDescent="0.25">
      <c r="A244" s="1">
        <v>32724</v>
      </c>
      <c r="B244" s="1" t="str">
        <v>2019-12-26</v>
      </c>
      <c r="C244" s="1">
        <v>3.4636</v>
      </c>
      <c r="F244" s="8">
        <f t="shared" si="9"/>
        <v>32724</v>
      </c>
      <c r="G244" s="9">
        <f t="shared" si="10"/>
        <v>43825</v>
      </c>
      <c r="H244" s="10">
        <f t="shared" si="11"/>
        <v>3.4636</v>
      </c>
      <c r="U244" s="11">
        <v>44145</v>
      </c>
      <c r="V244">
        <v>3.2915000000000001</v>
      </c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>
        <v>3.1375000000000002</v>
      </c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>
        <v>3.4457</v>
      </c>
      <c r="CY244"/>
      <c r="CZ244"/>
      <c r="DA244"/>
      <c r="DB244">
        <v>3.4188000000000001</v>
      </c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</row>
    <row r="245" spans="1:152" ht="15" x14ac:dyDescent="0.25">
      <c r="A245" s="1">
        <v>32964</v>
      </c>
      <c r="B245" s="1" t="str">
        <v>2019-12-26</v>
      </c>
      <c r="C245" s="1">
        <v>3.5272999999999999</v>
      </c>
      <c r="F245" s="8">
        <f t="shared" si="9"/>
        <v>32964</v>
      </c>
      <c r="G245" s="9">
        <f t="shared" si="10"/>
        <v>43825</v>
      </c>
      <c r="H245" s="10">
        <f t="shared" si="11"/>
        <v>3.5272999999999999</v>
      </c>
      <c r="U245" s="11">
        <v>44146</v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>
        <v>3.4045999999999998</v>
      </c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>
        <v>3.2402000000000002</v>
      </c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</row>
    <row r="246" spans="1:152" ht="15" x14ac:dyDescent="0.25">
      <c r="A246" s="1">
        <v>68</v>
      </c>
      <c r="B246" s="1" t="str">
        <v>2019-12-27</v>
      </c>
      <c r="C246" s="1">
        <v>3.5041000000000002</v>
      </c>
      <c r="F246" s="8">
        <f t="shared" si="9"/>
        <v>68</v>
      </c>
      <c r="G246" s="9">
        <f t="shared" si="10"/>
        <v>43826</v>
      </c>
      <c r="H246" s="10">
        <f t="shared" si="11"/>
        <v>3.5041000000000002</v>
      </c>
      <c r="U246" s="11">
        <v>44147</v>
      </c>
      <c r="V246">
        <v>3.3944000000000001</v>
      </c>
      <c r="W246"/>
      <c r="X246"/>
      <c r="Y246">
        <v>3.4146999999999998</v>
      </c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>
        <v>3</v>
      </c>
      <c r="AU246"/>
      <c r="AV246"/>
      <c r="AW246"/>
      <c r="AX246"/>
      <c r="AY246"/>
      <c r="AZ246"/>
      <c r="BA246"/>
      <c r="BB246"/>
      <c r="BC246"/>
      <c r="BD246"/>
      <c r="BE246"/>
      <c r="BF246"/>
      <c r="BG246">
        <v>3.4971999999999999</v>
      </c>
      <c r="BH246"/>
      <c r="BI246"/>
      <c r="BJ246"/>
      <c r="BK246">
        <v>3.1072000000000002</v>
      </c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</row>
    <row r="247" spans="1:152" ht="15" x14ac:dyDescent="0.25">
      <c r="A247" s="1">
        <v>156</v>
      </c>
      <c r="B247" s="1" t="str">
        <v>2019-12-27</v>
      </c>
      <c r="C247" s="1">
        <v>3.7315</v>
      </c>
      <c r="F247" s="8">
        <f t="shared" si="9"/>
        <v>156</v>
      </c>
      <c r="G247" s="9">
        <f t="shared" si="10"/>
        <v>43826</v>
      </c>
      <c r="H247" s="10">
        <f t="shared" si="11"/>
        <v>3.7315</v>
      </c>
      <c r="U247" s="11">
        <v>44148</v>
      </c>
      <c r="V247"/>
      <c r="W247"/>
      <c r="X247">
        <v>3.5589</v>
      </c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>
        <v>3.5794999999999999</v>
      </c>
      <c r="AM247"/>
      <c r="AN247"/>
      <c r="AO247"/>
      <c r="AP247">
        <v>3.0348000000000002</v>
      </c>
      <c r="AQ247"/>
      <c r="AR247"/>
      <c r="AS247"/>
      <c r="AT247"/>
      <c r="AU247"/>
      <c r="AV247"/>
      <c r="AW247">
        <v>3.4148999999999998</v>
      </c>
      <c r="AX247"/>
      <c r="AY247">
        <v>3.1682999999999999</v>
      </c>
      <c r="AZ247"/>
      <c r="BA247"/>
      <c r="BB247"/>
      <c r="BC247"/>
      <c r="BD247"/>
      <c r="BE247"/>
      <c r="BF247"/>
      <c r="BG247">
        <v>3.4971999999999999</v>
      </c>
      <c r="BH247"/>
      <c r="BI247"/>
      <c r="BJ247"/>
      <c r="BK247">
        <v>3.3128000000000002</v>
      </c>
      <c r="BL247"/>
      <c r="BM247"/>
      <c r="BN247"/>
      <c r="BO247">
        <v>3.4458000000000002</v>
      </c>
      <c r="BP247"/>
      <c r="BQ247"/>
      <c r="BR247"/>
      <c r="BS247"/>
      <c r="BT247">
        <v>3.2608000000000001</v>
      </c>
      <c r="BU247"/>
      <c r="BV247">
        <v>3.3944000000000001</v>
      </c>
      <c r="BW247"/>
      <c r="BX247"/>
      <c r="BY247">
        <v>3.6720999999999999</v>
      </c>
      <c r="BZ247"/>
      <c r="CA247"/>
      <c r="CB247"/>
      <c r="CC247">
        <v>3.6206</v>
      </c>
      <c r="CD247"/>
      <c r="CE247"/>
      <c r="CF247"/>
      <c r="CG247"/>
      <c r="CH247"/>
      <c r="CI247"/>
      <c r="CJ247"/>
      <c r="CK247"/>
      <c r="CL247"/>
      <c r="CM247">
        <v>3.6307</v>
      </c>
      <c r="CN247"/>
      <c r="CO247"/>
      <c r="CP247"/>
      <c r="CQ247">
        <v>3.7172999999999998</v>
      </c>
      <c r="CR247"/>
      <c r="CS247"/>
      <c r="CT247">
        <v>3.4045000000000001</v>
      </c>
      <c r="CU247"/>
      <c r="CV247"/>
      <c r="CW247"/>
      <c r="CX247"/>
      <c r="CY247">
        <v>3.3327</v>
      </c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>
        <v>3.3532000000000002</v>
      </c>
      <c r="DS247"/>
      <c r="DT247"/>
      <c r="DU247"/>
      <c r="DV247"/>
      <c r="DW247"/>
      <c r="DX247"/>
      <c r="DY247"/>
      <c r="DZ247"/>
      <c r="EA247">
        <v>3.2298</v>
      </c>
      <c r="EB247"/>
      <c r="EC247"/>
      <c r="ED247"/>
      <c r="EE247"/>
      <c r="EF247"/>
      <c r="EG247"/>
      <c r="EH247"/>
      <c r="EI247">
        <v>3.3877999999999999</v>
      </c>
      <c r="EJ247"/>
      <c r="EK247"/>
      <c r="EL247"/>
      <c r="EM247"/>
      <c r="EN247"/>
      <c r="EO247"/>
      <c r="EP247"/>
      <c r="EQ247">
        <v>3.4519000000000002</v>
      </c>
      <c r="ER247"/>
      <c r="ES247"/>
      <c r="ET247"/>
      <c r="EU247"/>
      <c r="EV247"/>
    </row>
    <row r="248" spans="1:152" ht="15" x14ac:dyDescent="0.25">
      <c r="A248" s="1">
        <v>13250</v>
      </c>
      <c r="B248" s="1" t="str">
        <v>2019-12-27</v>
      </c>
      <c r="C248" s="1">
        <v>2.7945000000000002</v>
      </c>
      <c r="F248" s="8">
        <f t="shared" si="9"/>
        <v>13250</v>
      </c>
      <c r="G248" s="9">
        <f t="shared" si="10"/>
        <v>43826</v>
      </c>
      <c r="H248" s="10">
        <f t="shared" si="11"/>
        <v>2.7945000000000002</v>
      </c>
      <c r="U248" s="11">
        <v>44151</v>
      </c>
      <c r="V248"/>
      <c r="W248"/>
      <c r="X248"/>
      <c r="Y248"/>
      <c r="Z248"/>
      <c r="AA248"/>
      <c r="AB248"/>
      <c r="AC248"/>
      <c r="AD248"/>
      <c r="AE248">
        <v>3.4457</v>
      </c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>
        <v>3.3532000000000002</v>
      </c>
      <c r="BE248"/>
      <c r="BF248"/>
      <c r="BG248"/>
      <c r="BH248"/>
      <c r="BI248"/>
      <c r="BJ248"/>
      <c r="BK248"/>
      <c r="BL248">
        <v>3.2915999999999999</v>
      </c>
      <c r="BM248"/>
      <c r="BN248"/>
      <c r="BO248"/>
      <c r="BP248"/>
      <c r="BQ248"/>
      <c r="BR248"/>
      <c r="BS248"/>
      <c r="BT248"/>
      <c r="BU248">
        <v>3.5516000000000001</v>
      </c>
      <c r="BV248"/>
      <c r="BW248">
        <v>3.5792999999999999</v>
      </c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>
        <v>3.5691000000000002</v>
      </c>
      <c r="CT248"/>
      <c r="CU248"/>
      <c r="CV248"/>
      <c r="CW248"/>
      <c r="CX248"/>
      <c r="CY248"/>
      <c r="CZ248"/>
      <c r="DA248">
        <v>3.1888000000000001</v>
      </c>
      <c r="DB248"/>
      <c r="DC248">
        <v>3.3771</v>
      </c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>
        <v>3.5381999999999998</v>
      </c>
      <c r="EN248"/>
      <c r="EO248"/>
      <c r="EP248"/>
      <c r="EQ248"/>
      <c r="ER248"/>
      <c r="ES248"/>
      <c r="ET248"/>
      <c r="EU248"/>
      <c r="EV248"/>
    </row>
    <row r="249" spans="1:152" ht="15" x14ac:dyDescent="0.25">
      <c r="A249" s="1">
        <v>16</v>
      </c>
      <c r="B249" s="1" t="str">
        <v>2019-12-27</v>
      </c>
      <c r="C249" s="1">
        <v>3.39</v>
      </c>
      <c r="F249" s="8">
        <f t="shared" si="9"/>
        <v>16</v>
      </c>
      <c r="G249" s="9">
        <f t="shared" si="10"/>
        <v>43826</v>
      </c>
      <c r="H249" s="10">
        <f t="shared" si="11"/>
        <v>3.39</v>
      </c>
      <c r="U249" s="11">
        <v>44152</v>
      </c>
      <c r="V249"/>
      <c r="W249"/>
      <c r="X249"/>
      <c r="Y249"/>
      <c r="Z249"/>
      <c r="AA249"/>
      <c r="AB249"/>
      <c r="AC249"/>
      <c r="AD249"/>
      <c r="AE249"/>
      <c r="AF249"/>
      <c r="AG249"/>
      <c r="AH249">
        <v>3.5383</v>
      </c>
      <c r="AI249"/>
      <c r="AJ249"/>
      <c r="AK249">
        <v>3.5177</v>
      </c>
      <c r="AL249"/>
      <c r="AM249"/>
      <c r="AN249"/>
      <c r="AO249"/>
      <c r="AP249"/>
      <c r="AQ249"/>
      <c r="AR249"/>
      <c r="AS249"/>
      <c r="AT249"/>
      <c r="AU249"/>
      <c r="AV249">
        <v>3.0859000000000001</v>
      </c>
      <c r="AW249"/>
      <c r="AX249"/>
      <c r="AY249"/>
      <c r="AZ249"/>
      <c r="BA249"/>
      <c r="BB249"/>
      <c r="BC249"/>
      <c r="BD249"/>
      <c r="BE249"/>
      <c r="BF249"/>
      <c r="BG249"/>
      <c r="BH249">
        <v>3.6412</v>
      </c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>
        <v>3.5691999999999999</v>
      </c>
      <c r="CO249"/>
      <c r="CP249"/>
      <c r="CQ249"/>
      <c r="CR249"/>
      <c r="CS249"/>
      <c r="CT249">
        <v>3.5177</v>
      </c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>
        <v>3.3121</v>
      </c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</row>
    <row r="250" spans="1:152" ht="15" x14ac:dyDescent="0.25">
      <c r="A250" s="1">
        <v>33043</v>
      </c>
      <c r="B250" s="1" t="str">
        <v>2019-12-27</v>
      </c>
      <c r="C250" s="1">
        <v>3.4319999999999999</v>
      </c>
      <c r="F250" s="8">
        <f t="shared" si="9"/>
        <v>33043</v>
      </c>
      <c r="G250" s="9">
        <f t="shared" si="10"/>
        <v>43826</v>
      </c>
      <c r="H250" s="10">
        <f t="shared" si="11"/>
        <v>3.4319999999999999</v>
      </c>
      <c r="U250" s="11">
        <v>44153</v>
      </c>
      <c r="V250"/>
      <c r="W250">
        <v>3.3018000000000001</v>
      </c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>
        <v>3.5589</v>
      </c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>
        <v>3.6309</v>
      </c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>
        <v>3.6926000000000001</v>
      </c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</row>
    <row r="251" spans="1:152" ht="15" x14ac:dyDescent="0.25">
      <c r="A251" s="1">
        <v>1</v>
      </c>
      <c r="B251" s="1" t="str">
        <v>2019-12-27</v>
      </c>
      <c r="C251" s="1">
        <v>3.6080000000000001</v>
      </c>
      <c r="F251" s="8">
        <f t="shared" si="9"/>
        <v>1</v>
      </c>
      <c r="G251" s="9">
        <f t="shared" si="10"/>
        <v>43826</v>
      </c>
      <c r="H251" s="10">
        <f t="shared" si="11"/>
        <v>3.6080000000000001</v>
      </c>
      <c r="U251" s="11">
        <v>44154</v>
      </c>
      <c r="V251"/>
      <c r="W251"/>
      <c r="X251"/>
      <c r="Y251"/>
      <c r="Z251"/>
      <c r="AA251"/>
      <c r="AB251"/>
      <c r="AC251"/>
      <c r="AD251"/>
      <c r="AE251">
        <v>3.4457</v>
      </c>
      <c r="AF251"/>
      <c r="AG251">
        <v>3.5486</v>
      </c>
      <c r="AH251"/>
      <c r="AI251"/>
      <c r="AJ251"/>
      <c r="AK251">
        <v>3.5383</v>
      </c>
      <c r="AL251"/>
      <c r="AM251">
        <v>3.5486</v>
      </c>
      <c r="AN251"/>
      <c r="AO251"/>
      <c r="AP251"/>
      <c r="AQ251">
        <v>3.2915000000000001</v>
      </c>
      <c r="AR251"/>
      <c r="AS251">
        <v>3.4765000000000001</v>
      </c>
      <c r="AT251">
        <v>3.5</v>
      </c>
      <c r="AU251"/>
      <c r="AV251"/>
      <c r="AW251"/>
      <c r="AX251"/>
      <c r="AY251"/>
      <c r="AZ251"/>
      <c r="BA251"/>
      <c r="BB251"/>
      <c r="BC251"/>
      <c r="BD251"/>
      <c r="BE251">
        <v>3.6103999999999998</v>
      </c>
      <c r="BF251"/>
      <c r="BG251"/>
      <c r="BH251"/>
      <c r="BI251"/>
      <c r="BJ251"/>
      <c r="BK251">
        <v>3.4032</v>
      </c>
      <c r="BL251"/>
      <c r="BM251"/>
      <c r="BN251"/>
      <c r="BO251"/>
      <c r="BP251"/>
      <c r="BQ251"/>
      <c r="BR251"/>
      <c r="BS251">
        <v>3.3121</v>
      </c>
      <c r="BT251"/>
      <c r="BU251"/>
      <c r="BV251"/>
      <c r="BW251"/>
      <c r="BX251"/>
      <c r="BY251"/>
      <c r="BZ251"/>
      <c r="CA251"/>
      <c r="CB251">
        <v>3.4148999999999998</v>
      </c>
      <c r="CC251"/>
      <c r="CD251"/>
      <c r="CE251"/>
      <c r="CF251"/>
      <c r="CG251"/>
      <c r="CH251"/>
      <c r="CI251"/>
      <c r="CJ251">
        <v>3.4971999999999999</v>
      </c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>
        <v>3.1888000000000001</v>
      </c>
      <c r="DB251"/>
      <c r="DC251"/>
      <c r="DD251"/>
      <c r="DE251"/>
      <c r="DF251"/>
      <c r="DG251"/>
      <c r="DH251"/>
      <c r="DI251"/>
      <c r="DJ251"/>
      <c r="DK251"/>
      <c r="DL251"/>
      <c r="DM251">
        <v>3.2606999999999999</v>
      </c>
      <c r="DN251"/>
      <c r="DO251"/>
      <c r="DP251"/>
      <c r="DQ251"/>
      <c r="DR251"/>
      <c r="DS251">
        <v>3.5794999999999999</v>
      </c>
      <c r="DT251"/>
      <c r="DU251"/>
      <c r="DV251"/>
      <c r="DW251"/>
      <c r="DX251">
        <v>3.6206</v>
      </c>
      <c r="DY251"/>
      <c r="DZ251">
        <v>3.4354</v>
      </c>
      <c r="EA251">
        <v>3.3018000000000001</v>
      </c>
      <c r="EB251"/>
      <c r="EC251"/>
      <c r="ED251"/>
      <c r="EE251"/>
      <c r="EF251"/>
      <c r="EG251"/>
      <c r="EH251"/>
      <c r="EI251"/>
      <c r="EJ251"/>
      <c r="EK251">
        <v>3.5383</v>
      </c>
      <c r="EL251"/>
      <c r="EM251"/>
      <c r="EN251"/>
      <c r="EO251"/>
      <c r="EP251"/>
      <c r="EQ251"/>
      <c r="ER251"/>
      <c r="ES251">
        <v>3.6617999999999999</v>
      </c>
      <c r="ET251"/>
      <c r="EU251"/>
      <c r="EV251"/>
    </row>
    <row r="252" spans="1:152" ht="15" x14ac:dyDescent="0.25">
      <c r="A252" s="1">
        <v>150</v>
      </c>
      <c r="B252" s="1" t="str">
        <v>2019-12-27</v>
      </c>
      <c r="C252" s="1">
        <v>3.8315000000000001</v>
      </c>
      <c r="F252" s="8">
        <f t="shared" si="9"/>
        <v>150</v>
      </c>
      <c r="G252" s="9">
        <f t="shared" si="10"/>
        <v>43826</v>
      </c>
      <c r="H252" s="10">
        <f t="shared" si="11"/>
        <v>3.8315000000000001</v>
      </c>
      <c r="U252" s="11">
        <v>44155</v>
      </c>
      <c r="V252">
        <v>3.4355000000000002</v>
      </c>
      <c r="W252"/>
      <c r="X252">
        <v>3.5794999999999999</v>
      </c>
      <c r="Y252">
        <v>3.4146999999999998</v>
      </c>
      <c r="Z252">
        <v>3.4457</v>
      </c>
      <c r="AA252">
        <v>3.5383</v>
      </c>
      <c r="AB252">
        <v>3.3429000000000002</v>
      </c>
      <c r="AC252">
        <v>3.5383</v>
      </c>
      <c r="AD252">
        <v>3.5589</v>
      </c>
      <c r="AE252"/>
      <c r="AF252">
        <v>3.4971000000000001</v>
      </c>
      <c r="AG252">
        <v>3.5486</v>
      </c>
      <c r="AH252"/>
      <c r="AI252">
        <v>3.528</v>
      </c>
      <c r="AJ252">
        <v>3.5794999999999999</v>
      </c>
      <c r="AK252"/>
      <c r="AL252">
        <v>3.5794999999999999</v>
      </c>
      <c r="AM252"/>
      <c r="AN252"/>
      <c r="AO252">
        <v>3.528</v>
      </c>
      <c r="AP252">
        <v>3.2709999999999999</v>
      </c>
      <c r="AQ252"/>
      <c r="AR252"/>
      <c r="AS252">
        <v>3.4765000000000001</v>
      </c>
      <c r="AT252"/>
      <c r="AU252"/>
      <c r="AV252"/>
      <c r="AW252"/>
      <c r="AX252">
        <v>3.5691999999999999</v>
      </c>
      <c r="AY252"/>
      <c r="AZ252">
        <v>3.5794999999999999</v>
      </c>
      <c r="BA252">
        <v>3.4045999999999998</v>
      </c>
      <c r="BB252"/>
      <c r="BC252"/>
      <c r="BD252"/>
      <c r="BE252">
        <v>3.6103999999999998</v>
      </c>
      <c r="BF252">
        <v>3.4971999999999999</v>
      </c>
      <c r="BG252">
        <v>3.5794999999999999</v>
      </c>
      <c r="BH252">
        <v>3.6412</v>
      </c>
      <c r="BI252">
        <v>3.5486</v>
      </c>
      <c r="BJ252"/>
      <c r="BK252">
        <v>3.4032</v>
      </c>
      <c r="BL252"/>
      <c r="BM252"/>
      <c r="BN252"/>
      <c r="BO252">
        <v>3.5486</v>
      </c>
      <c r="BP252"/>
      <c r="BQ252"/>
      <c r="BR252"/>
      <c r="BS252"/>
      <c r="BT252"/>
      <c r="BU252"/>
      <c r="BV252"/>
      <c r="BW252"/>
      <c r="BX252"/>
      <c r="BY252">
        <v>3.7544</v>
      </c>
      <c r="BZ252">
        <v>3.4148999999999998</v>
      </c>
      <c r="CA252">
        <v>3.6309</v>
      </c>
      <c r="CB252"/>
      <c r="CC252">
        <v>3.7544</v>
      </c>
      <c r="CD252">
        <v>3.528</v>
      </c>
      <c r="CE252"/>
      <c r="CF252">
        <v>3.2812999999999999</v>
      </c>
      <c r="CG252"/>
      <c r="CH252"/>
      <c r="CI252">
        <v>3.6617999999999999</v>
      </c>
      <c r="CJ252"/>
      <c r="CK252"/>
      <c r="CL252">
        <v>3.6766000000000001</v>
      </c>
      <c r="CM252"/>
      <c r="CN252">
        <v>3.6412</v>
      </c>
      <c r="CO252"/>
      <c r="CP252">
        <v>3.8778000000000001</v>
      </c>
      <c r="CQ252"/>
      <c r="CR252"/>
      <c r="CS252"/>
      <c r="CT252">
        <v>3.4868000000000001</v>
      </c>
      <c r="CU252"/>
      <c r="CV252"/>
      <c r="CW252">
        <v>3.4458000000000002</v>
      </c>
      <c r="CX252">
        <v>3.4971999999999999</v>
      </c>
      <c r="CY252"/>
      <c r="CZ252"/>
      <c r="DA252"/>
      <c r="DB252"/>
      <c r="DC252"/>
      <c r="DD252"/>
      <c r="DE252"/>
      <c r="DF252"/>
      <c r="DG252">
        <v>3.5794000000000001</v>
      </c>
      <c r="DH252">
        <v>3.528</v>
      </c>
      <c r="DI252">
        <v>2.7988</v>
      </c>
      <c r="DJ252"/>
      <c r="DK252">
        <v>3.6926999999999999</v>
      </c>
      <c r="DL252">
        <v>3.4971000000000001</v>
      </c>
      <c r="DM252"/>
      <c r="DN252"/>
      <c r="DO252"/>
      <c r="DP252"/>
      <c r="DQ252"/>
      <c r="DR252"/>
      <c r="DS252">
        <v>3.5794999999999999</v>
      </c>
      <c r="DT252">
        <v>3.528</v>
      </c>
      <c r="DU252"/>
      <c r="DV252"/>
      <c r="DW252"/>
      <c r="DX252"/>
      <c r="DY252"/>
      <c r="DZ252"/>
      <c r="EA252">
        <v>3.3121</v>
      </c>
      <c r="EB252"/>
      <c r="EC252"/>
      <c r="ED252">
        <v>3.5484</v>
      </c>
      <c r="EE252"/>
      <c r="EF252"/>
      <c r="EG252"/>
      <c r="EH252"/>
      <c r="EI252">
        <v>3.5583999999999998</v>
      </c>
      <c r="EJ252"/>
      <c r="EK252"/>
      <c r="EL252">
        <v>3.6103999999999998</v>
      </c>
      <c r="EM252">
        <v>3.5589</v>
      </c>
      <c r="EN252"/>
      <c r="EO252"/>
      <c r="EP252">
        <v>3.5203000000000002</v>
      </c>
      <c r="EQ252"/>
      <c r="ER252"/>
      <c r="ES252">
        <v>3.6720999999999999</v>
      </c>
      <c r="ET252"/>
      <c r="EU252"/>
      <c r="EV252"/>
    </row>
    <row r="253" spans="1:152" ht="15" x14ac:dyDescent="0.25">
      <c r="A253" s="1">
        <v>187</v>
      </c>
      <c r="B253" s="1" t="str">
        <v>2019-12-27</v>
      </c>
      <c r="C253" s="1">
        <v>3.8866000000000001</v>
      </c>
      <c r="F253" s="8">
        <f t="shared" si="9"/>
        <v>187</v>
      </c>
      <c r="G253" s="9">
        <f t="shared" si="10"/>
        <v>43826</v>
      </c>
      <c r="H253" s="10">
        <f t="shared" si="11"/>
        <v>3.8866000000000001</v>
      </c>
      <c r="U253" s="11">
        <v>44158</v>
      </c>
      <c r="V253"/>
      <c r="W253">
        <v>3.5794999999999999</v>
      </c>
      <c r="X253"/>
      <c r="Y253"/>
      <c r="Z253"/>
      <c r="AA253"/>
      <c r="AB253"/>
      <c r="AC253"/>
      <c r="AD253"/>
      <c r="AE253">
        <v>3.4971999999999999</v>
      </c>
      <c r="AF253"/>
      <c r="AG253"/>
      <c r="AH253"/>
      <c r="AI253"/>
      <c r="AJ253"/>
      <c r="AK253"/>
      <c r="AL253"/>
      <c r="AM253"/>
      <c r="AN253">
        <v>3.4045999999999998</v>
      </c>
      <c r="AO253"/>
      <c r="AP253"/>
      <c r="AQ253"/>
      <c r="AR253"/>
      <c r="AS253"/>
      <c r="AT253"/>
      <c r="AU253"/>
      <c r="AV253">
        <v>3.2915000000000001</v>
      </c>
      <c r="AW253"/>
      <c r="AX253"/>
      <c r="AY253"/>
      <c r="AZ253"/>
      <c r="BA253"/>
      <c r="BB253"/>
      <c r="BC253"/>
      <c r="BD253">
        <v>3.5074000000000001</v>
      </c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>
        <v>3.6335000000000002</v>
      </c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>
        <v>3.3944000000000001</v>
      </c>
      <c r="CL253"/>
      <c r="CM253">
        <v>3.6597</v>
      </c>
      <c r="CN253"/>
      <c r="CO253">
        <v>3.5897999999999999</v>
      </c>
      <c r="CP253"/>
      <c r="CQ253"/>
      <c r="CR253"/>
      <c r="CS253"/>
      <c r="CT253"/>
      <c r="CU253"/>
      <c r="CV253"/>
      <c r="CW253"/>
      <c r="CX253">
        <v>3.4971999999999999</v>
      </c>
      <c r="CY253"/>
      <c r="CZ253"/>
      <c r="DA253"/>
      <c r="DB253">
        <v>3.4918999999999998</v>
      </c>
      <c r="DC253">
        <v>3.6162000000000001</v>
      </c>
      <c r="DD253"/>
      <c r="DE253"/>
      <c r="DF253"/>
      <c r="DG253"/>
      <c r="DH253"/>
      <c r="DI253"/>
      <c r="DJ253">
        <v>3.4868999999999999</v>
      </c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>
        <v>3.8879000000000001</v>
      </c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>
        <v>3.3426999999999998</v>
      </c>
      <c r="ES253"/>
      <c r="ET253"/>
      <c r="EU253"/>
      <c r="EV253"/>
    </row>
    <row r="254" spans="1:152" ht="15" x14ac:dyDescent="0.25">
      <c r="A254" s="1">
        <v>133</v>
      </c>
      <c r="B254" s="1" t="str">
        <v>2019-12-27</v>
      </c>
      <c r="C254" s="1">
        <v>3.7</v>
      </c>
      <c r="F254" s="8">
        <f t="shared" si="9"/>
        <v>133</v>
      </c>
      <c r="G254" s="9">
        <f t="shared" si="10"/>
        <v>43826</v>
      </c>
      <c r="H254" s="10">
        <f t="shared" si="11"/>
        <v>3.7</v>
      </c>
      <c r="U254" s="11">
        <v>44159</v>
      </c>
      <c r="V254"/>
      <c r="W254"/>
      <c r="X254"/>
      <c r="Y254"/>
      <c r="Z254"/>
      <c r="AA254"/>
      <c r="AB254"/>
      <c r="AC254"/>
      <c r="AD254"/>
      <c r="AE254"/>
      <c r="AF254">
        <v>3.806</v>
      </c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>
        <v>4.0018000000000002</v>
      </c>
      <c r="BK254"/>
      <c r="BL254"/>
      <c r="BM254"/>
      <c r="BN254"/>
      <c r="BO254"/>
      <c r="BP254"/>
      <c r="BQ254"/>
      <c r="BR254"/>
      <c r="BS254"/>
      <c r="BT254"/>
      <c r="BU254"/>
      <c r="BV254"/>
      <c r="BW254">
        <v>3.7442000000000002</v>
      </c>
      <c r="BX254"/>
      <c r="BY254">
        <v>3.7852999999999999</v>
      </c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>
        <v>3.9192999999999998</v>
      </c>
      <c r="CO254">
        <v>3.7751000000000001</v>
      </c>
      <c r="CP254"/>
      <c r="CQ254"/>
      <c r="CR254"/>
      <c r="CS254"/>
      <c r="CT254"/>
      <c r="CU254"/>
      <c r="CV254"/>
      <c r="CW254"/>
      <c r="CX254"/>
      <c r="CY254"/>
      <c r="CZ254">
        <v>3.7235999999999998</v>
      </c>
      <c r="DA254"/>
      <c r="DB254">
        <v>3.6051000000000002</v>
      </c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>
        <v>3.4923999999999999</v>
      </c>
      <c r="EC254"/>
      <c r="ED254"/>
      <c r="EE254"/>
      <c r="EF254"/>
      <c r="EG254"/>
      <c r="EH254"/>
      <c r="EI254">
        <v>3.7126999999999999</v>
      </c>
      <c r="EJ254"/>
      <c r="EK254"/>
      <c r="EL254"/>
      <c r="EM254"/>
      <c r="EN254"/>
      <c r="EO254"/>
      <c r="EP254"/>
      <c r="EQ254"/>
      <c r="ER254"/>
      <c r="ES254"/>
      <c r="ET254"/>
      <c r="EU254"/>
      <c r="EV254"/>
    </row>
    <row r="255" spans="1:152" ht="15" x14ac:dyDescent="0.25">
      <c r="A255" s="1">
        <v>32724</v>
      </c>
      <c r="B255" s="1" t="str">
        <v>2019-12-27</v>
      </c>
      <c r="C255" s="1">
        <v>3.4842</v>
      </c>
      <c r="F255" s="8">
        <f t="shared" si="9"/>
        <v>32724</v>
      </c>
      <c r="G255" s="9">
        <f t="shared" si="10"/>
        <v>43826</v>
      </c>
      <c r="H255" s="10">
        <f t="shared" si="11"/>
        <v>3.4842</v>
      </c>
      <c r="U255" s="11">
        <v>44160</v>
      </c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>
        <v>3.5072999999999999</v>
      </c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>
        <v>3.8369</v>
      </c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</row>
    <row r="256" spans="1:152" ht="15" x14ac:dyDescent="0.25">
      <c r="A256" s="1">
        <v>32401</v>
      </c>
      <c r="B256" s="1" t="str">
        <v>2019-12-27</v>
      </c>
      <c r="C256" s="1">
        <v>4.2286999999999999</v>
      </c>
      <c r="F256" s="8">
        <f t="shared" si="9"/>
        <v>32401</v>
      </c>
      <c r="G256" s="9">
        <f t="shared" si="10"/>
        <v>43826</v>
      </c>
      <c r="H256" s="10">
        <f t="shared" si="11"/>
        <v>4.2286999999999999</v>
      </c>
      <c r="U256" s="11">
        <v>44161</v>
      </c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>
        <v>3.3942000000000001</v>
      </c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>
        <v>3.4710000000000001</v>
      </c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</row>
    <row r="257" spans="1:152" ht="15" x14ac:dyDescent="0.25">
      <c r="A257" s="1">
        <v>10</v>
      </c>
      <c r="B257" s="1" t="str">
        <v>2019-12-27</v>
      </c>
      <c r="C257" s="1">
        <v>3.4013</v>
      </c>
      <c r="F257" s="8">
        <f t="shared" si="9"/>
        <v>10</v>
      </c>
      <c r="G257" s="9">
        <f t="shared" si="10"/>
        <v>43826</v>
      </c>
      <c r="H257" s="10">
        <f t="shared" si="11"/>
        <v>3.4013</v>
      </c>
      <c r="U257" s="11">
        <v>44162</v>
      </c>
      <c r="V257"/>
      <c r="W257"/>
      <c r="X257">
        <v>3.9502000000000002</v>
      </c>
      <c r="Y257">
        <v>3.4146999999999998</v>
      </c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>
        <v>3.2709999999999999</v>
      </c>
      <c r="AQ257"/>
      <c r="AR257"/>
      <c r="AS257"/>
      <c r="AT257"/>
      <c r="AU257"/>
      <c r="AV257"/>
      <c r="AW257">
        <v>3.9089999999999998</v>
      </c>
      <c r="AX257"/>
      <c r="AY257"/>
      <c r="AZ257"/>
      <c r="BA257"/>
      <c r="BB257"/>
      <c r="BC257">
        <v>3.6412</v>
      </c>
      <c r="BD257">
        <v>3.7751000000000001</v>
      </c>
      <c r="BE257"/>
      <c r="BF257"/>
      <c r="BG257">
        <v>3.7545000000000002</v>
      </c>
      <c r="BH257"/>
      <c r="BI257"/>
      <c r="BJ257"/>
      <c r="BK257">
        <v>3.4710000000000001</v>
      </c>
      <c r="BL257"/>
      <c r="BM257">
        <v>3.5485000000000002</v>
      </c>
      <c r="BN257">
        <v>3.6514000000000002</v>
      </c>
      <c r="BO257">
        <v>3.8677999999999999</v>
      </c>
      <c r="BP257"/>
      <c r="BQ257"/>
      <c r="BR257"/>
      <c r="BS257"/>
      <c r="BT257"/>
      <c r="BU257"/>
      <c r="BV257"/>
      <c r="BW257"/>
      <c r="BX257"/>
      <c r="BY257">
        <v>3.7852999999999999</v>
      </c>
      <c r="BZ257"/>
      <c r="CA257"/>
      <c r="CB257"/>
      <c r="CC257"/>
      <c r="CD257"/>
      <c r="CE257">
        <v>3.5</v>
      </c>
      <c r="CF257">
        <v>3.8058999999999998</v>
      </c>
      <c r="CG257"/>
      <c r="CH257"/>
      <c r="CI257"/>
      <c r="CJ257"/>
      <c r="CK257"/>
      <c r="CL257"/>
      <c r="CM257"/>
      <c r="CN257"/>
      <c r="CO257">
        <v>3.7957000000000001</v>
      </c>
      <c r="CP257"/>
      <c r="CQ257">
        <v>3.7172999999999998</v>
      </c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>
        <v>3.8883000000000001</v>
      </c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>
        <v>3.5185</v>
      </c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</row>
    <row r="258" spans="1:152" ht="15" x14ac:dyDescent="0.25">
      <c r="A258" s="1">
        <v>171</v>
      </c>
      <c r="B258" s="1" t="str">
        <v>2019-12-27</v>
      </c>
      <c r="C258" s="1">
        <v>3.5661</v>
      </c>
      <c r="F258" s="8">
        <f t="shared" si="9"/>
        <v>171</v>
      </c>
      <c r="G258" s="9">
        <f t="shared" si="10"/>
        <v>43826</v>
      </c>
      <c r="H258" s="10">
        <f t="shared" si="11"/>
        <v>3.5661</v>
      </c>
      <c r="U258" s="11">
        <v>44165</v>
      </c>
      <c r="V258"/>
      <c r="W258"/>
      <c r="X258"/>
      <c r="Y258"/>
      <c r="Z258"/>
      <c r="AA258"/>
      <c r="AB258"/>
      <c r="AC258"/>
      <c r="AD258"/>
      <c r="AE258">
        <v>3.7339000000000002</v>
      </c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>
        <v>4.0224000000000002</v>
      </c>
      <c r="BK258"/>
      <c r="BL258"/>
      <c r="BM258"/>
      <c r="BN258"/>
      <c r="BO258"/>
      <c r="BP258"/>
      <c r="BQ258"/>
      <c r="BR258"/>
      <c r="BS258"/>
      <c r="BT258"/>
      <c r="BU258">
        <v>3.8573</v>
      </c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>
        <v>3.8369</v>
      </c>
      <c r="CS258"/>
      <c r="CT258"/>
      <c r="CU258"/>
      <c r="CV258"/>
      <c r="CW258"/>
      <c r="CX258"/>
      <c r="CY258"/>
      <c r="CZ258">
        <v>3.8472</v>
      </c>
      <c r="DA258"/>
      <c r="DB258"/>
      <c r="DC258">
        <v>3.661</v>
      </c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>
        <v>3.7852999999999999</v>
      </c>
      <c r="DX258"/>
      <c r="DY258"/>
      <c r="DZ258"/>
      <c r="EA258"/>
      <c r="EB258"/>
      <c r="EC258"/>
      <c r="ED258"/>
      <c r="EE258">
        <v>3.8574999999999999</v>
      </c>
      <c r="EF258"/>
      <c r="EG258"/>
      <c r="EH258"/>
      <c r="EI258">
        <v>3.7936000000000001</v>
      </c>
      <c r="EJ258"/>
      <c r="EK258"/>
      <c r="EL258"/>
      <c r="EM258"/>
      <c r="EN258"/>
      <c r="EO258"/>
      <c r="EP258"/>
      <c r="EQ258"/>
      <c r="ER258"/>
      <c r="ES258"/>
      <c r="ET258"/>
      <c r="EU258"/>
      <c r="EV258"/>
    </row>
    <row r="259" spans="1:152" ht="15" x14ac:dyDescent="0.25">
      <c r="A259" s="1">
        <v>33103</v>
      </c>
      <c r="B259" s="1" t="str">
        <v>2019-12-30</v>
      </c>
      <c r="C259" s="1">
        <v>4.0252999999999997</v>
      </c>
      <c r="F259" s="8">
        <f t="shared" si="9"/>
        <v>33103</v>
      </c>
      <c r="G259" s="9">
        <f t="shared" si="10"/>
        <v>43829</v>
      </c>
      <c r="H259" s="10">
        <f t="shared" si="11"/>
        <v>4.0252999999999997</v>
      </c>
      <c r="U259" s="11">
        <v>44196</v>
      </c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>
        <v>4</v>
      </c>
      <c r="EU259"/>
      <c r="EV259">
        <v>4.5199999999999996</v>
      </c>
    </row>
    <row r="260" spans="1:152" ht="15" x14ac:dyDescent="0.25">
      <c r="A260" s="1">
        <v>49</v>
      </c>
      <c r="B260" s="1" t="str">
        <v>2019-12-30</v>
      </c>
      <c r="C260" s="1">
        <v>3.6168</v>
      </c>
      <c r="F260" s="8">
        <f t="shared" si="9"/>
        <v>49</v>
      </c>
      <c r="G260" s="9">
        <f t="shared" si="10"/>
        <v>43829</v>
      </c>
      <c r="H260" s="10">
        <f t="shared" si="11"/>
        <v>3.6168</v>
      </c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</row>
    <row r="261" spans="1:152" x14ac:dyDescent="0.2">
      <c r="A261" s="1">
        <v>32082</v>
      </c>
      <c r="B261" s="1" t="str">
        <v>2019-12-30</v>
      </c>
      <c r="C261" s="1">
        <v>3.5956999999999999</v>
      </c>
      <c r="F261" s="8">
        <f t="shared" si="9"/>
        <v>32082</v>
      </c>
      <c r="G261" s="9">
        <f t="shared" si="10"/>
        <v>43829</v>
      </c>
      <c r="H261" s="10">
        <f t="shared" si="11"/>
        <v>3.5956999999999999</v>
      </c>
    </row>
    <row r="262" spans="1:152" x14ac:dyDescent="0.2">
      <c r="A262" s="1">
        <v>90</v>
      </c>
      <c r="B262" s="1" t="str">
        <v>2019-12-30</v>
      </c>
      <c r="C262" s="1">
        <v>3.5047000000000001</v>
      </c>
      <c r="F262" s="8">
        <f t="shared" si="9"/>
        <v>90</v>
      </c>
      <c r="G262" s="9">
        <f t="shared" si="10"/>
        <v>43829</v>
      </c>
      <c r="H262" s="10">
        <f t="shared" si="11"/>
        <v>3.5047000000000001</v>
      </c>
    </row>
    <row r="263" spans="1:152" x14ac:dyDescent="0.2">
      <c r="A263" s="1">
        <v>117</v>
      </c>
      <c r="B263" s="1" t="str">
        <v>2019-12-30</v>
      </c>
      <c r="C263" s="1">
        <v>3.6076999999999999</v>
      </c>
      <c r="F263" s="8">
        <f t="shared" si="9"/>
        <v>117</v>
      </c>
      <c r="G263" s="9">
        <f t="shared" si="10"/>
        <v>43829</v>
      </c>
      <c r="H263" s="10">
        <f t="shared" si="11"/>
        <v>3.6076999999999999</v>
      </c>
    </row>
    <row r="264" spans="1:152" x14ac:dyDescent="0.2">
      <c r="A264" s="1">
        <v>28</v>
      </c>
      <c r="B264" s="1" t="str">
        <v>2019-12-30</v>
      </c>
      <c r="C264" s="1">
        <v>3.5042</v>
      </c>
      <c r="F264" s="8">
        <f t="shared" si="9"/>
        <v>28</v>
      </c>
      <c r="G264" s="9">
        <f t="shared" si="10"/>
        <v>43829</v>
      </c>
      <c r="H264" s="10">
        <f t="shared" si="11"/>
        <v>3.5042</v>
      </c>
    </row>
    <row r="265" spans="1:152" x14ac:dyDescent="0.2">
      <c r="A265" s="1">
        <v>32421</v>
      </c>
      <c r="B265" s="1" t="str">
        <v>2019-12-30</v>
      </c>
      <c r="C265" s="1">
        <v>3.6817000000000002</v>
      </c>
      <c r="F265" s="8">
        <f t="shared" ref="F265:F328" si="12">A265</f>
        <v>32421</v>
      </c>
      <c r="G265" s="9">
        <f t="shared" ref="G265:G328" si="13">DATE(LEFT(B265,4),MID(B265,6,2),RIGHT(B265,2))</f>
        <v>43829</v>
      </c>
      <c r="H265" s="10">
        <f t="shared" ref="H265:H328" si="14">C265</f>
        <v>3.6817000000000002</v>
      </c>
    </row>
    <row r="266" spans="1:152" x14ac:dyDescent="0.2">
      <c r="A266" s="1">
        <v>32340</v>
      </c>
      <c r="B266" s="1" t="str">
        <v>2019-12-31</v>
      </c>
      <c r="C266" s="1">
        <v>3.5047000000000001</v>
      </c>
      <c r="F266" s="8">
        <f t="shared" si="12"/>
        <v>32340</v>
      </c>
      <c r="G266" s="9">
        <f t="shared" si="13"/>
        <v>43830</v>
      </c>
      <c r="H266" s="10">
        <f t="shared" si="14"/>
        <v>3.5047000000000001</v>
      </c>
    </row>
    <row r="267" spans="1:152" x14ac:dyDescent="0.2">
      <c r="A267" s="1">
        <v>53</v>
      </c>
      <c r="B267" s="1" t="str">
        <v>2019-12-31</v>
      </c>
      <c r="C267" s="1">
        <v>3.3803999999999998</v>
      </c>
      <c r="F267" s="8">
        <f t="shared" si="12"/>
        <v>53</v>
      </c>
      <c r="G267" s="9">
        <f t="shared" si="13"/>
        <v>43830</v>
      </c>
      <c r="H267" s="10">
        <f t="shared" si="14"/>
        <v>3.3803999999999998</v>
      </c>
    </row>
    <row r="268" spans="1:152" x14ac:dyDescent="0.2">
      <c r="A268" s="1">
        <v>32863</v>
      </c>
      <c r="B268" s="1" t="str">
        <v>2019-12-31</v>
      </c>
      <c r="C268" s="1">
        <v>3.3178999999999998</v>
      </c>
      <c r="F268" s="8">
        <f t="shared" si="12"/>
        <v>32863</v>
      </c>
      <c r="G268" s="9">
        <f t="shared" si="13"/>
        <v>43830</v>
      </c>
      <c r="H268" s="10">
        <f t="shared" si="14"/>
        <v>3.3178999999999998</v>
      </c>
    </row>
    <row r="269" spans="1:152" x14ac:dyDescent="0.2">
      <c r="A269" s="1">
        <v>24</v>
      </c>
      <c r="B269" s="1" t="str">
        <v>2020-01-02</v>
      </c>
      <c r="C269" s="1">
        <v>3.7627000000000002</v>
      </c>
      <c r="F269" s="8">
        <f t="shared" si="12"/>
        <v>24</v>
      </c>
      <c r="G269" s="9">
        <f t="shared" si="13"/>
        <v>43832</v>
      </c>
      <c r="H269" s="10">
        <f t="shared" si="14"/>
        <v>3.7627000000000002</v>
      </c>
    </row>
    <row r="270" spans="1:152" x14ac:dyDescent="0.2">
      <c r="A270" s="1">
        <v>83</v>
      </c>
      <c r="B270" s="1" t="str">
        <v>2020-01-02</v>
      </c>
      <c r="C270" s="1">
        <v>4</v>
      </c>
      <c r="F270" s="8">
        <f t="shared" si="12"/>
        <v>83</v>
      </c>
      <c r="G270" s="9">
        <f t="shared" si="13"/>
        <v>43832</v>
      </c>
      <c r="H270" s="10">
        <f t="shared" si="14"/>
        <v>4</v>
      </c>
    </row>
    <row r="271" spans="1:152" x14ac:dyDescent="0.2">
      <c r="A271" s="1">
        <v>32480</v>
      </c>
      <c r="B271" s="1" t="str">
        <v>2020-01-02</v>
      </c>
      <c r="C271" s="1">
        <v>3.2469000000000001</v>
      </c>
      <c r="F271" s="8">
        <f t="shared" si="12"/>
        <v>32480</v>
      </c>
      <c r="G271" s="9">
        <f t="shared" si="13"/>
        <v>43832</v>
      </c>
      <c r="H271" s="10">
        <f t="shared" si="14"/>
        <v>3.2469000000000001</v>
      </c>
    </row>
    <row r="272" spans="1:152" x14ac:dyDescent="0.2">
      <c r="A272" s="1">
        <v>150</v>
      </c>
      <c r="B272" s="1" t="str">
        <v>2020-01-02</v>
      </c>
      <c r="C272" s="1">
        <v>3.8315000000000001</v>
      </c>
      <c r="F272" s="8">
        <f t="shared" si="12"/>
        <v>150</v>
      </c>
      <c r="G272" s="9">
        <f t="shared" si="13"/>
        <v>43832</v>
      </c>
      <c r="H272" s="10">
        <f t="shared" si="14"/>
        <v>3.8315000000000001</v>
      </c>
    </row>
    <row r="273" spans="1:8" x14ac:dyDescent="0.2">
      <c r="A273" s="1">
        <v>1</v>
      </c>
      <c r="B273" s="1" t="str">
        <v>2020-01-02</v>
      </c>
      <c r="C273" s="1">
        <v>3.6080000000000001</v>
      </c>
      <c r="F273" s="8">
        <f t="shared" si="12"/>
        <v>1</v>
      </c>
      <c r="G273" s="9">
        <f t="shared" si="13"/>
        <v>43832</v>
      </c>
      <c r="H273" s="10">
        <f t="shared" si="14"/>
        <v>3.6080000000000001</v>
      </c>
    </row>
    <row r="274" spans="1:8" x14ac:dyDescent="0.2">
      <c r="A274" s="1">
        <v>32843</v>
      </c>
      <c r="B274" s="1" t="str">
        <v>2020-01-02</v>
      </c>
      <c r="C274" s="1">
        <v>3.4422999999999999</v>
      </c>
      <c r="F274" s="8">
        <f t="shared" si="12"/>
        <v>32843</v>
      </c>
      <c r="G274" s="9">
        <f t="shared" si="13"/>
        <v>43832</v>
      </c>
      <c r="H274" s="10">
        <f t="shared" si="14"/>
        <v>3.4422999999999999</v>
      </c>
    </row>
    <row r="275" spans="1:8" x14ac:dyDescent="0.2">
      <c r="A275" s="1">
        <v>32963</v>
      </c>
      <c r="B275" s="1" t="str">
        <v>2020-01-03</v>
      </c>
      <c r="C275" s="1">
        <v>3.8146</v>
      </c>
      <c r="F275" s="8">
        <f t="shared" si="12"/>
        <v>32963</v>
      </c>
      <c r="G275" s="9">
        <f t="shared" si="13"/>
        <v>43833</v>
      </c>
      <c r="H275" s="10">
        <f t="shared" si="14"/>
        <v>3.8146</v>
      </c>
    </row>
    <row r="276" spans="1:8" x14ac:dyDescent="0.2">
      <c r="A276" s="1">
        <v>94</v>
      </c>
      <c r="B276" s="1" t="str">
        <v>2020-01-03</v>
      </c>
      <c r="C276" s="1">
        <v>3.8</v>
      </c>
      <c r="F276" s="8">
        <f t="shared" si="12"/>
        <v>94</v>
      </c>
      <c r="G276" s="9">
        <f t="shared" si="13"/>
        <v>43833</v>
      </c>
      <c r="H276" s="10">
        <f t="shared" si="14"/>
        <v>3.8</v>
      </c>
    </row>
    <row r="277" spans="1:8" x14ac:dyDescent="0.2">
      <c r="A277" s="1">
        <v>32040</v>
      </c>
      <c r="B277" s="1" t="str">
        <v>2020-01-03</v>
      </c>
      <c r="C277" s="1">
        <v>3.5964</v>
      </c>
      <c r="F277" s="8">
        <f t="shared" si="12"/>
        <v>32040</v>
      </c>
      <c r="G277" s="9">
        <f t="shared" si="13"/>
        <v>43833</v>
      </c>
      <c r="H277" s="10">
        <f t="shared" si="14"/>
        <v>3.5964</v>
      </c>
    </row>
    <row r="278" spans="1:8" x14ac:dyDescent="0.2">
      <c r="A278" s="1">
        <v>147</v>
      </c>
      <c r="B278" s="1" t="str">
        <v>2020-01-03</v>
      </c>
      <c r="C278" s="1">
        <v>3.7204999999999999</v>
      </c>
      <c r="F278" s="8">
        <f t="shared" si="12"/>
        <v>147</v>
      </c>
      <c r="G278" s="9">
        <f t="shared" si="13"/>
        <v>43833</v>
      </c>
      <c r="H278" s="10">
        <f t="shared" si="14"/>
        <v>3.7204999999999999</v>
      </c>
    </row>
    <row r="279" spans="1:8" x14ac:dyDescent="0.2">
      <c r="A279" s="1">
        <v>16</v>
      </c>
      <c r="B279" s="1" t="str">
        <v>2020-01-03</v>
      </c>
      <c r="C279" s="1">
        <v>3.39</v>
      </c>
      <c r="F279" s="8">
        <f t="shared" si="12"/>
        <v>16</v>
      </c>
      <c r="G279" s="9">
        <f t="shared" si="13"/>
        <v>43833</v>
      </c>
      <c r="H279" s="10">
        <f t="shared" si="14"/>
        <v>3.39</v>
      </c>
    </row>
    <row r="280" spans="1:8" x14ac:dyDescent="0.2">
      <c r="A280" s="1">
        <v>13250</v>
      </c>
      <c r="B280" s="1" t="str">
        <v>2020-01-03</v>
      </c>
      <c r="C280" s="1">
        <v>2.7945000000000002</v>
      </c>
      <c r="F280" s="8">
        <f t="shared" si="12"/>
        <v>13250</v>
      </c>
      <c r="G280" s="9">
        <f t="shared" si="13"/>
        <v>43833</v>
      </c>
      <c r="H280" s="10">
        <f t="shared" si="14"/>
        <v>2.7945000000000002</v>
      </c>
    </row>
    <row r="281" spans="1:8" x14ac:dyDescent="0.2">
      <c r="A281" s="1">
        <v>32360</v>
      </c>
      <c r="B281" s="1" t="str">
        <v>2020-01-03</v>
      </c>
      <c r="C281" s="1">
        <v>3.3086000000000002</v>
      </c>
      <c r="F281" s="8">
        <f t="shared" si="12"/>
        <v>32360</v>
      </c>
      <c r="G281" s="9">
        <f t="shared" si="13"/>
        <v>43833</v>
      </c>
      <c r="H281" s="10">
        <f t="shared" si="14"/>
        <v>3.3086000000000002</v>
      </c>
    </row>
    <row r="282" spans="1:8" x14ac:dyDescent="0.2">
      <c r="A282" s="1">
        <v>30300</v>
      </c>
      <c r="B282" s="1" t="str">
        <v>2020-01-03</v>
      </c>
      <c r="C282" s="1">
        <v>3.5769000000000002</v>
      </c>
      <c r="F282" s="8">
        <f t="shared" si="12"/>
        <v>30300</v>
      </c>
      <c r="G282" s="9">
        <f t="shared" si="13"/>
        <v>43833</v>
      </c>
      <c r="H282" s="10">
        <f t="shared" si="14"/>
        <v>3.5769000000000002</v>
      </c>
    </row>
    <row r="283" spans="1:8" x14ac:dyDescent="0.2">
      <c r="A283" s="1">
        <v>32200</v>
      </c>
      <c r="B283" s="1" t="str">
        <v>2020-01-03</v>
      </c>
      <c r="C283" s="1">
        <v>3.1536</v>
      </c>
      <c r="F283" s="8">
        <f t="shared" si="12"/>
        <v>32200</v>
      </c>
      <c r="G283" s="9">
        <f t="shared" si="13"/>
        <v>43833</v>
      </c>
      <c r="H283" s="10">
        <f t="shared" si="14"/>
        <v>3.1536</v>
      </c>
    </row>
    <row r="284" spans="1:8" x14ac:dyDescent="0.2">
      <c r="A284" s="1">
        <v>59</v>
      </c>
      <c r="B284" s="1" t="str">
        <v>2020-01-03</v>
      </c>
      <c r="C284" s="1">
        <v>3.5969000000000002</v>
      </c>
      <c r="F284" s="8">
        <f t="shared" si="12"/>
        <v>59</v>
      </c>
      <c r="G284" s="9">
        <f t="shared" si="13"/>
        <v>43833</v>
      </c>
      <c r="H284" s="10">
        <f t="shared" si="14"/>
        <v>3.5969000000000002</v>
      </c>
    </row>
    <row r="285" spans="1:8" x14ac:dyDescent="0.2">
      <c r="A285" s="1">
        <v>32260</v>
      </c>
      <c r="B285" s="1" t="str">
        <v>2020-01-03</v>
      </c>
      <c r="C285" s="1">
        <v>3.5036</v>
      </c>
      <c r="F285" s="8">
        <f t="shared" si="12"/>
        <v>32260</v>
      </c>
      <c r="G285" s="9">
        <f t="shared" si="13"/>
        <v>43833</v>
      </c>
      <c r="H285" s="10">
        <f t="shared" si="14"/>
        <v>3.5036</v>
      </c>
    </row>
    <row r="286" spans="1:8" x14ac:dyDescent="0.2">
      <c r="A286" s="1">
        <v>32724</v>
      </c>
      <c r="B286" s="1" t="str">
        <v>2020-01-03</v>
      </c>
      <c r="C286" s="1">
        <v>3.4944999999999999</v>
      </c>
      <c r="F286" s="8">
        <f t="shared" si="12"/>
        <v>32724</v>
      </c>
      <c r="G286" s="9">
        <f t="shared" si="13"/>
        <v>43833</v>
      </c>
      <c r="H286" s="10">
        <f t="shared" si="14"/>
        <v>3.4944999999999999</v>
      </c>
    </row>
    <row r="287" spans="1:8" x14ac:dyDescent="0.2">
      <c r="A287" s="1">
        <v>32783</v>
      </c>
      <c r="B287" s="1" t="str">
        <v>2020-01-03</v>
      </c>
      <c r="C287" s="1">
        <v>3.7833999999999999</v>
      </c>
      <c r="F287" s="8">
        <f t="shared" si="12"/>
        <v>32783</v>
      </c>
      <c r="G287" s="9">
        <f t="shared" si="13"/>
        <v>43833</v>
      </c>
      <c r="H287" s="10">
        <f t="shared" si="14"/>
        <v>3.7833999999999999</v>
      </c>
    </row>
    <row r="288" spans="1:8" x14ac:dyDescent="0.2">
      <c r="A288" s="1">
        <v>81</v>
      </c>
      <c r="B288" s="1" t="str">
        <v>2020-01-03</v>
      </c>
      <c r="C288" s="1">
        <v>3.5562999999999998</v>
      </c>
      <c r="F288" s="8">
        <f t="shared" si="12"/>
        <v>81</v>
      </c>
      <c r="G288" s="9">
        <f t="shared" si="13"/>
        <v>43833</v>
      </c>
      <c r="H288" s="10">
        <f t="shared" si="14"/>
        <v>3.5562999999999998</v>
      </c>
    </row>
    <row r="289" spans="1:8" x14ac:dyDescent="0.2">
      <c r="A289" s="1">
        <v>24250</v>
      </c>
      <c r="B289" s="1" t="str">
        <v>2020-01-03</v>
      </c>
      <c r="C289" s="1">
        <v>3.5044</v>
      </c>
      <c r="F289" s="8">
        <f t="shared" si="12"/>
        <v>24250</v>
      </c>
      <c r="G289" s="9">
        <f t="shared" si="13"/>
        <v>43833</v>
      </c>
      <c r="H289" s="10">
        <f t="shared" si="14"/>
        <v>3.5044</v>
      </c>
    </row>
    <row r="290" spans="1:8" x14ac:dyDescent="0.2">
      <c r="A290" s="1">
        <v>10</v>
      </c>
      <c r="B290" s="1" t="str">
        <v>2020-01-03</v>
      </c>
      <c r="C290" s="1">
        <v>3.3702999999999999</v>
      </c>
      <c r="F290" s="8">
        <f t="shared" si="12"/>
        <v>10</v>
      </c>
      <c r="G290" s="9">
        <f t="shared" si="13"/>
        <v>43833</v>
      </c>
      <c r="H290" s="10">
        <f t="shared" si="14"/>
        <v>3.3702999999999999</v>
      </c>
    </row>
    <row r="291" spans="1:8" x14ac:dyDescent="0.2">
      <c r="A291" s="1">
        <v>143</v>
      </c>
      <c r="B291" s="1" t="str">
        <v>2020-01-06</v>
      </c>
      <c r="C291" s="1">
        <v>3.5</v>
      </c>
      <c r="F291" s="8">
        <f t="shared" si="12"/>
        <v>143</v>
      </c>
      <c r="G291" s="9">
        <f t="shared" si="13"/>
        <v>43836</v>
      </c>
      <c r="H291" s="10">
        <f t="shared" si="14"/>
        <v>3.5</v>
      </c>
    </row>
    <row r="292" spans="1:8" x14ac:dyDescent="0.2">
      <c r="A292" s="1">
        <v>53</v>
      </c>
      <c r="B292" s="1" t="str">
        <v>2020-01-06</v>
      </c>
      <c r="C292" s="1">
        <v>3.4628999999999999</v>
      </c>
      <c r="F292" s="8">
        <f t="shared" si="12"/>
        <v>53</v>
      </c>
      <c r="G292" s="9">
        <f t="shared" si="13"/>
        <v>43836</v>
      </c>
      <c r="H292" s="10">
        <f t="shared" si="14"/>
        <v>3.4628999999999999</v>
      </c>
    </row>
    <row r="293" spans="1:8" x14ac:dyDescent="0.2">
      <c r="A293" s="1">
        <v>33043</v>
      </c>
      <c r="B293" s="1" t="str">
        <v>2020-01-06</v>
      </c>
      <c r="C293" s="1">
        <v>3.4630000000000001</v>
      </c>
      <c r="F293" s="8">
        <f t="shared" si="12"/>
        <v>33043</v>
      </c>
      <c r="G293" s="9">
        <f t="shared" si="13"/>
        <v>43836</v>
      </c>
      <c r="H293" s="10">
        <f t="shared" si="14"/>
        <v>3.4630000000000001</v>
      </c>
    </row>
    <row r="294" spans="1:8" x14ac:dyDescent="0.2">
      <c r="A294" s="1">
        <v>33023</v>
      </c>
      <c r="B294" s="1" t="str">
        <v>2020-01-06</v>
      </c>
      <c r="C294" s="1">
        <v>4</v>
      </c>
      <c r="F294" s="8">
        <f t="shared" si="12"/>
        <v>33023</v>
      </c>
      <c r="G294" s="9">
        <f t="shared" si="13"/>
        <v>43836</v>
      </c>
      <c r="H294" s="10">
        <f t="shared" si="14"/>
        <v>4</v>
      </c>
    </row>
    <row r="295" spans="1:8" x14ac:dyDescent="0.2">
      <c r="A295" s="1">
        <v>32560</v>
      </c>
      <c r="B295" s="1" t="str">
        <v>2020-01-06</v>
      </c>
      <c r="C295" s="1">
        <v>3.5975000000000001</v>
      </c>
      <c r="F295" s="8">
        <f t="shared" si="12"/>
        <v>32560</v>
      </c>
      <c r="G295" s="9">
        <f t="shared" si="13"/>
        <v>43836</v>
      </c>
      <c r="H295" s="10">
        <f t="shared" si="14"/>
        <v>3.5975000000000001</v>
      </c>
    </row>
    <row r="296" spans="1:8" x14ac:dyDescent="0.2">
      <c r="A296" s="1">
        <v>31</v>
      </c>
      <c r="B296" s="1" t="str">
        <v>2020-01-06</v>
      </c>
      <c r="C296" s="1">
        <v>3.6</v>
      </c>
      <c r="F296" s="8">
        <f t="shared" si="12"/>
        <v>31</v>
      </c>
      <c r="G296" s="9">
        <f t="shared" si="13"/>
        <v>43836</v>
      </c>
      <c r="H296" s="10">
        <f t="shared" si="14"/>
        <v>3.6</v>
      </c>
    </row>
    <row r="297" spans="1:8" x14ac:dyDescent="0.2">
      <c r="A297" s="1">
        <v>32081</v>
      </c>
      <c r="B297" s="1" t="str">
        <v>2020-01-06</v>
      </c>
      <c r="C297" s="1">
        <v>3.4630999999999998</v>
      </c>
      <c r="F297" s="8">
        <f t="shared" si="12"/>
        <v>32081</v>
      </c>
      <c r="G297" s="9">
        <f t="shared" si="13"/>
        <v>43836</v>
      </c>
      <c r="H297" s="10">
        <f t="shared" si="14"/>
        <v>3.4630999999999998</v>
      </c>
    </row>
    <row r="298" spans="1:8" x14ac:dyDescent="0.2">
      <c r="A298" s="1">
        <v>32963</v>
      </c>
      <c r="B298" s="1" t="str">
        <v>2020-01-06</v>
      </c>
      <c r="C298" s="1">
        <v>3.8146</v>
      </c>
      <c r="F298" s="8">
        <f t="shared" si="12"/>
        <v>32963</v>
      </c>
      <c r="G298" s="9">
        <f t="shared" si="13"/>
        <v>43836</v>
      </c>
      <c r="H298" s="10">
        <f t="shared" si="14"/>
        <v>3.8146</v>
      </c>
    </row>
    <row r="299" spans="1:8" x14ac:dyDescent="0.2">
      <c r="A299" s="1">
        <v>178</v>
      </c>
      <c r="B299" s="1" t="str">
        <v>2020-01-06</v>
      </c>
      <c r="C299" s="1">
        <v>3.3188</v>
      </c>
      <c r="F299" s="8">
        <f t="shared" si="12"/>
        <v>178</v>
      </c>
      <c r="G299" s="9">
        <f t="shared" si="13"/>
        <v>43836</v>
      </c>
      <c r="H299" s="10">
        <f t="shared" si="14"/>
        <v>3.3188</v>
      </c>
    </row>
    <row r="300" spans="1:8" x14ac:dyDescent="0.2">
      <c r="A300" s="1">
        <v>72</v>
      </c>
      <c r="B300" s="1" t="str">
        <v>2020-01-07</v>
      </c>
      <c r="C300" s="1">
        <v>3.6076000000000001</v>
      </c>
      <c r="F300" s="8">
        <f t="shared" si="12"/>
        <v>72</v>
      </c>
      <c r="G300" s="9">
        <f t="shared" si="13"/>
        <v>43837</v>
      </c>
      <c r="H300" s="10">
        <f t="shared" si="14"/>
        <v>3.6076000000000001</v>
      </c>
    </row>
    <row r="301" spans="1:8" x14ac:dyDescent="0.2">
      <c r="A301" s="1">
        <v>181</v>
      </c>
      <c r="B301" s="1" t="str">
        <v>2020-01-07</v>
      </c>
      <c r="C301" s="1">
        <v>3.5857000000000001</v>
      </c>
      <c r="F301" s="8">
        <f t="shared" si="12"/>
        <v>181</v>
      </c>
      <c r="G301" s="9">
        <f t="shared" si="13"/>
        <v>43837</v>
      </c>
      <c r="H301" s="10">
        <f t="shared" si="14"/>
        <v>3.5857000000000001</v>
      </c>
    </row>
    <row r="302" spans="1:8" x14ac:dyDescent="0.2">
      <c r="A302" s="1">
        <v>164</v>
      </c>
      <c r="B302" s="1" t="str">
        <v>2020-01-07</v>
      </c>
      <c r="C302" s="1">
        <v>3.7313999999999998</v>
      </c>
      <c r="F302" s="8">
        <f t="shared" si="12"/>
        <v>164</v>
      </c>
      <c r="G302" s="9">
        <f t="shared" si="13"/>
        <v>43837</v>
      </c>
      <c r="H302" s="10">
        <f t="shared" si="14"/>
        <v>3.7313999999999998</v>
      </c>
    </row>
    <row r="303" spans="1:8" x14ac:dyDescent="0.2">
      <c r="A303" s="1">
        <v>34</v>
      </c>
      <c r="B303" s="1" t="str">
        <v>2020-01-07</v>
      </c>
      <c r="C303" s="1">
        <v>3.3910999999999998</v>
      </c>
      <c r="F303" s="8">
        <f t="shared" si="12"/>
        <v>34</v>
      </c>
      <c r="G303" s="9">
        <f t="shared" si="13"/>
        <v>43837</v>
      </c>
      <c r="H303" s="10">
        <f t="shared" si="14"/>
        <v>3.3910999999999998</v>
      </c>
    </row>
    <row r="304" spans="1:8" x14ac:dyDescent="0.2">
      <c r="A304" s="1">
        <v>157</v>
      </c>
      <c r="B304" s="1" t="str">
        <v>2020-01-07</v>
      </c>
      <c r="C304" s="1">
        <v>3.81</v>
      </c>
      <c r="F304" s="8">
        <f t="shared" si="12"/>
        <v>157</v>
      </c>
      <c r="G304" s="9">
        <f t="shared" si="13"/>
        <v>43837</v>
      </c>
      <c r="H304" s="10">
        <f t="shared" si="14"/>
        <v>3.81</v>
      </c>
    </row>
    <row r="305" spans="1:8" x14ac:dyDescent="0.2">
      <c r="A305" s="1">
        <v>147</v>
      </c>
      <c r="B305" s="1" t="str">
        <v>2020-01-08</v>
      </c>
      <c r="C305" s="1">
        <v>3.6173999999999999</v>
      </c>
      <c r="F305" s="8">
        <f t="shared" si="12"/>
        <v>147</v>
      </c>
      <c r="G305" s="9">
        <f t="shared" si="13"/>
        <v>43838</v>
      </c>
      <c r="H305" s="10">
        <f t="shared" si="14"/>
        <v>3.6173999999999999</v>
      </c>
    </row>
    <row r="306" spans="1:8" x14ac:dyDescent="0.2">
      <c r="A306" s="1">
        <v>32200</v>
      </c>
      <c r="B306" s="1" t="str">
        <v>2020-01-08</v>
      </c>
      <c r="C306" s="1">
        <v>3.02</v>
      </c>
      <c r="F306" s="8">
        <f t="shared" si="12"/>
        <v>32200</v>
      </c>
      <c r="G306" s="9">
        <f t="shared" si="13"/>
        <v>43838</v>
      </c>
      <c r="H306" s="10">
        <f t="shared" si="14"/>
        <v>3.02</v>
      </c>
    </row>
    <row r="307" spans="1:8" x14ac:dyDescent="0.2">
      <c r="A307" s="1">
        <v>33023</v>
      </c>
      <c r="B307" s="1" t="str">
        <v>2020-01-08</v>
      </c>
      <c r="C307" s="1">
        <v>4</v>
      </c>
      <c r="F307" s="8">
        <f t="shared" si="12"/>
        <v>33023</v>
      </c>
      <c r="G307" s="9">
        <f t="shared" si="13"/>
        <v>43838</v>
      </c>
      <c r="H307" s="10">
        <f t="shared" si="14"/>
        <v>4</v>
      </c>
    </row>
    <row r="308" spans="1:8" x14ac:dyDescent="0.2">
      <c r="A308" s="1">
        <v>32440</v>
      </c>
      <c r="B308" s="1" t="str">
        <v>2020-01-08</v>
      </c>
      <c r="C308" s="1">
        <v>4.2191000000000001</v>
      </c>
      <c r="F308" s="8">
        <f t="shared" si="12"/>
        <v>32440</v>
      </c>
      <c r="G308" s="9">
        <f t="shared" si="13"/>
        <v>43838</v>
      </c>
      <c r="H308" s="10">
        <f t="shared" si="14"/>
        <v>4.2191000000000001</v>
      </c>
    </row>
    <row r="309" spans="1:8" x14ac:dyDescent="0.2">
      <c r="A309" s="1">
        <v>33043</v>
      </c>
      <c r="B309" s="1" t="str">
        <v>2020-01-08</v>
      </c>
      <c r="C309" s="1">
        <v>3.5558999999999998</v>
      </c>
      <c r="F309" s="8">
        <f t="shared" si="12"/>
        <v>33043</v>
      </c>
      <c r="G309" s="9">
        <f t="shared" si="13"/>
        <v>43838</v>
      </c>
      <c r="H309" s="10">
        <f t="shared" si="14"/>
        <v>3.5558999999999998</v>
      </c>
    </row>
    <row r="310" spans="1:8" x14ac:dyDescent="0.2">
      <c r="A310" s="1">
        <v>72</v>
      </c>
      <c r="B310" s="1" t="str">
        <v>2020-01-08</v>
      </c>
      <c r="C310" s="1">
        <v>3.6381000000000001</v>
      </c>
      <c r="F310" s="8">
        <f t="shared" si="12"/>
        <v>72</v>
      </c>
      <c r="G310" s="9">
        <f t="shared" si="13"/>
        <v>43838</v>
      </c>
      <c r="H310" s="10">
        <f t="shared" si="14"/>
        <v>3.6381000000000001</v>
      </c>
    </row>
    <row r="311" spans="1:8" x14ac:dyDescent="0.2">
      <c r="A311" s="1">
        <v>55</v>
      </c>
      <c r="B311" s="1" t="str">
        <v>2020-01-08</v>
      </c>
      <c r="C311" s="1">
        <v>3.4841000000000002</v>
      </c>
      <c r="F311" s="8">
        <f t="shared" si="12"/>
        <v>55</v>
      </c>
      <c r="G311" s="9">
        <f t="shared" si="13"/>
        <v>43838</v>
      </c>
      <c r="H311" s="10">
        <f t="shared" si="14"/>
        <v>3.4841000000000002</v>
      </c>
    </row>
    <row r="312" spans="1:8" x14ac:dyDescent="0.2">
      <c r="A312" s="1">
        <v>32582</v>
      </c>
      <c r="B312" s="1" t="str">
        <v>2020-01-09</v>
      </c>
      <c r="C312" s="1">
        <v>3.5047999999999999</v>
      </c>
      <c r="F312" s="8">
        <f t="shared" si="12"/>
        <v>32582</v>
      </c>
      <c r="G312" s="9">
        <f t="shared" si="13"/>
        <v>43839</v>
      </c>
      <c r="H312" s="10">
        <f t="shared" si="14"/>
        <v>3.5047999999999999</v>
      </c>
    </row>
    <row r="313" spans="1:8" x14ac:dyDescent="0.2">
      <c r="A313" s="1">
        <v>94</v>
      </c>
      <c r="B313" s="1" t="str">
        <v>2020-01-09</v>
      </c>
      <c r="C313" s="1">
        <v>3.8</v>
      </c>
      <c r="F313" s="8">
        <f t="shared" si="12"/>
        <v>94</v>
      </c>
      <c r="G313" s="9">
        <f t="shared" si="13"/>
        <v>43839</v>
      </c>
      <c r="H313" s="10">
        <f t="shared" si="14"/>
        <v>3.8</v>
      </c>
    </row>
    <row r="314" spans="1:8" x14ac:dyDescent="0.2">
      <c r="A314" s="1">
        <v>187</v>
      </c>
      <c r="B314" s="1" t="str">
        <v>2020-01-09</v>
      </c>
      <c r="C314" s="1">
        <v>3.6385000000000001</v>
      </c>
      <c r="F314" s="8">
        <f t="shared" si="12"/>
        <v>187</v>
      </c>
      <c r="G314" s="9">
        <f t="shared" si="13"/>
        <v>43839</v>
      </c>
      <c r="H314" s="10">
        <f t="shared" si="14"/>
        <v>3.6385000000000001</v>
      </c>
    </row>
    <row r="315" spans="1:8" x14ac:dyDescent="0.2">
      <c r="A315" s="1">
        <v>67</v>
      </c>
      <c r="B315" s="1" t="str">
        <v>2020-01-09</v>
      </c>
      <c r="C315" s="1">
        <v>3.4628999999999999</v>
      </c>
      <c r="F315" s="8">
        <f t="shared" si="12"/>
        <v>67</v>
      </c>
      <c r="G315" s="9">
        <f t="shared" si="13"/>
        <v>43839</v>
      </c>
      <c r="H315" s="10">
        <f t="shared" si="14"/>
        <v>3.4628999999999999</v>
      </c>
    </row>
    <row r="316" spans="1:8" x14ac:dyDescent="0.2">
      <c r="A316" s="1">
        <v>101</v>
      </c>
      <c r="B316" s="1" t="str">
        <v>2020-01-09</v>
      </c>
      <c r="C316" s="1">
        <v>3.4155000000000002</v>
      </c>
      <c r="F316" s="8">
        <f t="shared" si="12"/>
        <v>101</v>
      </c>
      <c r="G316" s="9">
        <f t="shared" si="13"/>
        <v>43839</v>
      </c>
      <c r="H316" s="10">
        <f t="shared" si="14"/>
        <v>3.4155000000000002</v>
      </c>
    </row>
    <row r="317" spans="1:8" x14ac:dyDescent="0.2">
      <c r="A317" s="1">
        <v>137</v>
      </c>
      <c r="B317" s="1" t="str">
        <v>2020-01-09</v>
      </c>
      <c r="C317" s="1">
        <v>3.3088000000000002</v>
      </c>
      <c r="F317" s="8">
        <f t="shared" si="12"/>
        <v>137</v>
      </c>
      <c r="G317" s="9">
        <f t="shared" si="13"/>
        <v>43839</v>
      </c>
      <c r="H317" s="10">
        <f t="shared" si="14"/>
        <v>3.3088000000000002</v>
      </c>
    </row>
    <row r="318" spans="1:8" x14ac:dyDescent="0.2">
      <c r="A318" s="1">
        <v>16</v>
      </c>
      <c r="B318" s="1" t="str">
        <v>2020-01-10</v>
      </c>
      <c r="C318" s="1">
        <v>3.39</v>
      </c>
      <c r="F318" s="8">
        <f t="shared" si="12"/>
        <v>16</v>
      </c>
      <c r="G318" s="9">
        <f t="shared" si="13"/>
        <v>43840</v>
      </c>
      <c r="H318" s="10">
        <f t="shared" si="14"/>
        <v>3.39</v>
      </c>
    </row>
    <row r="319" spans="1:8" x14ac:dyDescent="0.2">
      <c r="A319" s="1">
        <v>33023</v>
      </c>
      <c r="B319" s="1" t="str">
        <v>2020-01-10</v>
      </c>
      <c r="C319" s="1">
        <v>4</v>
      </c>
      <c r="F319" s="8">
        <f t="shared" si="12"/>
        <v>33023</v>
      </c>
      <c r="G319" s="9">
        <f t="shared" si="13"/>
        <v>43840</v>
      </c>
      <c r="H319" s="10">
        <f t="shared" si="14"/>
        <v>4</v>
      </c>
    </row>
    <row r="320" spans="1:8" x14ac:dyDescent="0.2">
      <c r="A320" s="1">
        <v>32121</v>
      </c>
      <c r="B320" s="1" t="str">
        <v>2020-01-10</v>
      </c>
      <c r="C320" s="1">
        <v>3.7107999999999999</v>
      </c>
      <c r="F320" s="8">
        <f t="shared" si="12"/>
        <v>32121</v>
      </c>
      <c r="G320" s="9">
        <f t="shared" si="13"/>
        <v>43840</v>
      </c>
      <c r="H320" s="10">
        <f t="shared" si="14"/>
        <v>3.7107999999999999</v>
      </c>
    </row>
    <row r="321" spans="1:8" x14ac:dyDescent="0.2">
      <c r="A321" s="1">
        <v>147</v>
      </c>
      <c r="B321" s="1" t="str">
        <v>2020-01-10</v>
      </c>
      <c r="C321" s="1">
        <v>3.5760999999999998</v>
      </c>
      <c r="F321" s="8">
        <f t="shared" si="12"/>
        <v>147</v>
      </c>
      <c r="G321" s="9">
        <f t="shared" si="13"/>
        <v>43840</v>
      </c>
      <c r="H321" s="10">
        <f t="shared" si="14"/>
        <v>3.5760999999999998</v>
      </c>
    </row>
    <row r="322" spans="1:8" x14ac:dyDescent="0.2">
      <c r="A322" s="1">
        <v>32400</v>
      </c>
      <c r="B322" s="1" t="str">
        <v>2020-01-10</v>
      </c>
      <c r="C322" s="1">
        <v>3.6</v>
      </c>
      <c r="F322" s="8">
        <f t="shared" si="12"/>
        <v>32400</v>
      </c>
      <c r="G322" s="9">
        <f t="shared" si="13"/>
        <v>43840</v>
      </c>
      <c r="H322" s="10">
        <f t="shared" si="14"/>
        <v>3.6</v>
      </c>
    </row>
    <row r="323" spans="1:8" x14ac:dyDescent="0.2">
      <c r="A323" s="1">
        <v>33125</v>
      </c>
      <c r="B323" s="1" t="str">
        <v>2020-01-10</v>
      </c>
      <c r="C323" s="1">
        <v>3.4529000000000001</v>
      </c>
      <c r="F323" s="8">
        <f t="shared" si="12"/>
        <v>33125</v>
      </c>
      <c r="G323" s="9">
        <f t="shared" si="13"/>
        <v>43840</v>
      </c>
      <c r="H323" s="10">
        <f t="shared" si="14"/>
        <v>3.4529000000000001</v>
      </c>
    </row>
    <row r="324" spans="1:8" x14ac:dyDescent="0.2">
      <c r="A324" s="1">
        <v>99</v>
      </c>
      <c r="B324" s="1" t="str">
        <v>2020-01-10</v>
      </c>
      <c r="C324" s="1">
        <v>3.504</v>
      </c>
      <c r="F324" s="8">
        <f t="shared" si="12"/>
        <v>99</v>
      </c>
      <c r="G324" s="9">
        <f t="shared" si="13"/>
        <v>43840</v>
      </c>
      <c r="H324" s="10">
        <f t="shared" si="14"/>
        <v>3.504</v>
      </c>
    </row>
    <row r="325" spans="1:8" x14ac:dyDescent="0.2">
      <c r="A325" s="1">
        <v>191</v>
      </c>
      <c r="B325" s="1" t="str">
        <v>2020-01-10</v>
      </c>
      <c r="C325" s="1">
        <v>3.4525000000000001</v>
      </c>
      <c r="F325" s="8">
        <f t="shared" si="12"/>
        <v>191</v>
      </c>
      <c r="G325" s="9">
        <f t="shared" si="13"/>
        <v>43840</v>
      </c>
      <c r="H325" s="10">
        <f t="shared" si="14"/>
        <v>3.4525000000000001</v>
      </c>
    </row>
    <row r="326" spans="1:8" x14ac:dyDescent="0.2">
      <c r="A326" s="1">
        <v>55</v>
      </c>
      <c r="B326" s="1" t="str">
        <v>2020-01-10</v>
      </c>
      <c r="C326" s="1">
        <v>3.3397999999999999</v>
      </c>
      <c r="F326" s="8">
        <f t="shared" si="12"/>
        <v>55</v>
      </c>
      <c r="G326" s="9">
        <f t="shared" si="13"/>
        <v>43840</v>
      </c>
      <c r="H326" s="10">
        <f t="shared" si="14"/>
        <v>3.3397999999999999</v>
      </c>
    </row>
    <row r="327" spans="1:8" x14ac:dyDescent="0.2">
      <c r="A327" s="1">
        <v>150</v>
      </c>
      <c r="B327" s="1" t="str">
        <v>2020-01-10</v>
      </c>
      <c r="C327" s="1">
        <v>4.1417999999999999</v>
      </c>
      <c r="F327" s="8">
        <f t="shared" si="12"/>
        <v>150</v>
      </c>
      <c r="G327" s="9">
        <f t="shared" si="13"/>
        <v>43840</v>
      </c>
      <c r="H327" s="10">
        <f t="shared" si="14"/>
        <v>4.1417999999999999</v>
      </c>
    </row>
    <row r="328" spans="1:8" x14ac:dyDescent="0.2">
      <c r="A328" s="1">
        <v>13250</v>
      </c>
      <c r="B328" s="1" t="str">
        <v>2020-01-10</v>
      </c>
      <c r="C328" s="1">
        <v>2.7740999999999998</v>
      </c>
      <c r="F328" s="8">
        <f t="shared" si="12"/>
        <v>13250</v>
      </c>
      <c r="G328" s="9">
        <f t="shared" si="13"/>
        <v>43840</v>
      </c>
      <c r="H328" s="10">
        <f t="shared" si="14"/>
        <v>2.7740999999999998</v>
      </c>
    </row>
    <row r="329" spans="1:8" x14ac:dyDescent="0.2">
      <c r="A329" s="1">
        <v>139</v>
      </c>
      <c r="B329" s="1" t="str">
        <v>2020-01-10</v>
      </c>
      <c r="C329" s="1">
        <v>3.8353999999999999</v>
      </c>
      <c r="F329" s="8">
        <f t="shared" ref="F329:F392" si="15">A329</f>
        <v>139</v>
      </c>
      <c r="G329" s="9">
        <f t="shared" ref="G329:G392" si="16">DATE(LEFT(B329,4),MID(B329,6,2),RIGHT(B329,2))</f>
        <v>43840</v>
      </c>
      <c r="H329" s="10">
        <f t="shared" ref="H329:H392" si="17">C329</f>
        <v>3.8353999999999999</v>
      </c>
    </row>
    <row r="330" spans="1:8" x14ac:dyDescent="0.2">
      <c r="A330" s="1">
        <v>72</v>
      </c>
      <c r="B330" s="1" t="str">
        <v>2020-01-10</v>
      </c>
      <c r="C330" s="1">
        <v>3.5762</v>
      </c>
      <c r="F330" s="8">
        <f t="shared" si="15"/>
        <v>72</v>
      </c>
      <c r="G330" s="9">
        <f t="shared" si="16"/>
        <v>43840</v>
      </c>
      <c r="H330" s="10">
        <f t="shared" si="17"/>
        <v>3.5762</v>
      </c>
    </row>
    <row r="331" spans="1:8" x14ac:dyDescent="0.2">
      <c r="A331" s="1">
        <v>136</v>
      </c>
      <c r="B331" s="1" t="str">
        <v>2020-01-10</v>
      </c>
      <c r="C331" s="1">
        <v>3.4944999999999999</v>
      </c>
      <c r="F331" s="8">
        <f t="shared" si="15"/>
        <v>136</v>
      </c>
      <c r="G331" s="9">
        <f t="shared" si="16"/>
        <v>43840</v>
      </c>
      <c r="H331" s="10">
        <f t="shared" si="17"/>
        <v>3.4944999999999999</v>
      </c>
    </row>
    <row r="332" spans="1:8" x14ac:dyDescent="0.2">
      <c r="A332" s="1">
        <v>32401</v>
      </c>
      <c r="B332" s="1" t="str">
        <v>2020-01-10</v>
      </c>
      <c r="C332" s="1">
        <v>4.2286999999999999</v>
      </c>
      <c r="F332" s="8">
        <f t="shared" si="15"/>
        <v>32401</v>
      </c>
      <c r="G332" s="9">
        <f t="shared" si="16"/>
        <v>43840</v>
      </c>
      <c r="H332" s="10">
        <f t="shared" si="17"/>
        <v>4.2286999999999999</v>
      </c>
    </row>
    <row r="333" spans="1:8" x14ac:dyDescent="0.2">
      <c r="A333" s="1">
        <v>81</v>
      </c>
      <c r="B333" s="1" t="str">
        <v>2020-01-10</v>
      </c>
      <c r="C333" s="1">
        <v>3.5562999999999998</v>
      </c>
      <c r="F333" s="8">
        <f t="shared" si="15"/>
        <v>81</v>
      </c>
      <c r="G333" s="9">
        <f t="shared" si="16"/>
        <v>43840</v>
      </c>
      <c r="H333" s="10">
        <f t="shared" si="17"/>
        <v>3.5562999999999998</v>
      </c>
    </row>
    <row r="334" spans="1:8" x14ac:dyDescent="0.2">
      <c r="A334" s="1">
        <v>32340</v>
      </c>
      <c r="B334" s="1" t="str">
        <v>2020-01-10</v>
      </c>
      <c r="C334" s="1">
        <v>3.4325999999999999</v>
      </c>
      <c r="F334" s="8">
        <f t="shared" si="15"/>
        <v>32340</v>
      </c>
      <c r="G334" s="9">
        <f t="shared" si="16"/>
        <v>43840</v>
      </c>
      <c r="H334" s="10">
        <f t="shared" si="17"/>
        <v>3.4325999999999999</v>
      </c>
    </row>
    <row r="335" spans="1:8" x14ac:dyDescent="0.2">
      <c r="A335" s="1">
        <v>10</v>
      </c>
      <c r="B335" s="1" t="str">
        <v>2020-01-10</v>
      </c>
      <c r="C335" s="1">
        <v>3.3601999999999999</v>
      </c>
      <c r="F335" s="8">
        <f t="shared" si="15"/>
        <v>10</v>
      </c>
      <c r="G335" s="9">
        <f t="shared" si="16"/>
        <v>43840</v>
      </c>
      <c r="H335" s="10">
        <f t="shared" si="17"/>
        <v>3.3601999999999999</v>
      </c>
    </row>
    <row r="336" spans="1:8" x14ac:dyDescent="0.2">
      <c r="A336" s="1">
        <v>32260</v>
      </c>
      <c r="B336" s="1" t="str">
        <v>2020-01-10</v>
      </c>
      <c r="C336" s="1">
        <v>3.5034999999999998</v>
      </c>
      <c r="F336" s="8">
        <f t="shared" si="15"/>
        <v>32260</v>
      </c>
      <c r="G336" s="9">
        <f t="shared" si="16"/>
        <v>43840</v>
      </c>
      <c r="H336" s="10">
        <f t="shared" si="17"/>
        <v>3.5034999999999998</v>
      </c>
    </row>
    <row r="337" spans="1:8" x14ac:dyDescent="0.2">
      <c r="A337" s="1">
        <v>32724</v>
      </c>
      <c r="B337" s="1" t="str">
        <v>2020-01-10</v>
      </c>
      <c r="C337" s="1">
        <v>3.5047999999999999</v>
      </c>
      <c r="F337" s="8">
        <f t="shared" si="15"/>
        <v>32724</v>
      </c>
      <c r="G337" s="9">
        <f t="shared" si="16"/>
        <v>43840</v>
      </c>
      <c r="H337" s="10">
        <f t="shared" si="17"/>
        <v>3.5047999999999999</v>
      </c>
    </row>
    <row r="338" spans="1:8" x14ac:dyDescent="0.2">
      <c r="A338" s="1">
        <v>32480</v>
      </c>
      <c r="B338" s="1" t="str">
        <v>2020-01-10</v>
      </c>
      <c r="C338" s="1">
        <v>3.2469000000000001</v>
      </c>
      <c r="F338" s="8">
        <f t="shared" si="15"/>
        <v>32480</v>
      </c>
      <c r="G338" s="9">
        <f t="shared" si="16"/>
        <v>43840</v>
      </c>
      <c r="H338" s="10">
        <f t="shared" si="17"/>
        <v>3.2469000000000001</v>
      </c>
    </row>
    <row r="339" spans="1:8" x14ac:dyDescent="0.2">
      <c r="A339" s="1">
        <v>32803</v>
      </c>
      <c r="B339" s="1" t="str">
        <v>2020-01-13</v>
      </c>
      <c r="C339" s="1">
        <v>3.2879999999999998</v>
      </c>
      <c r="F339" s="8">
        <f t="shared" si="15"/>
        <v>32803</v>
      </c>
      <c r="G339" s="9">
        <f t="shared" si="16"/>
        <v>43843</v>
      </c>
      <c r="H339" s="10">
        <f t="shared" si="17"/>
        <v>3.2879999999999998</v>
      </c>
    </row>
    <row r="340" spans="1:8" x14ac:dyDescent="0.2">
      <c r="A340" s="1">
        <v>32360</v>
      </c>
      <c r="B340" s="1" t="str">
        <v>2020-01-13</v>
      </c>
      <c r="C340" s="1">
        <v>3.7233999999999998</v>
      </c>
      <c r="F340" s="8">
        <f t="shared" si="15"/>
        <v>32360</v>
      </c>
      <c r="G340" s="9">
        <f t="shared" si="16"/>
        <v>43843</v>
      </c>
      <c r="H340" s="10">
        <f t="shared" si="17"/>
        <v>3.7233999999999998</v>
      </c>
    </row>
    <row r="341" spans="1:8" x14ac:dyDescent="0.2">
      <c r="A341" s="1">
        <v>32582</v>
      </c>
      <c r="B341" s="1" t="str">
        <v>2020-01-13</v>
      </c>
      <c r="C341" s="1">
        <v>3.5047999999999999</v>
      </c>
      <c r="F341" s="8">
        <f t="shared" si="15"/>
        <v>32582</v>
      </c>
      <c r="G341" s="9">
        <f t="shared" si="16"/>
        <v>43843</v>
      </c>
      <c r="H341" s="10">
        <f t="shared" si="17"/>
        <v>3.5047999999999999</v>
      </c>
    </row>
    <row r="342" spans="1:8" x14ac:dyDescent="0.2">
      <c r="A342" s="1">
        <v>102</v>
      </c>
      <c r="B342" s="1" t="str">
        <v>2020-01-13</v>
      </c>
      <c r="C342" s="1">
        <v>3.2671999999999999</v>
      </c>
      <c r="F342" s="8">
        <f t="shared" si="15"/>
        <v>102</v>
      </c>
      <c r="G342" s="9">
        <f t="shared" si="16"/>
        <v>43843</v>
      </c>
      <c r="H342" s="10">
        <f t="shared" si="17"/>
        <v>3.2671999999999999</v>
      </c>
    </row>
    <row r="343" spans="1:8" x14ac:dyDescent="0.2">
      <c r="A343" s="1">
        <v>78</v>
      </c>
      <c r="B343" s="1" t="str">
        <v>2020-01-13</v>
      </c>
      <c r="C343" s="1">
        <v>3.5874000000000001</v>
      </c>
      <c r="F343" s="8">
        <f t="shared" si="15"/>
        <v>78</v>
      </c>
      <c r="G343" s="9">
        <f t="shared" si="16"/>
        <v>43843</v>
      </c>
      <c r="H343" s="10">
        <f t="shared" si="17"/>
        <v>3.5874000000000001</v>
      </c>
    </row>
    <row r="344" spans="1:8" x14ac:dyDescent="0.2">
      <c r="A344" s="1">
        <v>32180</v>
      </c>
      <c r="B344" s="1" t="str">
        <v>2020-01-13</v>
      </c>
      <c r="C344" s="1">
        <v>3.8203</v>
      </c>
      <c r="F344" s="8">
        <f t="shared" si="15"/>
        <v>32180</v>
      </c>
      <c r="G344" s="9">
        <f t="shared" si="16"/>
        <v>43843</v>
      </c>
      <c r="H344" s="10">
        <f t="shared" si="17"/>
        <v>3.8203</v>
      </c>
    </row>
    <row r="345" spans="1:8" x14ac:dyDescent="0.2">
      <c r="A345" s="1">
        <v>109</v>
      </c>
      <c r="B345" s="1" t="str">
        <v>2020-01-13</v>
      </c>
      <c r="C345" s="1">
        <v>3.7105999999999999</v>
      </c>
      <c r="F345" s="8">
        <f t="shared" si="15"/>
        <v>109</v>
      </c>
      <c r="G345" s="9">
        <f t="shared" si="16"/>
        <v>43843</v>
      </c>
      <c r="H345" s="10">
        <f t="shared" si="17"/>
        <v>3.7105999999999999</v>
      </c>
    </row>
    <row r="346" spans="1:8" x14ac:dyDescent="0.2">
      <c r="A346" s="1">
        <v>171</v>
      </c>
      <c r="B346" s="1" t="str">
        <v>2020-01-13</v>
      </c>
      <c r="C346" s="1">
        <v>3.4426999999999999</v>
      </c>
      <c r="F346" s="8">
        <f t="shared" si="15"/>
        <v>171</v>
      </c>
      <c r="G346" s="9">
        <f t="shared" si="16"/>
        <v>43843</v>
      </c>
      <c r="H346" s="10">
        <f t="shared" si="17"/>
        <v>3.4426999999999999</v>
      </c>
    </row>
    <row r="347" spans="1:8" x14ac:dyDescent="0.2">
      <c r="A347" s="1">
        <v>32040</v>
      </c>
      <c r="B347" s="1" t="str">
        <v>2020-01-13</v>
      </c>
      <c r="C347" s="1">
        <v>3.4519000000000002</v>
      </c>
      <c r="F347" s="8">
        <f t="shared" si="15"/>
        <v>32040</v>
      </c>
      <c r="G347" s="9">
        <f t="shared" si="16"/>
        <v>43843</v>
      </c>
      <c r="H347" s="10">
        <f t="shared" si="17"/>
        <v>3.4519000000000002</v>
      </c>
    </row>
    <row r="348" spans="1:8" x14ac:dyDescent="0.2">
      <c r="A348" s="1">
        <v>101</v>
      </c>
      <c r="B348" s="1" t="str">
        <v>2020-01-13</v>
      </c>
      <c r="C348" s="1">
        <v>3.6696</v>
      </c>
      <c r="F348" s="8">
        <f t="shared" si="15"/>
        <v>101</v>
      </c>
      <c r="G348" s="9">
        <f t="shared" si="16"/>
        <v>43843</v>
      </c>
      <c r="H348" s="10">
        <f t="shared" si="17"/>
        <v>3.6696</v>
      </c>
    </row>
    <row r="349" spans="1:8" x14ac:dyDescent="0.2">
      <c r="A349" s="1">
        <v>34</v>
      </c>
      <c r="B349" s="1" t="str">
        <v>2020-01-13</v>
      </c>
      <c r="C349" s="1">
        <v>3.0926</v>
      </c>
      <c r="F349" s="8">
        <f t="shared" si="15"/>
        <v>34</v>
      </c>
      <c r="G349" s="9">
        <f t="shared" si="16"/>
        <v>43843</v>
      </c>
      <c r="H349" s="10">
        <f t="shared" si="17"/>
        <v>3.0926</v>
      </c>
    </row>
    <row r="350" spans="1:8" x14ac:dyDescent="0.2">
      <c r="A350" s="1">
        <v>32783</v>
      </c>
      <c r="B350" s="1" t="str">
        <v>2020-01-13</v>
      </c>
      <c r="C350" s="1">
        <v>3.8041999999999998</v>
      </c>
      <c r="F350" s="8">
        <f t="shared" si="15"/>
        <v>32783</v>
      </c>
      <c r="G350" s="9">
        <f t="shared" si="16"/>
        <v>43843</v>
      </c>
      <c r="H350" s="10">
        <f t="shared" si="17"/>
        <v>3.8041999999999998</v>
      </c>
    </row>
    <row r="351" spans="1:8" x14ac:dyDescent="0.2">
      <c r="A351" s="1">
        <v>147</v>
      </c>
      <c r="B351" s="1" t="str">
        <v>2020-01-13</v>
      </c>
      <c r="C351" s="1">
        <v>3.5451999999999999</v>
      </c>
      <c r="F351" s="8">
        <f t="shared" si="15"/>
        <v>147</v>
      </c>
      <c r="G351" s="9">
        <f t="shared" si="16"/>
        <v>43843</v>
      </c>
      <c r="H351" s="10">
        <f t="shared" si="17"/>
        <v>3.5451999999999999</v>
      </c>
    </row>
    <row r="352" spans="1:8" x14ac:dyDescent="0.2">
      <c r="A352" s="1">
        <v>132</v>
      </c>
      <c r="B352" s="1" t="str">
        <v>2020-01-13</v>
      </c>
      <c r="C352" s="1">
        <v>3.5975999999999999</v>
      </c>
      <c r="F352" s="8">
        <f t="shared" si="15"/>
        <v>132</v>
      </c>
      <c r="G352" s="9">
        <f t="shared" si="16"/>
        <v>43843</v>
      </c>
      <c r="H352" s="10">
        <f t="shared" si="17"/>
        <v>3.5975999999999999</v>
      </c>
    </row>
    <row r="353" spans="1:8" x14ac:dyDescent="0.2">
      <c r="A353" s="1">
        <v>178</v>
      </c>
      <c r="B353" s="1" t="str">
        <v>2020-01-13</v>
      </c>
      <c r="C353" s="1">
        <v>3.35</v>
      </c>
      <c r="F353" s="8">
        <f t="shared" si="15"/>
        <v>178</v>
      </c>
      <c r="G353" s="9">
        <f t="shared" si="16"/>
        <v>43843</v>
      </c>
      <c r="H353" s="10">
        <f t="shared" si="17"/>
        <v>3.35</v>
      </c>
    </row>
    <row r="354" spans="1:8" x14ac:dyDescent="0.2">
      <c r="A354" s="1">
        <v>32320</v>
      </c>
      <c r="B354" s="1" t="str">
        <v>2020-01-13</v>
      </c>
      <c r="C354" s="1">
        <v>3.4014000000000002</v>
      </c>
      <c r="F354" s="8">
        <f t="shared" si="15"/>
        <v>32320</v>
      </c>
      <c r="G354" s="9">
        <f t="shared" si="16"/>
        <v>43843</v>
      </c>
      <c r="H354" s="10">
        <f t="shared" si="17"/>
        <v>3.4014000000000002</v>
      </c>
    </row>
    <row r="355" spans="1:8" x14ac:dyDescent="0.2">
      <c r="A355" s="1">
        <v>187</v>
      </c>
      <c r="B355" s="1" t="str">
        <v>2020-01-13</v>
      </c>
      <c r="C355" s="1">
        <v>3.6282999999999999</v>
      </c>
      <c r="F355" s="8">
        <f t="shared" si="15"/>
        <v>187</v>
      </c>
      <c r="G355" s="9">
        <f t="shared" si="16"/>
        <v>43843</v>
      </c>
      <c r="H355" s="10">
        <f t="shared" si="17"/>
        <v>3.6282999999999999</v>
      </c>
    </row>
    <row r="356" spans="1:8" x14ac:dyDescent="0.2">
      <c r="A356" s="1">
        <v>32380</v>
      </c>
      <c r="B356" s="1" t="str">
        <v>2020-01-13</v>
      </c>
      <c r="C356" s="1">
        <v>3.6223000000000001</v>
      </c>
      <c r="F356" s="8">
        <f t="shared" si="15"/>
        <v>32380</v>
      </c>
      <c r="G356" s="9">
        <f t="shared" si="16"/>
        <v>43843</v>
      </c>
      <c r="H356" s="10">
        <f t="shared" si="17"/>
        <v>3.6223000000000001</v>
      </c>
    </row>
    <row r="357" spans="1:8" x14ac:dyDescent="0.2">
      <c r="A357" s="1">
        <v>98</v>
      </c>
      <c r="B357" s="1" t="str">
        <v>2020-01-14</v>
      </c>
      <c r="C357" s="1">
        <v>3.5036</v>
      </c>
      <c r="F357" s="8">
        <f t="shared" si="15"/>
        <v>98</v>
      </c>
      <c r="G357" s="9">
        <f t="shared" si="16"/>
        <v>43844</v>
      </c>
      <c r="H357" s="10">
        <f t="shared" si="17"/>
        <v>3.5036</v>
      </c>
    </row>
    <row r="358" spans="1:8" x14ac:dyDescent="0.2">
      <c r="A358" s="1">
        <v>147</v>
      </c>
      <c r="B358" s="1" t="str">
        <v>2020-01-14</v>
      </c>
      <c r="C358" s="1">
        <v>3.4626999999999999</v>
      </c>
      <c r="F358" s="8">
        <f t="shared" si="15"/>
        <v>147</v>
      </c>
      <c r="G358" s="9">
        <f t="shared" si="16"/>
        <v>43844</v>
      </c>
      <c r="H358" s="10">
        <f t="shared" si="17"/>
        <v>3.4626999999999999</v>
      </c>
    </row>
    <row r="359" spans="1:8" x14ac:dyDescent="0.2">
      <c r="A359" s="1">
        <v>32724</v>
      </c>
      <c r="B359" s="1" t="str">
        <v>2020-01-14</v>
      </c>
      <c r="C359" s="1">
        <v>3.4327000000000001</v>
      </c>
      <c r="F359" s="8">
        <f t="shared" si="15"/>
        <v>32724</v>
      </c>
      <c r="G359" s="9">
        <f t="shared" si="16"/>
        <v>43844</v>
      </c>
      <c r="H359" s="10">
        <f t="shared" si="17"/>
        <v>3.4327000000000001</v>
      </c>
    </row>
    <row r="360" spans="1:8" x14ac:dyDescent="0.2">
      <c r="A360" s="1">
        <v>157</v>
      </c>
      <c r="B360" s="1" t="str">
        <v>2020-01-14</v>
      </c>
      <c r="C360" s="1">
        <v>3.81</v>
      </c>
      <c r="F360" s="8">
        <f t="shared" si="15"/>
        <v>157</v>
      </c>
      <c r="G360" s="9">
        <f t="shared" si="16"/>
        <v>43844</v>
      </c>
      <c r="H360" s="10">
        <f t="shared" si="17"/>
        <v>3.81</v>
      </c>
    </row>
    <row r="361" spans="1:8" x14ac:dyDescent="0.2">
      <c r="A361" s="1">
        <v>32983</v>
      </c>
      <c r="B361" s="1" t="str">
        <v>2020-01-14</v>
      </c>
      <c r="C361" s="1">
        <v>3.7206999999999999</v>
      </c>
      <c r="F361" s="8">
        <f t="shared" si="15"/>
        <v>32983</v>
      </c>
      <c r="G361" s="9">
        <f t="shared" si="16"/>
        <v>43844</v>
      </c>
      <c r="H361" s="10">
        <f t="shared" si="17"/>
        <v>3.7206999999999999</v>
      </c>
    </row>
    <row r="362" spans="1:8" x14ac:dyDescent="0.2">
      <c r="A362" s="1">
        <v>1</v>
      </c>
      <c r="B362" s="1" t="str">
        <v>2020-01-14</v>
      </c>
      <c r="C362" s="1">
        <v>3.5874000000000001</v>
      </c>
      <c r="F362" s="8">
        <f t="shared" si="15"/>
        <v>1</v>
      </c>
      <c r="G362" s="9">
        <f t="shared" si="16"/>
        <v>43844</v>
      </c>
      <c r="H362" s="10">
        <f t="shared" si="17"/>
        <v>3.5874000000000001</v>
      </c>
    </row>
    <row r="363" spans="1:8" x14ac:dyDescent="0.2">
      <c r="A363" s="1">
        <v>90</v>
      </c>
      <c r="B363" s="1" t="str">
        <v>2020-01-15</v>
      </c>
      <c r="C363" s="1">
        <v>3.4634</v>
      </c>
      <c r="F363" s="8">
        <f t="shared" si="15"/>
        <v>90</v>
      </c>
      <c r="G363" s="9">
        <f t="shared" si="16"/>
        <v>43845</v>
      </c>
      <c r="H363" s="10">
        <f t="shared" si="17"/>
        <v>3.4634</v>
      </c>
    </row>
    <row r="364" spans="1:8" x14ac:dyDescent="0.2">
      <c r="A364" s="1">
        <v>32082</v>
      </c>
      <c r="B364" s="1" t="str">
        <v>2020-01-15</v>
      </c>
      <c r="C364" s="1">
        <v>3.4310999999999998</v>
      </c>
      <c r="F364" s="8">
        <f t="shared" si="15"/>
        <v>32082</v>
      </c>
      <c r="G364" s="9">
        <f t="shared" si="16"/>
        <v>43845</v>
      </c>
      <c r="H364" s="10">
        <f t="shared" si="17"/>
        <v>3.4310999999999998</v>
      </c>
    </row>
    <row r="365" spans="1:8" x14ac:dyDescent="0.2">
      <c r="A365" s="1">
        <v>1</v>
      </c>
      <c r="B365" s="1" t="str">
        <v>2020-01-15</v>
      </c>
      <c r="C365" s="1">
        <v>3.7010999999999998</v>
      </c>
      <c r="F365" s="8">
        <f t="shared" si="15"/>
        <v>1</v>
      </c>
      <c r="G365" s="9">
        <f t="shared" si="16"/>
        <v>43845</v>
      </c>
      <c r="H365" s="10">
        <f t="shared" si="17"/>
        <v>3.7010999999999998</v>
      </c>
    </row>
    <row r="366" spans="1:8" x14ac:dyDescent="0.2">
      <c r="A366" s="1">
        <v>2250</v>
      </c>
      <c r="B366" s="1" t="str">
        <v>2020-01-15</v>
      </c>
      <c r="C366" s="1">
        <v>3.1023000000000001</v>
      </c>
      <c r="F366" s="8">
        <f t="shared" si="15"/>
        <v>2250</v>
      </c>
      <c r="G366" s="9">
        <f t="shared" si="16"/>
        <v>43845</v>
      </c>
      <c r="H366" s="10">
        <f t="shared" si="17"/>
        <v>3.1023000000000001</v>
      </c>
    </row>
    <row r="367" spans="1:8" x14ac:dyDescent="0.2">
      <c r="A367" s="1">
        <v>147</v>
      </c>
      <c r="B367" s="1" t="str">
        <v>2020-01-15</v>
      </c>
      <c r="C367" s="1">
        <v>3.4214000000000002</v>
      </c>
      <c r="F367" s="8">
        <f t="shared" si="15"/>
        <v>147</v>
      </c>
      <c r="G367" s="9">
        <f t="shared" si="16"/>
        <v>43845</v>
      </c>
      <c r="H367" s="10">
        <f t="shared" si="17"/>
        <v>3.4214000000000002</v>
      </c>
    </row>
    <row r="368" spans="1:8" x14ac:dyDescent="0.2">
      <c r="A368" s="1">
        <v>32823</v>
      </c>
      <c r="B368" s="1" t="str">
        <v>2020-01-15</v>
      </c>
      <c r="C368" s="1">
        <v>4.4000000000000004</v>
      </c>
      <c r="F368" s="8">
        <f t="shared" si="15"/>
        <v>32823</v>
      </c>
      <c r="G368" s="9">
        <f t="shared" si="16"/>
        <v>43845</v>
      </c>
      <c r="H368" s="10">
        <f t="shared" si="17"/>
        <v>4.4000000000000004</v>
      </c>
    </row>
    <row r="369" spans="1:8" x14ac:dyDescent="0.2">
      <c r="A369" s="1">
        <v>115</v>
      </c>
      <c r="B369" s="1" t="str">
        <v>2020-01-16</v>
      </c>
      <c r="C369" s="1">
        <v>3.6177999999999999</v>
      </c>
      <c r="F369" s="8">
        <f t="shared" si="15"/>
        <v>115</v>
      </c>
      <c r="G369" s="9">
        <f t="shared" si="16"/>
        <v>43846</v>
      </c>
      <c r="H369" s="10">
        <f t="shared" si="17"/>
        <v>3.6177999999999999</v>
      </c>
    </row>
    <row r="370" spans="1:8" x14ac:dyDescent="0.2">
      <c r="A370" s="1">
        <v>32723</v>
      </c>
      <c r="B370" s="1" t="str">
        <v>2020-01-16</v>
      </c>
      <c r="C370" s="1">
        <v>3.4809000000000001</v>
      </c>
      <c r="F370" s="8">
        <f t="shared" si="15"/>
        <v>32723</v>
      </c>
      <c r="G370" s="9">
        <f t="shared" si="16"/>
        <v>43846</v>
      </c>
      <c r="H370" s="10">
        <f t="shared" si="17"/>
        <v>3.4809000000000001</v>
      </c>
    </row>
    <row r="371" spans="1:8" x14ac:dyDescent="0.2">
      <c r="A371" s="1">
        <v>147</v>
      </c>
      <c r="B371" s="1" t="str">
        <v>2020-01-16</v>
      </c>
      <c r="C371" s="1">
        <v>3.4525000000000001</v>
      </c>
      <c r="F371" s="8">
        <f t="shared" si="15"/>
        <v>147</v>
      </c>
      <c r="G371" s="9">
        <f t="shared" si="16"/>
        <v>43846</v>
      </c>
      <c r="H371" s="10">
        <f t="shared" si="17"/>
        <v>3.4525000000000001</v>
      </c>
    </row>
    <row r="372" spans="1:8" x14ac:dyDescent="0.2">
      <c r="A372" s="1">
        <v>1</v>
      </c>
      <c r="B372" s="1" t="str">
        <v>2020-01-16</v>
      </c>
      <c r="C372" s="1">
        <v>3.6701000000000001</v>
      </c>
      <c r="F372" s="8">
        <f t="shared" si="15"/>
        <v>1</v>
      </c>
      <c r="G372" s="9">
        <f t="shared" si="16"/>
        <v>43846</v>
      </c>
      <c r="H372" s="10">
        <f t="shared" si="17"/>
        <v>3.6701000000000001</v>
      </c>
    </row>
    <row r="373" spans="1:8" x14ac:dyDescent="0.2">
      <c r="A373" s="1">
        <v>72</v>
      </c>
      <c r="B373" s="1" t="str">
        <v>2020-01-16</v>
      </c>
      <c r="C373" s="1">
        <v>3.4011</v>
      </c>
      <c r="F373" s="8">
        <f t="shared" si="15"/>
        <v>72</v>
      </c>
      <c r="G373" s="9">
        <f t="shared" si="16"/>
        <v>43846</v>
      </c>
      <c r="H373" s="10">
        <f t="shared" si="17"/>
        <v>3.4011</v>
      </c>
    </row>
    <row r="374" spans="1:8" x14ac:dyDescent="0.2">
      <c r="A374" s="1">
        <v>32421</v>
      </c>
      <c r="B374" s="1" t="str">
        <v>2020-01-16</v>
      </c>
      <c r="C374" s="1">
        <v>3.5440999999999998</v>
      </c>
      <c r="F374" s="8">
        <f t="shared" si="15"/>
        <v>32421</v>
      </c>
      <c r="G374" s="9">
        <f t="shared" si="16"/>
        <v>43846</v>
      </c>
      <c r="H374" s="10">
        <f t="shared" si="17"/>
        <v>3.5440999999999998</v>
      </c>
    </row>
    <row r="375" spans="1:8" x14ac:dyDescent="0.2">
      <c r="A375" s="1">
        <v>150</v>
      </c>
      <c r="B375" s="1" t="str">
        <v>2020-01-17</v>
      </c>
      <c r="C375" s="1">
        <v>4.1417999999999999</v>
      </c>
      <c r="F375" s="8">
        <f t="shared" si="15"/>
        <v>150</v>
      </c>
      <c r="G375" s="9">
        <f t="shared" si="16"/>
        <v>43847</v>
      </c>
      <c r="H375" s="10">
        <f t="shared" si="17"/>
        <v>4.1417999999999999</v>
      </c>
    </row>
    <row r="376" spans="1:8" x14ac:dyDescent="0.2">
      <c r="A376" s="1">
        <v>67</v>
      </c>
      <c r="B376" s="1" t="str">
        <v>2020-01-17</v>
      </c>
      <c r="C376" s="1">
        <v>3.3289</v>
      </c>
      <c r="F376" s="8">
        <f t="shared" si="15"/>
        <v>67</v>
      </c>
      <c r="G376" s="9">
        <f t="shared" si="16"/>
        <v>43847</v>
      </c>
      <c r="H376" s="10">
        <f t="shared" si="17"/>
        <v>3.3289</v>
      </c>
    </row>
    <row r="377" spans="1:8" x14ac:dyDescent="0.2">
      <c r="A377" s="1">
        <v>16</v>
      </c>
      <c r="B377" s="1" t="str">
        <v>2020-01-17</v>
      </c>
      <c r="C377" s="1">
        <v>3.39</v>
      </c>
      <c r="F377" s="8">
        <f t="shared" si="15"/>
        <v>16</v>
      </c>
      <c r="G377" s="9">
        <f t="shared" si="16"/>
        <v>43847</v>
      </c>
      <c r="H377" s="10">
        <f t="shared" si="17"/>
        <v>3.39</v>
      </c>
    </row>
    <row r="378" spans="1:8" x14ac:dyDescent="0.2">
      <c r="A378" s="1">
        <v>32843</v>
      </c>
      <c r="B378" s="1" t="str">
        <v>2020-01-17</v>
      </c>
      <c r="C378" s="1">
        <v>3.2978000000000001</v>
      </c>
      <c r="F378" s="8">
        <f t="shared" si="15"/>
        <v>32843</v>
      </c>
      <c r="G378" s="9">
        <f t="shared" si="16"/>
        <v>43847</v>
      </c>
      <c r="H378" s="10">
        <f t="shared" si="17"/>
        <v>3.2978000000000001</v>
      </c>
    </row>
    <row r="379" spans="1:8" x14ac:dyDescent="0.2">
      <c r="A379" s="1">
        <v>99</v>
      </c>
      <c r="B379" s="1" t="str">
        <v>2020-01-17</v>
      </c>
      <c r="C379" s="1">
        <v>3.4424999999999999</v>
      </c>
      <c r="F379" s="8">
        <f t="shared" si="15"/>
        <v>99</v>
      </c>
      <c r="G379" s="9">
        <f t="shared" si="16"/>
        <v>43847</v>
      </c>
      <c r="H379" s="10">
        <f t="shared" si="17"/>
        <v>3.4424999999999999</v>
      </c>
    </row>
    <row r="380" spans="1:8" x14ac:dyDescent="0.2">
      <c r="A380" s="1">
        <v>32260</v>
      </c>
      <c r="B380" s="1" t="str">
        <v>2020-01-17</v>
      </c>
      <c r="C380" s="1">
        <v>3.4007999999999998</v>
      </c>
      <c r="F380" s="8">
        <f t="shared" si="15"/>
        <v>32260</v>
      </c>
      <c r="G380" s="9">
        <f t="shared" si="16"/>
        <v>43847</v>
      </c>
      <c r="H380" s="10">
        <f t="shared" si="17"/>
        <v>3.4007999999999998</v>
      </c>
    </row>
    <row r="381" spans="1:8" x14ac:dyDescent="0.2">
      <c r="A381" s="1">
        <v>32420</v>
      </c>
      <c r="B381" s="1" t="str">
        <v>2020-01-17</v>
      </c>
      <c r="C381" s="1">
        <v>3.7574999999999998</v>
      </c>
      <c r="F381" s="8">
        <f t="shared" si="15"/>
        <v>32420</v>
      </c>
      <c r="G381" s="9">
        <f t="shared" si="16"/>
        <v>43847</v>
      </c>
      <c r="H381" s="10">
        <f t="shared" si="17"/>
        <v>3.7574999999999998</v>
      </c>
    </row>
    <row r="382" spans="1:8" x14ac:dyDescent="0.2">
      <c r="A382" s="1">
        <v>32340</v>
      </c>
      <c r="B382" s="1" t="str">
        <v>2020-01-17</v>
      </c>
      <c r="C382" s="1">
        <v>3.4011</v>
      </c>
      <c r="F382" s="8">
        <f t="shared" si="15"/>
        <v>32340</v>
      </c>
      <c r="G382" s="9">
        <f t="shared" si="16"/>
        <v>43847</v>
      </c>
      <c r="H382" s="10">
        <f t="shared" si="17"/>
        <v>3.4011</v>
      </c>
    </row>
    <row r="383" spans="1:8" x14ac:dyDescent="0.2">
      <c r="A383" s="1">
        <v>32</v>
      </c>
      <c r="B383" s="1" t="str">
        <v>2020-01-17</v>
      </c>
      <c r="C383" s="1">
        <v>3.7010000000000001</v>
      </c>
      <c r="F383" s="8">
        <f t="shared" si="15"/>
        <v>32</v>
      </c>
      <c r="G383" s="9">
        <f t="shared" si="16"/>
        <v>43847</v>
      </c>
      <c r="H383" s="10">
        <f t="shared" si="17"/>
        <v>3.7010000000000001</v>
      </c>
    </row>
    <row r="384" spans="1:8" x14ac:dyDescent="0.2">
      <c r="A384" s="1">
        <v>143</v>
      </c>
      <c r="B384" s="1" t="str">
        <v>2020-01-17</v>
      </c>
      <c r="C384" s="1">
        <v>3.5</v>
      </c>
      <c r="F384" s="8">
        <f t="shared" si="15"/>
        <v>143</v>
      </c>
      <c r="G384" s="9">
        <f t="shared" si="16"/>
        <v>43847</v>
      </c>
      <c r="H384" s="10">
        <f t="shared" si="17"/>
        <v>3.5</v>
      </c>
    </row>
    <row r="385" spans="1:8" x14ac:dyDescent="0.2">
      <c r="A385" s="1">
        <v>33125</v>
      </c>
      <c r="B385" s="1" t="str">
        <v>2020-01-17</v>
      </c>
      <c r="C385" s="1">
        <v>3.4529000000000001</v>
      </c>
      <c r="F385" s="8">
        <f t="shared" si="15"/>
        <v>33125</v>
      </c>
      <c r="G385" s="9">
        <f t="shared" si="16"/>
        <v>43847</v>
      </c>
      <c r="H385" s="10">
        <f t="shared" si="17"/>
        <v>3.4529000000000001</v>
      </c>
    </row>
    <row r="386" spans="1:8" x14ac:dyDescent="0.2">
      <c r="A386" s="1">
        <v>32180</v>
      </c>
      <c r="B386" s="1" t="str">
        <v>2020-01-17</v>
      </c>
      <c r="C386" s="1">
        <v>3.4434999999999998</v>
      </c>
      <c r="F386" s="8">
        <f t="shared" si="15"/>
        <v>32180</v>
      </c>
      <c r="G386" s="9">
        <f t="shared" si="16"/>
        <v>43847</v>
      </c>
      <c r="H386" s="10">
        <f t="shared" si="17"/>
        <v>3.4434999999999998</v>
      </c>
    </row>
    <row r="387" spans="1:8" x14ac:dyDescent="0.2">
      <c r="A387" s="1">
        <v>13250</v>
      </c>
      <c r="B387" s="1" t="str">
        <v>2020-01-17</v>
      </c>
      <c r="C387" s="1">
        <v>2.8050999999999999</v>
      </c>
      <c r="F387" s="8">
        <f t="shared" si="15"/>
        <v>13250</v>
      </c>
      <c r="G387" s="9">
        <f t="shared" si="16"/>
        <v>43847</v>
      </c>
      <c r="H387" s="10">
        <f t="shared" si="17"/>
        <v>2.8050999999999999</v>
      </c>
    </row>
    <row r="388" spans="1:8" x14ac:dyDescent="0.2">
      <c r="A388" s="1">
        <v>81</v>
      </c>
      <c r="B388" s="1" t="str">
        <v>2020-01-17</v>
      </c>
      <c r="C388" s="1">
        <v>3.5562999999999998</v>
      </c>
      <c r="F388" s="8">
        <f t="shared" si="15"/>
        <v>81</v>
      </c>
      <c r="G388" s="9">
        <f t="shared" si="16"/>
        <v>43847</v>
      </c>
      <c r="H388" s="10">
        <f t="shared" si="17"/>
        <v>3.5562999999999998</v>
      </c>
    </row>
    <row r="389" spans="1:8" x14ac:dyDescent="0.2">
      <c r="A389" s="1">
        <v>187</v>
      </c>
      <c r="B389" s="1" t="str">
        <v>2020-01-17</v>
      </c>
      <c r="C389" s="1">
        <v>3.7109999999999999</v>
      </c>
      <c r="F389" s="8">
        <f t="shared" si="15"/>
        <v>187</v>
      </c>
      <c r="G389" s="9">
        <f t="shared" si="16"/>
        <v>43847</v>
      </c>
      <c r="H389" s="10">
        <f t="shared" si="17"/>
        <v>3.7109999999999999</v>
      </c>
    </row>
    <row r="390" spans="1:8" x14ac:dyDescent="0.2">
      <c r="A390" s="1">
        <v>102</v>
      </c>
      <c r="B390" s="1" t="str">
        <v>2020-01-17</v>
      </c>
      <c r="C390" s="1">
        <v>3.2054999999999998</v>
      </c>
      <c r="F390" s="8">
        <f t="shared" si="15"/>
        <v>102</v>
      </c>
      <c r="G390" s="9">
        <f t="shared" si="16"/>
        <v>43847</v>
      </c>
      <c r="H390" s="10">
        <f t="shared" si="17"/>
        <v>3.2054999999999998</v>
      </c>
    </row>
    <row r="391" spans="1:8" x14ac:dyDescent="0.2">
      <c r="A391" s="1">
        <v>10</v>
      </c>
      <c r="B391" s="1" t="str">
        <v>2020-01-17</v>
      </c>
      <c r="C391" s="1">
        <v>3.2366000000000001</v>
      </c>
      <c r="F391" s="8">
        <f t="shared" si="15"/>
        <v>10</v>
      </c>
      <c r="G391" s="9">
        <f t="shared" si="16"/>
        <v>43847</v>
      </c>
      <c r="H391" s="10">
        <f t="shared" si="17"/>
        <v>3.2366000000000001</v>
      </c>
    </row>
    <row r="392" spans="1:8" x14ac:dyDescent="0.2">
      <c r="A392" s="1">
        <v>2250</v>
      </c>
      <c r="B392" s="1" t="str">
        <v>2020-01-17</v>
      </c>
      <c r="C392" s="1">
        <v>3.1023000000000001</v>
      </c>
      <c r="F392" s="8">
        <f t="shared" si="15"/>
        <v>2250</v>
      </c>
      <c r="G392" s="9">
        <f t="shared" si="16"/>
        <v>43847</v>
      </c>
      <c r="H392" s="10">
        <f t="shared" si="17"/>
        <v>3.1023000000000001</v>
      </c>
    </row>
    <row r="393" spans="1:8" x14ac:dyDescent="0.2">
      <c r="A393" s="1">
        <v>32340</v>
      </c>
      <c r="B393" s="1" t="str">
        <v>2020-01-20</v>
      </c>
      <c r="C393" s="1">
        <v>3.4319999999999999</v>
      </c>
      <c r="F393" s="8">
        <f t="shared" ref="F393:F456" si="18">A393</f>
        <v>32340</v>
      </c>
      <c r="G393" s="9">
        <f t="shared" ref="G393:G456" si="19">DATE(LEFT(B393,4),MID(B393,6,2),RIGHT(B393,2))</f>
        <v>43850</v>
      </c>
      <c r="H393" s="10">
        <f t="shared" ref="H393:H456" si="20">C393</f>
        <v>3.4319999999999999</v>
      </c>
    </row>
    <row r="394" spans="1:8" x14ac:dyDescent="0.2">
      <c r="A394" s="1">
        <v>147</v>
      </c>
      <c r="B394" s="1" t="str">
        <v>2020-01-20</v>
      </c>
      <c r="C394" s="1">
        <v>3.4216000000000002</v>
      </c>
      <c r="F394" s="8">
        <f t="shared" si="18"/>
        <v>147</v>
      </c>
      <c r="G394" s="9">
        <f t="shared" si="19"/>
        <v>43850</v>
      </c>
      <c r="H394" s="10">
        <f t="shared" si="20"/>
        <v>3.4216000000000002</v>
      </c>
    </row>
    <row r="395" spans="1:8" x14ac:dyDescent="0.2">
      <c r="A395" s="1">
        <v>32603</v>
      </c>
      <c r="B395" s="1" t="str">
        <v>2020-01-20</v>
      </c>
      <c r="C395" s="1">
        <v>3.3081</v>
      </c>
      <c r="F395" s="8">
        <f t="shared" si="18"/>
        <v>32603</v>
      </c>
      <c r="G395" s="9">
        <f t="shared" si="19"/>
        <v>43850</v>
      </c>
      <c r="H395" s="10">
        <f t="shared" si="20"/>
        <v>3.3081</v>
      </c>
    </row>
    <row r="396" spans="1:8" x14ac:dyDescent="0.2">
      <c r="A396" s="1">
        <v>32280</v>
      </c>
      <c r="B396" s="1" t="str">
        <v>2020-01-20</v>
      </c>
      <c r="C396" s="1">
        <v>3.7</v>
      </c>
      <c r="F396" s="8">
        <f t="shared" si="18"/>
        <v>32280</v>
      </c>
      <c r="G396" s="9">
        <f t="shared" si="19"/>
        <v>43850</v>
      </c>
      <c r="H396" s="10">
        <f t="shared" si="20"/>
        <v>3.7</v>
      </c>
    </row>
    <row r="397" spans="1:8" x14ac:dyDescent="0.2">
      <c r="A397" s="1">
        <v>55</v>
      </c>
      <c r="B397" s="1" t="str">
        <v>2020-01-20</v>
      </c>
      <c r="C397" s="1">
        <v>3.3603000000000001</v>
      </c>
      <c r="F397" s="8">
        <f t="shared" si="18"/>
        <v>55</v>
      </c>
      <c r="G397" s="9">
        <f t="shared" si="19"/>
        <v>43850</v>
      </c>
      <c r="H397" s="10">
        <f t="shared" si="20"/>
        <v>3.3603000000000001</v>
      </c>
    </row>
    <row r="398" spans="1:8" x14ac:dyDescent="0.2">
      <c r="A398" s="1">
        <v>32803</v>
      </c>
      <c r="B398" s="1" t="str">
        <v>2020-01-20</v>
      </c>
      <c r="C398" s="1">
        <v>3.1953999999999998</v>
      </c>
      <c r="F398" s="8">
        <f t="shared" si="18"/>
        <v>32803</v>
      </c>
      <c r="G398" s="9">
        <f t="shared" si="19"/>
        <v>43850</v>
      </c>
      <c r="H398" s="10">
        <f t="shared" si="20"/>
        <v>3.1953999999999998</v>
      </c>
    </row>
    <row r="399" spans="1:8" x14ac:dyDescent="0.2">
      <c r="A399" s="1">
        <v>77</v>
      </c>
      <c r="B399" s="1" t="str">
        <v>2020-01-20</v>
      </c>
      <c r="C399" s="1">
        <v>3.5657999999999999</v>
      </c>
      <c r="F399" s="8">
        <f t="shared" si="18"/>
        <v>77</v>
      </c>
      <c r="G399" s="9">
        <f t="shared" si="19"/>
        <v>43850</v>
      </c>
      <c r="H399" s="10">
        <f t="shared" si="20"/>
        <v>3.5657999999999999</v>
      </c>
    </row>
    <row r="400" spans="1:8" x14ac:dyDescent="0.2">
      <c r="A400" s="1">
        <v>89</v>
      </c>
      <c r="B400" s="1" t="str">
        <v>2020-01-20</v>
      </c>
      <c r="C400" s="1">
        <v>3.4533</v>
      </c>
      <c r="F400" s="8">
        <f t="shared" si="18"/>
        <v>89</v>
      </c>
      <c r="G400" s="9">
        <f t="shared" si="19"/>
        <v>43850</v>
      </c>
      <c r="H400" s="10">
        <f t="shared" si="20"/>
        <v>3.4533</v>
      </c>
    </row>
    <row r="401" spans="1:8" x14ac:dyDescent="0.2">
      <c r="A401" s="1">
        <v>33103</v>
      </c>
      <c r="B401" s="1" t="str">
        <v>2020-01-20</v>
      </c>
      <c r="C401" s="1">
        <v>4.0373999999999999</v>
      </c>
      <c r="F401" s="8">
        <f t="shared" si="18"/>
        <v>33103</v>
      </c>
      <c r="G401" s="9">
        <f t="shared" si="19"/>
        <v>43850</v>
      </c>
      <c r="H401" s="10">
        <f t="shared" si="20"/>
        <v>4.0373999999999999</v>
      </c>
    </row>
    <row r="402" spans="1:8" x14ac:dyDescent="0.2">
      <c r="A402" s="1">
        <v>32421</v>
      </c>
      <c r="B402" s="1" t="str">
        <v>2020-01-20</v>
      </c>
      <c r="C402" s="1">
        <v>3.4125999999999999</v>
      </c>
      <c r="F402" s="8">
        <f t="shared" si="18"/>
        <v>32421</v>
      </c>
      <c r="G402" s="9">
        <f t="shared" si="19"/>
        <v>43850</v>
      </c>
      <c r="H402" s="10">
        <f t="shared" si="20"/>
        <v>3.4125999999999999</v>
      </c>
    </row>
    <row r="403" spans="1:8" x14ac:dyDescent="0.2">
      <c r="A403" s="1">
        <v>181</v>
      </c>
      <c r="B403" s="1" t="str">
        <v>2020-01-20</v>
      </c>
      <c r="C403" s="1">
        <v>3.5146999999999999</v>
      </c>
      <c r="F403" s="8">
        <f t="shared" si="18"/>
        <v>181</v>
      </c>
      <c r="G403" s="9">
        <f t="shared" si="19"/>
        <v>43850</v>
      </c>
      <c r="H403" s="10">
        <f t="shared" si="20"/>
        <v>3.5146999999999999</v>
      </c>
    </row>
    <row r="404" spans="1:8" x14ac:dyDescent="0.2">
      <c r="A404" s="1">
        <v>178</v>
      </c>
      <c r="B404" s="1" t="str">
        <v>2020-01-20</v>
      </c>
      <c r="C404" s="1">
        <v>3.4117999999999999</v>
      </c>
      <c r="F404" s="8">
        <f t="shared" si="18"/>
        <v>178</v>
      </c>
      <c r="G404" s="9">
        <f t="shared" si="19"/>
        <v>43850</v>
      </c>
      <c r="H404" s="10">
        <f t="shared" si="20"/>
        <v>3.4117999999999999</v>
      </c>
    </row>
    <row r="405" spans="1:8" x14ac:dyDescent="0.2">
      <c r="A405" s="1">
        <v>23250</v>
      </c>
      <c r="B405" s="1" t="str">
        <v>2020-01-21</v>
      </c>
      <c r="C405" s="1">
        <v>3.4015</v>
      </c>
      <c r="F405" s="8">
        <f t="shared" si="18"/>
        <v>23250</v>
      </c>
      <c r="G405" s="9">
        <f t="shared" si="19"/>
        <v>43851</v>
      </c>
      <c r="H405" s="10">
        <f t="shared" si="20"/>
        <v>3.4015</v>
      </c>
    </row>
    <row r="406" spans="1:8" x14ac:dyDescent="0.2">
      <c r="A406" s="1">
        <v>187</v>
      </c>
      <c r="B406" s="1" t="str">
        <v>2020-01-21</v>
      </c>
      <c r="C406" s="1">
        <v>3.6593</v>
      </c>
      <c r="F406" s="8">
        <f t="shared" si="18"/>
        <v>187</v>
      </c>
      <c r="G406" s="9">
        <f t="shared" si="19"/>
        <v>43851</v>
      </c>
      <c r="H406" s="10">
        <f t="shared" si="20"/>
        <v>3.6593</v>
      </c>
    </row>
    <row r="407" spans="1:8" x14ac:dyDescent="0.2">
      <c r="A407" s="1">
        <v>30250</v>
      </c>
      <c r="B407" s="1" t="str">
        <v>2020-01-21</v>
      </c>
      <c r="C407" s="1">
        <v>3.2982999999999998</v>
      </c>
      <c r="F407" s="8">
        <f t="shared" si="18"/>
        <v>30250</v>
      </c>
      <c r="G407" s="9">
        <f t="shared" si="19"/>
        <v>43851</v>
      </c>
      <c r="H407" s="10">
        <f t="shared" si="20"/>
        <v>3.2982999999999998</v>
      </c>
    </row>
    <row r="408" spans="1:8" x14ac:dyDescent="0.2">
      <c r="A408" s="1">
        <v>33023</v>
      </c>
      <c r="B408" s="1" t="str">
        <v>2020-01-21</v>
      </c>
      <c r="C408" s="1">
        <v>3.7</v>
      </c>
      <c r="F408" s="8">
        <f t="shared" si="18"/>
        <v>33023</v>
      </c>
      <c r="G408" s="9">
        <f t="shared" si="19"/>
        <v>43851</v>
      </c>
      <c r="H408" s="10">
        <f t="shared" si="20"/>
        <v>3.7</v>
      </c>
    </row>
    <row r="409" spans="1:8" x14ac:dyDescent="0.2">
      <c r="A409" s="1">
        <v>32724</v>
      </c>
      <c r="B409" s="1" t="str">
        <v>2020-01-21</v>
      </c>
      <c r="C409" s="1">
        <v>3.3605</v>
      </c>
      <c r="F409" s="8">
        <f t="shared" si="18"/>
        <v>32724</v>
      </c>
      <c r="G409" s="9">
        <f t="shared" si="19"/>
        <v>43851</v>
      </c>
      <c r="H409" s="10">
        <f t="shared" si="20"/>
        <v>3.3605</v>
      </c>
    </row>
    <row r="410" spans="1:8" x14ac:dyDescent="0.2">
      <c r="A410" s="1">
        <v>32883</v>
      </c>
      <c r="B410" s="1" t="str">
        <v>2020-01-21</v>
      </c>
      <c r="C410" s="1">
        <v>3.4319000000000002</v>
      </c>
      <c r="F410" s="8">
        <f t="shared" si="18"/>
        <v>32883</v>
      </c>
      <c r="G410" s="9">
        <f t="shared" si="19"/>
        <v>43851</v>
      </c>
      <c r="H410" s="10">
        <f t="shared" si="20"/>
        <v>3.4319000000000002</v>
      </c>
    </row>
    <row r="411" spans="1:8" x14ac:dyDescent="0.2">
      <c r="A411" s="1">
        <v>30400</v>
      </c>
      <c r="B411" s="1" t="str">
        <v>2020-01-21</v>
      </c>
      <c r="C411" s="1">
        <v>3.0310000000000001</v>
      </c>
      <c r="F411" s="8">
        <f t="shared" si="18"/>
        <v>30400</v>
      </c>
      <c r="G411" s="9">
        <f t="shared" si="19"/>
        <v>43851</v>
      </c>
      <c r="H411" s="10">
        <f t="shared" si="20"/>
        <v>3.0310000000000001</v>
      </c>
    </row>
    <row r="412" spans="1:8" x14ac:dyDescent="0.2">
      <c r="A412" s="1">
        <v>176</v>
      </c>
      <c r="B412" s="1" t="str">
        <v>2020-01-21</v>
      </c>
      <c r="C412" s="1">
        <v>3.5253000000000001</v>
      </c>
      <c r="F412" s="8">
        <f t="shared" si="18"/>
        <v>176</v>
      </c>
      <c r="G412" s="9">
        <f t="shared" si="19"/>
        <v>43851</v>
      </c>
      <c r="H412" s="10">
        <f t="shared" si="20"/>
        <v>3.5253000000000001</v>
      </c>
    </row>
    <row r="413" spans="1:8" x14ac:dyDescent="0.2">
      <c r="A413" s="1">
        <v>32964</v>
      </c>
      <c r="B413" s="1" t="str">
        <v>2020-01-21</v>
      </c>
      <c r="C413" s="1">
        <v>3.5272999999999999</v>
      </c>
      <c r="F413" s="8">
        <f t="shared" si="18"/>
        <v>32964</v>
      </c>
      <c r="G413" s="9">
        <f t="shared" si="19"/>
        <v>43851</v>
      </c>
      <c r="H413" s="10">
        <f t="shared" si="20"/>
        <v>3.5272999999999999</v>
      </c>
    </row>
    <row r="414" spans="1:8" x14ac:dyDescent="0.2">
      <c r="A414" s="1">
        <v>1</v>
      </c>
      <c r="B414" s="1" t="str">
        <v>2020-01-21</v>
      </c>
      <c r="C414" s="1">
        <v>3.6598000000000002</v>
      </c>
      <c r="F414" s="8">
        <f t="shared" si="18"/>
        <v>1</v>
      </c>
      <c r="G414" s="9">
        <f t="shared" si="19"/>
        <v>43851</v>
      </c>
      <c r="H414" s="10">
        <f t="shared" si="20"/>
        <v>3.6598000000000002</v>
      </c>
    </row>
    <row r="415" spans="1:8" x14ac:dyDescent="0.2">
      <c r="A415" s="1">
        <v>147</v>
      </c>
      <c r="B415" s="1" t="str">
        <v>2020-01-22</v>
      </c>
      <c r="C415" s="1">
        <v>3.3388</v>
      </c>
      <c r="F415" s="8">
        <f t="shared" si="18"/>
        <v>147</v>
      </c>
      <c r="G415" s="9">
        <f t="shared" si="19"/>
        <v>43852</v>
      </c>
      <c r="H415" s="10">
        <f t="shared" si="20"/>
        <v>3.3388</v>
      </c>
    </row>
    <row r="416" spans="1:8" x14ac:dyDescent="0.2">
      <c r="A416" s="1">
        <v>33023</v>
      </c>
      <c r="B416" s="1" t="str">
        <v>2020-01-22</v>
      </c>
      <c r="C416" s="1">
        <v>3.7</v>
      </c>
      <c r="F416" s="8">
        <f t="shared" si="18"/>
        <v>33023</v>
      </c>
      <c r="G416" s="9">
        <f t="shared" si="19"/>
        <v>43852</v>
      </c>
      <c r="H416" s="10">
        <f t="shared" si="20"/>
        <v>3.7</v>
      </c>
    </row>
    <row r="417" spans="1:8" x14ac:dyDescent="0.2">
      <c r="A417" s="1">
        <v>53</v>
      </c>
      <c r="B417" s="1" t="str">
        <v>2020-01-22</v>
      </c>
      <c r="C417" s="1">
        <v>3.3289</v>
      </c>
      <c r="F417" s="8">
        <f t="shared" si="18"/>
        <v>53</v>
      </c>
      <c r="G417" s="9">
        <f t="shared" si="19"/>
        <v>43852</v>
      </c>
      <c r="H417" s="10">
        <f t="shared" si="20"/>
        <v>3.3289</v>
      </c>
    </row>
    <row r="418" spans="1:8" x14ac:dyDescent="0.2">
      <c r="A418" s="1">
        <v>34</v>
      </c>
      <c r="B418" s="1" t="str">
        <v>2020-01-22</v>
      </c>
      <c r="C418" s="1">
        <v>3.0926</v>
      </c>
      <c r="F418" s="8">
        <f t="shared" si="18"/>
        <v>34</v>
      </c>
      <c r="G418" s="9">
        <f t="shared" si="19"/>
        <v>43852</v>
      </c>
      <c r="H418" s="10">
        <f t="shared" si="20"/>
        <v>3.0926</v>
      </c>
    </row>
    <row r="419" spans="1:8" x14ac:dyDescent="0.2">
      <c r="A419" s="1">
        <v>32964</v>
      </c>
      <c r="B419" s="1" t="str">
        <v>2020-01-22</v>
      </c>
      <c r="C419" s="1">
        <v>3.3420000000000001</v>
      </c>
      <c r="F419" s="8">
        <f t="shared" si="18"/>
        <v>32964</v>
      </c>
      <c r="G419" s="9">
        <f t="shared" si="19"/>
        <v>43852</v>
      </c>
      <c r="H419" s="10">
        <f t="shared" si="20"/>
        <v>3.3420000000000001</v>
      </c>
    </row>
    <row r="420" spans="1:8" x14ac:dyDescent="0.2">
      <c r="A420" s="1">
        <v>30400</v>
      </c>
      <c r="B420" s="1" t="str">
        <v>2020-01-22</v>
      </c>
      <c r="C420" s="1">
        <v>3.2155999999999998</v>
      </c>
      <c r="F420" s="8">
        <f t="shared" si="18"/>
        <v>30400</v>
      </c>
      <c r="G420" s="9">
        <f t="shared" si="19"/>
        <v>43852</v>
      </c>
      <c r="H420" s="10">
        <f t="shared" si="20"/>
        <v>3.2155999999999998</v>
      </c>
    </row>
    <row r="421" spans="1:8" x14ac:dyDescent="0.2">
      <c r="A421" s="1">
        <v>72</v>
      </c>
      <c r="B421" s="1" t="str">
        <v>2020-01-22</v>
      </c>
      <c r="C421" s="1">
        <v>3.4117999999999999</v>
      </c>
      <c r="F421" s="8">
        <f t="shared" si="18"/>
        <v>72</v>
      </c>
      <c r="G421" s="9">
        <f t="shared" si="19"/>
        <v>43852</v>
      </c>
      <c r="H421" s="10">
        <f t="shared" si="20"/>
        <v>3.4117999999999999</v>
      </c>
    </row>
    <row r="422" spans="1:8" x14ac:dyDescent="0.2">
      <c r="A422" s="1">
        <v>133</v>
      </c>
      <c r="B422" s="1" t="str">
        <v>2020-01-22</v>
      </c>
      <c r="C422" s="1">
        <v>3.7115999999999998</v>
      </c>
      <c r="F422" s="8">
        <f t="shared" si="18"/>
        <v>133</v>
      </c>
      <c r="G422" s="9">
        <f t="shared" si="19"/>
        <v>43852</v>
      </c>
      <c r="H422" s="10">
        <f t="shared" si="20"/>
        <v>3.7115999999999998</v>
      </c>
    </row>
    <row r="423" spans="1:8" x14ac:dyDescent="0.2">
      <c r="A423" s="1">
        <v>184</v>
      </c>
      <c r="B423" s="1" t="str">
        <v>2020-01-23</v>
      </c>
      <c r="C423" s="1">
        <v>3.4056000000000002</v>
      </c>
      <c r="F423" s="8">
        <f t="shared" si="18"/>
        <v>184</v>
      </c>
      <c r="G423" s="9">
        <f t="shared" si="19"/>
        <v>43853</v>
      </c>
      <c r="H423" s="10">
        <f t="shared" si="20"/>
        <v>3.4056000000000002</v>
      </c>
    </row>
    <row r="424" spans="1:8" x14ac:dyDescent="0.2">
      <c r="A424" s="1">
        <v>32280</v>
      </c>
      <c r="B424" s="1" t="str">
        <v>2020-01-23</v>
      </c>
      <c r="C424" s="1">
        <v>3.7</v>
      </c>
      <c r="F424" s="8">
        <f t="shared" si="18"/>
        <v>32280</v>
      </c>
      <c r="G424" s="9">
        <f t="shared" si="19"/>
        <v>43853</v>
      </c>
      <c r="H424" s="10">
        <f t="shared" si="20"/>
        <v>3.7</v>
      </c>
    </row>
    <row r="425" spans="1:8" x14ac:dyDescent="0.2">
      <c r="A425" s="1">
        <v>250</v>
      </c>
      <c r="B425" s="1" t="str">
        <v>2020-01-23</v>
      </c>
      <c r="C425" s="1">
        <v>3.4015</v>
      </c>
      <c r="F425" s="8">
        <f t="shared" si="18"/>
        <v>250</v>
      </c>
      <c r="G425" s="9">
        <f t="shared" si="19"/>
        <v>43853</v>
      </c>
      <c r="H425" s="10">
        <f t="shared" si="20"/>
        <v>3.4015</v>
      </c>
    </row>
    <row r="426" spans="1:8" x14ac:dyDescent="0.2">
      <c r="A426" s="1">
        <v>32222</v>
      </c>
      <c r="B426" s="1" t="str">
        <v>2020-01-23</v>
      </c>
      <c r="C426" s="1">
        <v>3.1951000000000001</v>
      </c>
      <c r="F426" s="8">
        <f t="shared" si="18"/>
        <v>32222</v>
      </c>
      <c r="G426" s="9">
        <f t="shared" si="19"/>
        <v>43853</v>
      </c>
      <c r="H426" s="10">
        <f t="shared" si="20"/>
        <v>3.1951000000000001</v>
      </c>
    </row>
    <row r="427" spans="1:8" x14ac:dyDescent="0.2">
      <c r="A427" s="1">
        <v>32360</v>
      </c>
      <c r="B427" s="1" t="str">
        <v>2020-01-23</v>
      </c>
      <c r="C427" s="1">
        <v>3.7233999999999998</v>
      </c>
      <c r="F427" s="8">
        <f t="shared" si="18"/>
        <v>32360</v>
      </c>
      <c r="G427" s="9">
        <f t="shared" si="19"/>
        <v>43853</v>
      </c>
      <c r="H427" s="10">
        <f t="shared" si="20"/>
        <v>3.7233999999999998</v>
      </c>
    </row>
    <row r="428" spans="1:8" x14ac:dyDescent="0.2">
      <c r="A428" s="1">
        <v>147</v>
      </c>
      <c r="B428" s="1" t="str">
        <v>2020-01-23</v>
      </c>
      <c r="C428" s="1">
        <v>3.3902999999999999</v>
      </c>
      <c r="F428" s="8">
        <f t="shared" si="18"/>
        <v>147</v>
      </c>
      <c r="G428" s="9">
        <f t="shared" si="19"/>
        <v>43853</v>
      </c>
      <c r="H428" s="10">
        <f t="shared" si="20"/>
        <v>3.3902999999999999</v>
      </c>
    </row>
    <row r="429" spans="1:8" x14ac:dyDescent="0.2">
      <c r="A429" s="1">
        <v>72</v>
      </c>
      <c r="B429" s="1" t="str">
        <v>2020-01-23</v>
      </c>
      <c r="C429" s="1">
        <v>3.4016000000000002</v>
      </c>
      <c r="F429" s="8">
        <f t="shared" si="18"/>
        <v>72</v>
      </c>
      <c r="G429" s="9">
        <f t="shared" si="19"/>
        <v>43853</v>
      </c>
      <c r="H429" s="10">
        <f t="shared" si="20"/>
        <v>3.4016000000000002</v>
      </c>
    </row>
    <row r="430" spans="1:8" x14ac:dyDescent="0.2">
      <c r="A430" s="1">
        <v>90</v>
      </c>
      <c r="B430" s="1" t="str">
        <v>2020-01-23</v>
      </c>
      <c r="C430" s="1">
        <v>3.5562999999999998</v>
      </c>
      <c r="F430" s="8">
        <f t="shared" si="18"/>
        <v>90</v>
      </c>
      <c r="G430" s="9">
        <f t="shared" si="19"/>
        <v>43853</v>
      </c>
      <c r="H430" s="10">
        <f t="shared" si="20"/>
        <v>3.5562999999999998</v>
      </c>
    </row>
    <row r="431" spans="1:8" x14ac:dyDescent="0.2">
      <c r="A431" s="1">
        <v>83</v>
      </c>
      <c r="B431" s="1" t="str">
        <v>2020-01-23</v>
      </c>
      <c r="C431" s="1">
        <v>4.0004</v>
      </c>
      <c r="F431" s="8">
        <f t="shared" si="18"/>
        <v>83</v>
      </c>
      <c r="G431" s="9">
        <f t="shared" si="19"/>
        <v>43853</v>
      </c>
      <c r="H431" s="10">
        <f t="shared" si="20"/>
        <v>4.0004</v>
      </c>
    </row>
    <row r="432" spans="1:8" x14ac:dyDescent="0.2">
      <c r="A432" s="1">
        <v>32081</v>
      </c>
      <c r="B432" s="1" t="str">
        <v>2020-01-23</v>
      </c>
      <c r="C432" s="1">
        <v>3.4211999999999998</v>
      </c>
      <c r="F432" s="8">
        <f t="shared" si="18"/>
        <v>32081</v>
      </c>
      <c r="G432" s="9">
        <f t="shared" si="19"/>
        <v>43853</v>
      </c>
      <c r="H432" s="10">
        <f t="shared" si="20"/>
        <v>3.4211999999999998</v>
      </c>
    </row>
    <row r="433" spans="1:8" x14ac:dyDescent="0.2">
      <c r="A433" s="1">
        <v>176</v>
      </c>
      <c r="B433" s="1" t="str">
        <v>2020-01-23</v>
      </c>
      <c r="C433" s="1">
        <v>3.5562999999999998</v>
      </c>
      <c r="F433" s="8">
        <f t="shared" si="18"/>
        <v>176</v>
      </c>
      <c r="G433" s="9">
        <f t="shared" si="19"/>
        <v>43853</v>
      </c>
      <c r="H433" s="10">
        <f t="shared" si="20"/>
        <v>3.5562999999999998</v>
      </c>
    </row>
    <row r="434" spans="1:8" x14ac:dyDescent="0.2">
      <c r="A434" s="1">
        <v>32560</v>
      </c>
      <c r="B434" s="1" t="str">
        <v>2020-01-23</v>
      </c>
      <c r="C434" s="1">
        <v>3.4531000000000001</v>
      </c>
      <c r="F434" s="8">
        <f t="shared" si="18"/>
        <v>32560</v>
      </c>
      <c r="G434" s="9">
        <f t="shared" si="19"/>
        <v>43853</v>
      </c>
      <c r="H434" s="10">
        <f t="shared" si="20"/>
        <v>3.4531000000000001</v>
      </c>
    </row>
    <row r="435" spans="1:8" x14ac:dyDescent="0.2">
      <c r="A435" s="1">
        <v>115</v>
      </c>
      <c r="B435" s="1" t="str">
        <v>2020-01-23</v>
      </c>
      <c r="C435" s="1">
        <v>3.4942000000000002</v>
      </c>
      <c r="F435" s="8">
        <f t="shared" si="18"/>
        <v>115</v>
      </c>
      <c r="G435" s="9">
        <f t="shared" si="19"/>
        <v>43853</v>
      </c>
      <c r="H435" s="10">
        <f t="shared" si="20"/>
        <v>3.4942000000000002</v>
      </c>
    </row>
    <row r="436" spans="1:8" x14ac:dyDescent="0.2">
      <c r="A436" s="1">
        <v>191</v>
      </c>
      <c r="B436" s="1" t="str">
        <v>2020-01-24</v>
      </c>
      <c r="C436" s="1">
        <v>3.4525000000000001</v>
      </c>
      <c r="F436" s="8">
        <f t="shared" si="18"/>
        <v>191</v>
      </c>
      <c r="G436" s="9">
        <f t="shared" si="19"/>
        <v>43854</v>
      </c>
      <c r="H436" s="10">
        <f t="shared" si="20"/>
        <v>3.4525000000000001</v>
      </c>
    </row>
    <row r="437" spans="1:8" x14ac:dyDescent="0.2">
      <c r="A437" s="1">
        <v>143</v>
      </c>
      <c r="B437" s="1" t="str">
        <v>2020-01-24</v>
      </c>
      <c r="C437" s="1">
        <v>3.0407000000000002</v>
      </c>
      <c r="F437" s="8">
        <f t="shared" si="18"/>
        <v>143</v>
      </c>
      <c r="G437" s="9">
        <f t="shared" si="19"/>
        <v>43854</v>
      </c>
      <c r="H437" s="10">
        <f t="shared" si="20"/>
        <v>3.0407000000000002</v>
      </c>
    </row>
    <row r="438" spans="1:8" x14ac:dyDescent="0.2">
      <c r="A438" s="1">
        <v>24250</v>
      </c>
      <c r="B438" s="1" t="str">
        <v>2020-01-24</v>
      </c>
      <c r="C438" s="1">
        <v>3.4630000000000001</v>
      </c>
      <c r="F438" s="8">
        <f t="shared" si="18"/>
        <v>24250</v>
      </c>
      <c r="G438" s="9">
        <f t="shared" si="19"/>
        <v>43854</v>
      </c>
      <c r="H438" s="10">
        <f t="shared" si="20"/>
        <v>3.4630000000000001</v>
      </c>
    </row>
    <row r="439" spans="1:8" x14ac:dyDescent="0.2">
      <c r="A439" s="1">
        <v>147</v>
      </c>
      <c r="B439" s="1" t="str">
        <v>2020-01-24</v>
      </c>
      <c r="C439" s="1">
        <v>3.4007999999999998</v>
      </c>
      <c r="F439" s="8">
        <f t="shared" si="18"/>
        <v>147</v>
      </c>
      <c r="G439" s="9">
        <f t="shared" si="19"/>
        <v>43854</v>
      </c>
      <c r="H439" s="10">
        <f t="shared" si="20"/>
        <v>3.4007999999999998</v>
      </c>
    </row>
    <row r="440" spans="1:8" x14ac:dyDescent="0.2">
      <c r="A440" s="1">
        <v>171</v>
      </c>
      <c r="B440" s="1" t="str">
        <v>2020-01-24</v>
      </c>
      <c r="C440" s="1">
        <v>3.2159</v>
      </c>
      <c r="F440" s="8">
        <f t="shared" si="18"/>
        <v>171</v>
      </c>
      <c r="G440" s="9">
        <f t="shared" si="19"/>
        <v>43854</v>
      </c>
      <c r="H440" s="10">
        <f t="shared" si="20"/>
        <v>3.2159</v>
      </c>
    </row>
    <row r="441" spans="1:8" x14ac:dyDescent="0.2">
      <c r="A441" s="1">
        <v>16</v>
      </c>
      <c r="B441" s="1" t="str">
        <v>2020-01-24</v>
      </c>
      <c r="C441" s="1">
        <v>3.39</v>
      </c>
      <c r="F441" s="8">
        <f t="shared" si="18"/>
        <v>16</v>
      </c>
      <c r="G441" s="9">
        <f t="shared" si="19"/>
        <v>43854</v>
      </c>
      <c r="H441" s="10">
        <f t="shared" si="20"/>
        <v>3.39</v>
      </c>
    </row>
    <row r="442" spans="1:8" x14ac:dyDescent="0.2">
      <c r="A442" s="1">
        <v>30250</v>
      </c>
      <c r="B442" s="1" t="str">
        <v>2020-01-24</v>
      </c>
      <c r="C442" s="1">
        <v>3.2467000000000001</v>
      </c>
      <c r="F442" s="8">
        <f t="shared" si="18"/>
        <v>30250</v>
      </c>
      <c r="G442" s="9">
        <f t="shared" si="19"/>
        <v>43854</v>
      </c>
      <c r="H442" s="10">
        <f t="shared" si="20"/>
        <v>3.2467000000000001</v>
      </c>
    </row>
    <row r="443" spans="1:8" x14ac:dyDescent="0.2">
      <c r="A443" s="1">
        <v>32082</v>
      </c>
      <c r="B443" s="1" t="str">
        <v>2020-01-24</v>
      </c>
      <c r="C443" s="1">
        <v>3.3898000000000001</v>
      </c>
      <c r="F443" s="8">
        <f t="shared" si="18"/>
        <v>32082</v>
      </c>
      <c r="G443" s="9">
        <f t="shared" si="19"/>
        <v>43854</v>
      </c>
      <c r="H443" s="10">
        <f t="shared" si="20"/>
        <v>3.3898000000000001</v>
      </c>
    </row>
    <row r="444" spans="1:8" x14ac:dyDescent="0.2">
      <c r="A444" s="1">
        <v>28</v>
      </c>
      <c r="B444" s="1" t="str">
        <v>2020-01-24</v>
      </c>
      <c r="C444" s="1">
        <v>3.3805000000000001</v>
      </c>
      <c r="F444" s="8">
        <f t="shared" si="18"/>
        <v>28</v>
      </c>
      <c r="G444" s="9">
        <f t="shared" si="19"/>
        <v>43854</v>
      </c>
      <c r="H444" s="10">
        <f t="shared" si="20"/>
        <v>3.3805000000000001</v>
      </c>
    </row>
    <row r="445" spans="1:8" x14ac:dyDescent="0.2">
      <c r="A445" s="1">
        <v>67</v>
      </c>
      <c r="B445" s="1" t="str">
        <v>2020-01-24</v>
      </c>
      <c r="C445" s="1">
        <v>3.3289</v>
      </c>
      <c r="F445" s="8">
        <f t="shared" si="18"/>
        <v>67</v>
      </c>
      <c r="G445" s="9">
        <f t="shared" si="19"/>
        <v>43854</v>
      </c>
      <c r="H445" s="10">
        <f t="shared" si="20"/>
        <v>3.3289</v>
      </c>
    </row>
    <row r="446" spans="1:8" x14ac:dyDescent="0.2">
      <c r="A446" s="1">
        <v>101</v>
      </c>
      <c r="B446" s="1" t="str">
        <v>2020-01-24</v>
      </c>
      <c r="C446" s="1">
        <v>3.6591999999999998</v>
      </c>
      <c r="F446" s="8">
        <f t="shared" si="18"/>
        <v>101</v>
      </c>
      <c r="G446" s="9">
        <f t="shared" si="19"/>
        <v>43854</v>
      </c>
      <c r="H446" s="10">
        <f t="shared" si="20"/>
        <v>3.6591999999999998</v>
      </c>
    </row>
    <row r="447" spans="1:8" x14ac:dyDescent="0.2">
      <c r="A447" s="1">
        <v>37</v>
      </c>
      <c r="B447" s="1" t="str">
        <v>2020-01-24</v>
      </c>
      <c r="C447" s="1">
        <v>3.7526999999999999</v>
      </c>
      <c r="F447" s="8">
        <f t="shared" si="18"/>
        <v>37</v>
      </c>
      <c r="G447" s="9">
        <f t="shared" si="19"/>
        <v>43854</v>
      </c>
      <c r="H447" s="10">
        <f t="shared" si="20"/>
        <v>3.7526999999999999</v>
      </c>
    </row>
    <row r="448" spans="1:8" x14ac:dyDescent="0.2">
      <c r="A448" s="1">
        <v>102</v>
      </c>
      <c r="B448" s="1" t="str">
        <v>2020-01-24</v>
      </c>
      <c r="C448" s="1">
        <v>3.3496000000000001</v>
      </c>
      <c r="F448" s="8">
        <f t="shared" si="18"/>
        <v>102</v>
      </c>
      <c r="G448" s="9">
        <f t="shared" si="19"/>
        <v>43854</v>
      </c>
      <c r="H448" s="10">
        <f t="shared" si="20"/>
        <v>3.3496000000000001</v>
      </c>
    </row>
    <row r="449" spans="1:8" x14ac:dyDescent="0.2">
      <c r="A449" s="1">
        <v>32663</v>
      </c>
      <c r="B449" s="1" t="str">
        <v>2020-01-24</v>
      </c>
      <c r="C449" s="1">
        <v>3.4740000000000002</v>
      </c>
      <c r="F449" s="8">
        <f t="shared" si="18"/>
        <v>32663</v>
      </c>
      <c r="G449" s="9">
        <f t="shared" si="19"/>
        <v>43854</v>
      </c>
      <c r="H449" s="10">
        <f t="shared" si="20"/>
        <v>3.4740000000000002</v>
      </c>
    </row>
    <row r="450" spans="1:8" x14ac:dyDescent="0.2">
      <c r="A450" s="1">
        <v>32360</v>
      </c>
      <c r="B450" s="1" t="str">
        <v>2020-01-24</v>
      </c>
      <c r="C450" s="1">
        <v>3.5836999999999999</v>
      </c>
      <c r="F450" s="8">
        <f t="shared" si="18"/>
        <v>32360</v>
      </c>
      <c r="G450" s="9">
        <f t="shared" si="19"/>
        <v>43854</v>
      </c>
      <c r="H450" s="10">
        <f t="shared" si="20"/>
        <v>3.5836999999999999</v>
      </c>
    </row>
    <row r="451" spans="1:8" x14ac:dyDescent="0.2">
      <c r="A451" s="1">
        <v>24</v>
      </c>
      <c r="B451" s="1" t="str">
        <v>2020-01-24</v>
      </c>
      <c r="C451" s="1">
        <v>3.5667</v>
      </c>
      <c r="F451" s="8">
        <f t="shared" si="18"/>
        <v>24</v>
      </c>
      <c r="G451" s="9">
        <f t="shared" si="19"/>
        <v>43854</v>
      </c>
      <c r="H451" s="10">
        <f t="shared" si="20"/>
        <v>3.5667</v>
      </c>
    </row>
    <row r="452" spans="1:8" x14ac:dyDescent="0.2">
      <c r="A452" s="1">
        <v>33103</v>
      </c>
      <c r="B452" s="1" t="str">
        <v>2020-01-24</v>
      </c>
      <c r="C452" s="1">
        <v>4.0395000000000003</v>
      </c>
      <c r="F452" s="8">
        <f t="shared" si="18"/>
        <v>33103</v>
      </c>
      <c r="G452" s="9">
        <f t="shared" si="19"/>
        <v>43854</v>
      </c>
      <c r="H452" s="10">
        <f t="shared" si="20"/>
        <v>4.0395000000000003</v>
      </c>
    </row>
    <row r="453" spans="1:8" x14ac:dyDescent="0.2">
      <c r="A453" s="1">
        <v>72</v>
      </c>
      <c r="B453" s="1" t="str">
        <v>2020-01-24</v>
      </c>
      <c r="C453" s="1">
        <v>3.2366999999999999</v>
      </c>
      <c r="F453" s="8">
        <f t="shared" si="18"/>
        <v>72</v>
      </c>
      <c r="G453" s="9">
        <f t="shared" si="19"/>
        <v>43854</v>
      </c>
      <c r="H453" s="10">
        <f t="shared" si="20"/>
        <v>3.2366999999999999</v>
      </c>
    </row>
    <row r="454" spans="1:8" x14ac:dyDescent="0.2">
      <c r="A454" s="1">
        <v>109</v>
      </c>
      <c r="B454" s="1" t="str">
        <v>2020-01-24</v>
      </c>
      <c r="C454" s="1">
        <v>3.7105999999999999</v>
      </c>
      <c r="F454" s="8">
        <f t="shared" si="18"/>
        <v>109</v>
      </c>
      <c r="G454" s="9">
        <f t="shared" si="19"/>
        <v>43854</v>
      </c>
      <c r="H454" s="10">
        <f t="shared" si="20"/>
        <v>3.7105999999999999</v>
      </c>
    </row>
    <row r="455" spans="1:8" x14ac:dyDescent="0.2">
      <c r="A455" s="1">
        <v>9250</v>
      </c>
      <c r="B455" s="1" t="str">
        <v>2020-01-24</v>
      </c>
      <c r="C455" s="1">
        <v>3.65</v>
      </c>
      <c r="F455" s="8">
        <f t="shared" si="18"/>
        <v>9250</v>
      </c>
      <c r="G455" s="9">
        <f t="shared" si="19"/>
        <v>43854</v>
      </c>
      <c r="H455" s="10">
        <f t="shared" si="20"/>
        <v>3.65</v>
      </c>
    </row>
    <row r="456" spans="1:8" x14ac:dyDescent="0.2">
      <c r="A456" s="1">
        <v>32783</v>
      </c>
      <c r="B456" s="1" t="str">
        <v>2020-01-24</v>
      </c>
      <c r="C456" s="1">
        <v>3.6076999999999999</v>
      </c>
      <c r="F456" s="8">
        <f t="shared" si="18"/>
        <v>32783</v>
      </c>
      <c r="G456" s="9">
        <f t="shared" si="19"/>
        <v>43854</v>
      </c>
      <c r="H456" s="10">
        <f t="shared" si="20"/>
        <v>3.6076999999999999</v>
      </c>
    </row>
    <row r="457" spans="1:8" x14ac:dyDescent="0.2">
      <c r="A457" s="1">
        <v>32081</v>
      </c>
      <c r="B457" s="1" t="str">
        <v>2020-01-24</v>
      </c>
      <c r="C457" s="1">
        <v>3.4211999999999998</v>
      </c>
      <c r="F457" s="8">
        <f t="shared" ref="F457:F520" si="21">A457</f>
        <v>32081</v>
      </c>
      <c r="G457" s="9">
        <f t="shared" ref="G457:G520" si="22">DATE(LEFT(B457,4),MID(B457,6,2),RIGHT(B457,2))</f>
        <v>43854</v>
      </c>
      <c r="H457" s="10">
        <f t="shared" ref="H457:H520" si="23">C457</f>
        <v>3.4211999999999998</v>
      </c>
    </row>
    <row r="458" spans="1:8" x14ac:dyDescent="0.2">
      <c r="A458" s="1">
        <v>136</v>
      </c>
      <c r="B458" s="1" t="str">
        <v>2020-01-24</v>
      </c>
      <c r="C458" s="1">
        <v>3.5667</v>
      </c>
      <c r="F458" s="8">
        <f t="shared" si="21"/>
        <v>136</v>
      </c>
      <c r="G458" s="9">
        <f t="shared" si="22"/>
        <v>43854</v>
      </c>
      <c r="H458" s="10">
        <f t="shared" si="23"/>
        <v>3.5667</v>
      </c>
    </row>
    <row r="459" spans="1:8" x14ac:dyDescent="0.2">
      <c r="A459" s="1">
        <v>32121</v>
      </c>
      <c r="B459" s="1" t="str">
        <v>2020-01-24</v>
      </c>
      <c r="C459" s="1">
        <v>3.4624999999999999</v>
      </c>
      <c r="F459" s="8">
        <f t="shared" si="21"/>
        <v>32121</v>
      </c>
      <c r="G459" s="9">
        <f t="shared" si="22"/>
        <v>43854</v>
      </c>
      <c r="H459" s="10">
        <f t="shared" si="23"/>
        <v>3.4624999999999999</v>
      </c>
    </row>
    <row r="460" spans="1:8" x14ac:dyDescent="0.2">
      <c r="A460" s="1">
        <v>49</v>
      </c>
      <c r="B460" s="1" t="str">
        <v>2020-01-24</v>
      </c>
      <c r="C460" s="1">
        <v>2.8454000000000002</v>
      </c>
      <c r="F460" s="8">
        <f t="shared" si="21"/>
        <v>49</v>
      </c>
      <c r="G460" s="9">
        <f t="shared" si="22"/>
        <v>43854</v>
      </c>
      <c r="H460" s="10">
        <f t="shared" si="23"/>
        <v>2.8454000000000002</v>
      </c>
    </row>
    <row r="461" spans="1:8" x14ac:dyDescent="0.2">
      <c r="A461" s="1">
        <v>30400</v>
      </c>
      <c r="B461" s="1" t="str">
        <v>2020-01-24</v>
      </c>
      <c r="C461" s="1">
        <v>3.1766000000000001</v>
      </c>
      <c r="F461" s="8">
        <f t="shared" si="21"/>
        <v>30400</v>
      </c>
      <c r="G461" s="9">
        <f t="shared" si="22"/>
        <v>43854</v>
      </c>
      <c r="H461" s="10">
        <f t="shared" si="23"/>
        <v>3.1766000000000001</v>
      </c>
    </row>
    <row r="462" spans="1:8" x14ac:dyDescent="0.2">
      <c r="A462" s="1">
        <v>32</v>
      </c>
      <c r="B462" s="1" t="str">
        <v>2020-01-24</v>
      </c>
      <c r="C462" s="1">
        <v>3.4634</v>
      </c>
      <c r="F462" s="8">
        <f t="shared" si="21"/>
        <v>32</v>
      </c>
      <c r="G462" s="9">
        <f t="shared" si="22"/>
        <v>43854</v>
      </c>
      <c r="H462" s="10">
        <f t="shared" si="23"/>
        <v>3.4634</v>
      </c>
    </row>
    <row r="463" spans="1:8" x14ac:dyDescent="0.2">
      <c r="A463" s="1">
        <v>196</v>
      </c>
      <c r="B463" s="1" t="str">
        <v>2020-01-24</v>
      </c>
      <c r="C463" s="1">
        <v>3.3912</v>
      </c>
      <c r="F463" s="8">
        <f t="shared" si="21"/>
        <v>196</v>
      </c>
      <c r="G463" s="9">
        <f t="shared" si="22"/>
        <v>43854</v>
      </c>
      <c r="H463" s="10">
        <f t="shared" si="23"/>
        <v>3.3912</v>
      </c>
    </row>
    <row r="464" spans="1:8" x14ac:dyDescent="0.2">
      <c r="A464" s="1">
        <v>32260</v>
      </c>
      <c r="B464" s="1" t="str">
        <v>2020-01-24</v>
      </c>
      <c r="C464" s="1">
        <v>3.4011</v>
      </c>
      <c r="F464" s="8">
        <f t="shared" si="21"/>
        <v>32260</v>
      </c>
      <c r="G464" s="9">
        <f t="shared" si="22"/>
        <v>43854</v>
      </c>
      <c r="H464" s="10">
        <f t="shared" si="23"/>
        <v>3.4011</v>
      </c>
    </row>
    <row r="465" spans="1:8" x14ac:dyDescent="0.2">
      <c r="A465" s="1">
        <v>59</v>
      </c>
      <c r="B465" s="1" t="str">
        <v>2020-01-24</v>
      </c>
      <c r="C465" s="1">
        <v>3.3595999999999999</v>
      </c>
      <c r="F465" s="8">
        <f t="shared" si="21"/>
        <v>59</v>
      </c>
      <c r="G465" s="9">
        <f t="shared" si="22"/>
        <v>43854</v>
      </c>
      <c r="H465" s="10">
        <f t="shared" si="23"/>
        <v>3.3595999999999999</v>
      </c>
    </row>
    <row r="466" spans="1:8" x14ac:dyDescent="0.2">
      <c r="A466" s="1">
        <v>139</v>
      </c>
      <c r="B466" s="1" t="str">
        <v>2020-01-24</v>
      </c>
      <c r="C466" s="1">
        <v>3.8043</v>
      </c>
      <c r="F466" s="8">
        <f t="shared" si="21"/>
        <v>139</v>
      </c>
      <c r="G466" s="9">
        <f t="shared" si="22"/>
        <v>43854</v>
      </c>
      <c r="H466" s="10">
        <f t="shared" si="23"/>
        <v>3.8043</v>
      </c>
    </row>
    <row r="467" spans="1:8" x14ac:dyDescent="0.2">
      <c r="A467" s="1">
        <v>31</v>
      </c>
      <c r="B467" s="1" t="str">
        <v>2020-01-24</v>
      </c>
      <c r="C467" s="1">
        <v>3.4</v>
      </c>
      <c r="F467" s="8">
        <f t="shared" si="21"/>
        <v>31</v>
      </c>
      <c r="G467" s="9">
        <f t="shared" si="22"/>
        <v>43854</v>
      </c>
      <c r="H467" s="10">
        <f t="shared" si="23"/>
        <v>3.4</v>
      </c>
    </row>
    <row r="468" spans="1:8" x14ac:dyDescent="0.2">
      <c r="A468" s="1">
        <v>1</v>
      </c>
      <c r="B468" s="1" t="str">
        <v>2020-01-24</v>
      </c>
      <c r="C468" s="1">
        <v>3.6080999999999999</v>
      </c>
      <c r="F468" s="8">
        <f t="shared" si="21"/>
        <v>1</v>
      </c>
      <c r="G468" s="9">
        <f t="shared" si="22"/>
        <v>43854</v>
      </c>
      <c r="H468" s="10">
        <f t="shared" si="23"/>
        <v>3.6080999999999999</v>
      </c>
    </row>
    <row r="469" spans="1:8" x14ac:dyDescent="0.2">
      <c r="A469" s="1">
        <v>150</v>
      </c>
      <c r="B469" s="1" t="str">
        <v>2020-01-24</v>
      </c>
      <c r="C469" s="1">
        <v>4.1417999999999999</v>
      </c>
      <c r="F469" s="8">
        <f t="shared" si="21"/>
        <v>150</v>
      </c>
      <c r="G469" s="9">
        <f t="shared" si="22"/>
        <v>43854</v>
      </c>
      <c r="H469" s="10">
        <f t="shared" si="23"/>
        <v>4.1417999999999999</v>
      </c>
    </row>
    <row r="470" spans="1:8" x14ac:dyDescent="0.2">
      <c r="A470" s="1">
        <v>33003</v>
      </c>
      <c r="B470" s="1" t="str">
        <v>2020-01-24</v>
      </c>
      <c r="C470" s="1">
        <v>3</v>
      </c>
      <c r="F470" s="8">
        <f t="shared" si="21"/>
        <v>33003</v>
      </c>
      <c r="G470" s="9">
        <f t="shared" si="22"/>
        <v>43854</v>
      </c>
      <c r="H470" s="10">
        <f t="shared" si="23"/>
        <v>3</v>
      </c>
    </row>
    <row r="471" spans="1:8" x14ac:dyDescent="0.2">
      <c r="A471" s="1">
        <v>30300</v>
      </c>
      <c r="B471" s="1" t="str">
        <v>2020-01-24</v>
      </c>
      <c r="C471" s="1">
        <v>3.5663999999999998</v>
      </c>
      <c r="F471" s="8">
        <f t="shared" si="21"/>
        <v>30300</v>
      </c>
      <c r="G471" s="9">
        <f t="shared" si="22"/>
        <v>43854</v>
      </c>
      <c r="H471" s="10">
        <f t="shared" si="23"/>
        <v>3.5663999999999998</v>
      </c>
    </row>
    <row r="472" spans="1:8" x14ac:dyDescent="0.2">
      <c r="A472" s="1">
        <v>13250</v>
      </c>
      <c r="B472" s="1" t="str">
        <v>2020-01-24</v>
      </c>
      <c r="C472" s="1">
        <v>2.8359000000000001</v>
      </c>
      <c r="F472" s="8">
        <f t="shared" si="21"/>
        <v>13250</v>
      </c>
      <c r="G472" s="9">
        <f t="shared" si="22"/>
        <v>43854</v>
      </c>
      <c r="H472" s="10">
        <f t="shared" si="23"/>
        <v>2.8359000000000001</v>
      </c>
    </row>
    <row r="473" spans="1:8" x14ac:dyDescent="0.2">
      <c r="A473" s="1">
        <v>187</v>
      </c>
      <c r="B473" s="1" t="str">
        <v>2020-01-24</v>
      </c>
      <c r="C473" s="1">
        <v>3.5457999999999998</v>
      </c>
      <c r="F473" s="8">
        <f t="shared" si="21"/>
        <v>187</v>
      </c>
      <c r="G473" s="9">
        <f t="shared" si="22"/>
        <v>43854</v>
      </c>
      <c r="H473" s="10">
        <f t="shared" si="23"/>
        <v>3.5457999999999998</v>
      </c>
    </row>
    <row r="474" spans="1:8" x14ac:dyDescent="0.2">
      <c r="A474" s="1">
        <v>146</v>
      </c>
      <c r="B474" s="1" t="str">
        <v>2020-01-24</v>
      </c>
      <c r="C474" s="1">
        <v>3.5457999999999998</v>
      </c>
      <c r="F474" s="8">
        <f t="shared" si="21"/>
        <v>146</v>
      </c>
      <c r="G474" s="9">
        <f t="shared" si="22"/>
        <v>43854</v>
      </c>
      <c r="H474" s="10">
        <f t="shared" si="23"/>
        <v>3.5457999999999998</v>
      </c>
    </row>
    <row r="475" spans="1:8" x14ac:dyDescent="0.2">
      <c r="A475" s="1">
        <v>32200</v>
      </c>
      <c r="B475" s="1" t="str">
        <v>2020-01-24</v>
      </c>
      <c r="C475" s="1">
        <v>3.0196000000000001</v>
      </c>
      <c r="F475" s="8">
        <f t="shared" si="21"/>
        <v>32200</v>
      </c>
      <c r="G475" s="9">
        <f t="shared" si="22"/>
        <v>43854</v>
      </c>
      <c r="H475" s="10">
        <f t="shared" si="23"/>
        <v>3.0196000000000001</v>
      </c>
    </row>
    <row r="476" spans="1:8" x14ac:dyDescent="0.2">
      <c r="A476" s="1">
        <v>33083</v>
      </c>
      <c r="B476" s="1" t="str">
        <v>2020-01-24</v>
      </c>
      <c r="C476" s="1">
        <v>3.7801999999999998</v>
      </c>
      <c r="F476" s="8">
        <f t="shared" si="21"/>
        <v>33083</v>
      </c>
      <c r="G476" s="9">
        <f t="shared" si="22"/>
        <v>43854</v>
      </c>
      <c r="H476" s="10">
        <f t="shared" si="23"/>
        <v>3.7801999999999998</v>
      </c>
    </row>
    <row r="477" spans="1:8" x14ac:dyDescent="0.2">
      <c r="A477" s="1">
        <v>110</v>
      </c>
      <c r="B477" s="1" t="str">
        <v>2020-01-24</v>
      </c>
      <c r="C477" s="1">
        <v>3.5</v>
      </c>
      <c r="F477" s="8">
        <f t="shared" si="21"/>
        <v>110</v>
      </c>
      <c r="G477" s="9">
        <f t="shared" si="22"/>
        <v>43854</v>
      </c>
      <c r="H477" s="10">
        <f t="shared" si="23"/>
        <v>3.5</v>
      </c>
    </row>
    <row r="478" spans="1:8" x14ac:dyDescent="0.2">
      <c r="A478" s="1">
        <v>94</v>
      </c>
      <c r="B478" s="1" t="str">
        <v>2020-01-24</v>
      </c>
      <c r="C478" s="1">
        <v>3.8</v>
      </c>
      <c r="F478" s="8">
        <f t="shared" si="21"/>
        <v>94</v>
      </c>
      <c r="G478" s="9">
        <f t="shared" si="22"/>
        <v>43854</v>
      </c>
      <c r="H478" s="10">
        <f t="shared" si="23"/>
        <v>3.8</v>
      </c>
    </row>
    <row r="479" spans="1:8" x14ac:dyDescent="0.2">
      <c r="A479" s="1">
        <v>98</v>
      </c>
      <c r="B479" s="1" t="str">
        <v>2020-01-24</v>
      </c>
      <c r="C479" s="1">
        <v>3.3180999999999998</v>
      </c>
      <c r="F479" s="8">
        <f t="shared" si="21"/>
        <v>98</v>
      </c>
      <c r="G479" s="9">
        <f t="shared" si="22"/>
        <v>43854</v>
      </c>
      <c r="H479" s="10">
        <f t="shared" si="23"/>
        <v>3.3180999999999998</v>
      </c>
    </row>
    <row r="480" spans="1:8" x14ac:dyDescent="0.2">
      <c r="A480" s="1">
        <v>32583</v>
      </c>
      <c r="B480" s="1" t="str">
        <v>2020-01-24</v>
      </c>
      <c r="C480" s="1">
        <v>3.5</v>
      </c>
      <c r="F480" s="8">
        <f t="shared" si="21"/>
        <v>32583</v>
      </c>
      <c r="G480" s="9">
        <f t="shared" si="22"/>
        <v>43854</v>
      </c>
      <c r="H480" s="10">
        <f t="shared" si="23"/>
        <v>3.5</v>
      </c>
    </row>
    <row r="481" spans="1:8" x14ac:dyDescent="0.2">
      <c r="A481" s="1">
        <v>20</v>
      </c>
      <c r="B481" s="1" t="str">
        <v>2020-01-24</v>
      </c>
      <c r="C481" s="1">
        <v>3.5666000000000002</v>
      </c>
      <c r="F481" s="8">
        <f t="shared" si="21"/>
        <v>20</v>
      </c>
      <c r="G481" s="9">
        <f t="shared" si="22"/>
        <v>43854</v>
      </c>
      <c r="H481" s="10">
        <f t="shared" si="23"/>
        <v>3.5666000000000002</v>
      </c>
    </row>
    <row r="482" spans="1:8" x14ac:dyDescent="0.2">
      <c r="A482" s="1">
        <v>176</v>
      </c>
      <c r="B482" s="1" t="str">
        <v>2020-01-24</v>
      </c>
      <c r="C482" s="1">
        <v>3.4321000000000002</v>
      </c>
      <c r="F482" s="8">
        <f t="shared" si="21"/>
        <v>176</v>
      </c>
      <c r="G482" s="9">
        <f t="shared" si="22"/>
        <v>43854</v>
      </c>
      <c r="H482" s="10">
        <f t="shared" si="23"/>
        <v>3.4321000000000002</v>
      </c>
    </row>
    <row r="483" spans="1:8" x14ac:dyDescent="0.2">
      <c r="A483" s="1">
        <v>78</v>
      </c>
      <c r="B483" s="1" t="str">
        <v>2020-01-24</v>
      </c>
      <c r="C483" s="1">
        <v>3.5047000000000001</v>
      </c>
      <c r="F483" s="8">
        <f t="shared" si="21"/>
        <v>78</v>
      </c>
      <c r="G483" s="9">
        <f t="shared" si="22"/>
        <v>43854</v>
      </c>
      <c r="H483" s="10">
        <f t="shared" si="23"/>
        <v>3.5047000000000001</v>
      </c>
    </row>
    <row r="484" spans="1:8" x14ac:dyDescent="0.2">
      <c r="A484" s="1">
        <v>33123</v>
      </c>
      <c r="B484" s="1" t="str">
        <v>2020-01-24</v>
      </c>
      <c r="C484" s="1">
        <v>3.5972</v>
      </c>
      <c r="F484" s="8">
        <f t="shared" si="21"/>
        <v>33123</v>
      </c>
      <c r="G484" s="9">
        <f t="shared" si="22"/>
        <v>43854</v>
      </c>
      <c r="H484" s="10">
        <f t="shared" si="23"/>
        <v>3.5972</v>
      </c>
    </row>
    <row r="485" spans="1:8" x14ac:dyDescent="0.2">
      <c r="A485" s="1">
        <v>81</v>
      </c>
      <c r="B485" s="1" t="str">
        <v>2020-01-24</v>
      </c>
      <c r="C485" s="1">
        <v>3.6183999999999998</v>
      </c>
      <c r="F485" s="8">
        <f t="shared" si="21"/>
        <v>81</v>
      </c>
      <c r="G485" s="9">
        <f t="shared" si="22"/>
        <v>43854</v>
      </c>
      <c r="H485" s="10">
        <f t="shared" si="23"/>
        <v>3.6183999999999998</v>
      </c>
    </row>
    <row r="486" spans="1:8" x14ac:dyDescent="0.2">
      <c r="A486" s="1">
        <v>49</v>
      </c>
      <c r="B486" s="1" t="str">
        <v>2020-01-27</v>
      </c>
      <c r="C486" s="1">
        <v>2.8043</v>
      </c>
      <c r="F486" s="8">
        <f t="shared" si="21"/>
        <v>49</v>
      </c>
      <c r="G486" s="9">
        <f t="shared" si="22"/>
        <v>43857</v>
      </c>
      <c r="H486" s="10">
        <f t="shared" si="23"/>
        <v>2.8043</v>
      </c>
    </row>
    <row r="487" spans="1:8" x14ac:dyDescent="0.2">
      <c r="A487" s="1">
        <v>147</v>
      </c>
      <c r="B487" s="1" t="str">
        <v>2020-01-27</v>
      </c>
      <c r="C487" s="1">
        <v>3.4007999999999998</v>
      </c>
      <c r="F487" s="8">
        <f t="shared" si="21"/>
        <v>147</v>
      </c>
      <c r="G487" s="9">
        <f t="shared" si="22"/>
        <v>43857</v>
      </c>
      <c r="H487" s="10">
        <f t="shared" si="23"/>
        <v>3.4007999999999998</v>
      </c>
    </row>
    <row r="488" spans="1:8" x14ac:dyDescent="0.2">
      <c r="A488" s="1">
        <v>1</v>
      </c>
      <c r="B488" s="1" t="str">
        <v>2020-01-27</v>
      </c>
      <c r="C488" s="1">
        <v>3.5043000000000002</v>
      </c>
      <c r="F488" s="8">
        <f t="shared" si="21"/>
        <v>1</v>
      </c>
      <c r="G488" s="9">
        <f t="shared" si="22"/>
        <v>43857</v>
      </c>
      <c r="H488" s="10">
        <f t="shared" si="23"/>
        <v>3.5043000000000002</v>
      </c>
    </row>
    <row r="489" spans="1:8" x14ac:dyDescent="0.2">
      <c r="A489" s="1">
        <v>32180</v>
      </c>
      <c r="B489" s="1" t="str">
        <v>2020-01-27</v>
      </c>
      <c r="C489" s="1">
        <v>3.4085999999999999</v>
      </c>
      <c r="F489" s="8">
        <f t="shared" si="21"/>
        <v>32180</v>
      </c>
      <c r="G489" s="9">
        <f t="shared" si="22"/>
        <v>43857</v>
      </c>
      <c r="H489" s="10">
        <f t="shared" si="23"/>
        <v>3.4085999999999999</v>
      </c>
    </row>
    <row r="490" spans="1:8" x14ac:dyDescent="0.2">
      <c r="A490" s="1">
        <v>176</v>
      </c>
      <c r="B490" s="1" t="str">
        <v>2020-01-27</v>
      </c>
      <c r="C490" s="1">
        <v>3.4321000000000002</v>
      </c>
      <c r="F490" s="8">
        <f t="shared" si="21"/>
        <v>176</v>
      </c>
      <c r="G490" s="9">
        <f t="shared" si="22"/>
        <v>43857</v>
      </c>
      <c r="H490" s="10">
        <f t="shared" si="23"/>
        <v>3.4321000000000002</v>
      </c>
    </row>
    <row r="491" spans="1:8" x14ac:dyDescent="0.2">
      <c r="A491" s="1">
        <v>32863</v>
      </c>
      <c r="B491" s="1" t="str">
        <v>2020-01-27</v>
      </c>
      <c r="C491" s="1">
        <v>3.3178999999999998</v>
      </c>
      <c r="F491" s="8">
        <f t="shared" si="21"/>
        <v>32863</v>
      </c>
      <c r="G491" s="9">
        <f t="shared" si="22"/>
        <v>43857</v>
      </c>
      <c r="H491" s="10">
        <f t="shared" si="23"/>
        <v>3.3178999999999998</v>
      </c>
    </row>
    <row r="492" spans="1:8" x14ac:dyDescent="0.2">
      <c r="A492" s="1">
        <v>156</v>
      </c>
      <c r="B492" s="1" t="str">
        <v>2020-01-27</v>
      </c>
      <c r="C492" s="1">
        <v>3.7315</v>
      </c>
      <c r="F492" s="8">
        <f t="shared" si="21"/>
        <v>156</v>
      </c>
      <c r="G492" s="9">
        <f t="shared" si="22"/>
        <v>43857</v>
      </c>
      <c r="H492" s="10">
        <f t="shared" si="23"/>
        <v>3.7315</v>
      </c>
    </row>
    <row r="493" spans="1:8" x14ac:dyDescent="0.2">
      <c r="A493" s="1">
        <v>33103</v>
      </c>
      <c r="B493" s="1" t="str">
        <v>2020-01-27</v>
      </c>
      <c r="C493" s="1">
        <v>4.0395000000000003</v>
      </c>
      <c r="F493" s="8">
        <f t="shared" si="21"/>
        <v>33103</v>
      </c>
      <c r="G493" s="9">
        <f t="shared" si="22"/>
        <v>43857</v>
      </c>
      <c r="H493" s="10">
        <f t="shared" si="23"/>
        <v>4.0395000000000003</v>
      </c>
    </row>
    <row r="494" spans="1:8" x14ac:dyDescent="0.2">
      <c r="A494" s="1">
        <v>143</v>
      </c>
      <c r="B494" s="1" t="str">
        <v>2020-01-27</v>
      </c>
      <c r="C494" s="1">
        <v>2.9790000000000001</v>
      </c>
      <c r="F494" s="8">
        <f t="shared" si="21"/>
        <v>143</v>
      </c>
      <c r="G494" s="9">
        <f t="shared" si="22"/>
        <v>43857</v>
      </c>
      <c r="H494" s="10">
        <f t="shared" si="23"/>
        <v>2.9790000000000001</v>
      </c>
    </row>
    <row r="495" spans="1:8" x14ac:dyDescent="0.2">
      <c r="A495" s="1">
        <v>32582</v>
      </c>
      <c r="B495" s="1" t="str">
        <v>2020-01-27</v>
      </c>
      <c r="C495" s="1">
        <v>3.4842</v>
      </c>
      <c r="F495" s="8">
        <f t="shared" si="21"/>
        <v>32582</v>
      </c>
      <c r="G495" s="9">
        <f t="shared" si="22"/>
        <v>43857</v>
      </c>
      <c r="H495" s="10">
        <f t="shared" si="23"/>
        <v>3.4842</v>
      </c>
    </row>
    <row r="496" spans="1:8" x14ac:dyDescent="0.2">
      <c r="A496" s="1">
        <v>32724</v>
      </c>
      <c r="B496" s="1" t="str">
        <v>2020-01-27</v>
      </c>
      <c r="C496" s="1">
        <v>3.3708</v>
      </c>
      <c r="F496" s="8">
        <f t="shared" si="21"/>
        <v>32724</v>
      </c>
      <c r="G496" s="9">
        <f t="shared" si="22"/>
        <v>43857</v>
      </c>
      <c r="H496" s="10">
        <f t="shared" si="23"/>
        <v>3.3708</v>
      </c>
    </row>
    <row r="497" spans="1:8" x14ac:dyDescent="0.2">
      <c r="A497" s="1">
        <v>32222</v>
      </c>
      <c r="B497" s="1" t="str">
        <v>2020-01-27</v>
      </c>
      <c r="C497" s="1">
        <v>3.2050999999999998</v>
      </c>
      <c r="F497" s="8">
        <f t="shared" si="21"/>
        <v>32222</v>
      </c>
      <c r="G497" s="9">
        <f t="shared" si="22"/>
        <v>43857</v>
      </c>
      <c r="H497" s="10">
        <f t="shared" si="23"/>
        <v>3.2050999999999998</v>
      </c>
    </row>
    <row r="498" spans="1:8" x14ac:dyDescent="0.2">
      <c r="A498" s="1">
        <v>177</v>
      </c>
      <c r="B498" s="1" t="str">
        <v>2020-01-27</v>
      </c>
      <c r="C498" s="1">
        <v>3.7315999999999998</v>
      </c>
      <c r="F498" s="8">
        <f t="shared" si="21"/>
        <v>177</v>
      </c>
      <c r="G498" s="9">
        <f t="shared" si="22"/>
        <v>43857</v>
      </c>
      <c r="H498" s="10">
        <f t="shared" si="23"/>
        <v>3.7315999999999998</v>
      </c>
    </row>
    <row r="499" spans="1:8" x14ac:dyDescent="0.2">
      <c r="A499" s="1">
        <v>157</v>
      </c>
      <c r="B499" s="1" t="str">
        <v>2020-01-27</v>
      </c>
      <c r="C499" s="1">
        <v>3.7</v>
      </c>
      <c r="F499" s="8">
        <f t="shared" si="21"/>
        <v>157</v>
      </c>
      <c r="G499" s="9">
        <f t="shared" si="22"/>
        <v>43857</v>
      </c>
      <c r="H499" s="10">
        <f t="shared" si="23"/>
        <v>3.7</v>
      </c>
    </row>
    <row r="500" spans="1:8" x14ac:dyDescent="0.2">
      <c r="A500" s="1">
        <v>132</v>
      </c>
      <c r="B500" s="1" t="str">
        <v>2020-01-27</v>
      </c>
      <c r="C500" s="1">
        <v>3.1539999999999999</v>
      </c>
      <c r="F500" s="8">
        <f t="shared" si="21"/>
        <v>132</v>
      </c>
      <c r="G500" s="9">
        <f t="shared" si="22"/>
        <v>43857</v>
      </c>
      <c r="H500" s="10">
        <f t="shared" si="23"/>
        <v>3.1539999999999999</v>
      </c>
    </row>
    <row r="501" spans="1:8" x14ac:dyDescent="0.2">
      <c r="A501" s="1">
        <v>32421</v>
      </c>
      <c r="B501" s="1" t="str">
        <v>2020-01-27</v>
      </c>
      <c r="C501" s="1">
        <v>3.3893</v>
      </c>
      <c r="F501" s="8">
        <f t="shared" si="21"/>
        <v>32421</v>
      </c>
      <c r="G501" s="9">
        <f t="shared" si="22"/>
        <v>43857</v>
      </c>
      <c r="H501" s="10">
        <f t="shared" si="23"/>
        <v>3.3893</v>
      </c>
    </row>
    <row r="502" spans="1:8" x14ac:dyDescent="0.2">
      <c r="A502" s="1">
        <v>178</v>
      </c>
      <c r="B502" s="1" t="str">
        <v>2020-01-27</v>
      </c>
      <c r="C502" s="1">
        <v>3.4641999999999999</v>
      </c>
      <c r="F502" s="8">
        <f t="shared" si="21"/>
        <v>178</v>
      </c>
      <c r="G502" s="9">
        <f t="shared" si="22"/>
        <v>43857</v>
      </c>
      <c r="H502" s="10">
        <f t="shared" si="23"/>
        <v>3.4641999999999999</v>
      </c>
    </row>
    <row r="503" spans="1:8" x14ac:dyDescent="0.2">
      <c r="A503" s="1">
        <v>182</v>
      </c>
      <c r="B503" s="1" t="str">
        <v>2020-01-28</v>
      </c>
      <c r="C503" s="1">
        <v>3.6385000000000001</v>
      </c>
      <c r="F503" s="8">
        <f t="shared" si="21"/>
        <v>182</v>
      </c>
      <c r="G503" s="9">
        <f t="shared" si="22"/>
        <v>43858</v>
      </c>
      <c r="H503" s="10">
        <f t="shared" si="23"/>
        <v>3.6385000000000001</v>
      </c>
    </row>
    <row r="504" spans="1:8" x14ac:dyDescent="0.2">
      <c r="A504" s="1">
        <v>32420</v>
      </c>
      <c r="B504" s="1" t="str">
        <v>2020-01-28</v>
      </c>
      <c r="C504" s="1">
        <v>4.0377000000000001</v>
      </c>
      <c r="F504" s="8">
        <f t="shared" si="21"/>
        <v>32420</v>
      </c>
      <c r="G504" s="9">
        <f t="shared" si="22"/>
        <v>43858</v>
      </c>
      <c r="H504" s="10">
        <f t="shared" si="23"/>
        <v>4.0377000000000001</v>
      </c>
    </row>
    <row r="505" spans="1:8" x14ac:dyDescent="0.2">
      <c r="A505" s="1">
        <v>176</v>
      </c>
      <c r="B505" s="1" t="str">
        <v>2020-01-28</v>
      </c>
      <c r="C505" s="1">
        <v>3.3</v>
      </c>
      <c r="F505" s="8">
        <f t="shared" si="21"/>
        <v>176</v>
      </c>
      <c r="G505" s="9">
        <f t="shared" si="22"/>
        <v>43858</v>
      </c>
      <c r="H505" s="10">
        <f t="shared" si="23"/>
        <v>3.3</v>
      </c>
    </row>
    <row r="506" spans="1:8" x14ac:dyDescent="0.2">
      <c r="A506" s="1">
        <v>32121</v>
      </c>
      <c r="B506" s="1" t="str">
        <v>2020-01-28</v>
      </c>
      <c r="C506" s="1">
        <v>3.7827000000000002</v>
      </c>
      <c r="F506" s="8">
        <f t="shared" si="21"/>
        <v>32121</v>
      </c>
      <c r="G506" s="9">
        <f t="shared" si="22"/>
        <v>43858</v>
      </c>
      <c r="H506" s="10">
        <f t="shared" si="23"/>
        <v>3.7827000000000002</v>
      </c>
    </row>
    <row r="507" spans="1:8" x14ac:dyDescent="0.2">
      <c r="A507" s="1">
        <v>1</v>
      </c>
      <c r="B507" s="1" t="str">
        <v>2020-01-28</v>
      </c>
      <c r="C507" s="1">
        <v>3.5044</v>
      </c>
      <c r="F507" s="8">
        <f t="shared" si="21"/>
        <v>1</v>
      </c>
      <c r="G507" s="9">
        <f t="shared" si="22"/>
        <v>43858</v>
      </c>
      <c r="H507" s="10">
        <f t="shared" si="23"/>
        <v>3.5044</v>
      </c>
    </row>
    <row r="508" spans="1:8" x14ac:dyDescent="0.2">
      <c r="A508" s="1">
        <v>32582</v>
      </c>
      <c r="B508" s="1" t="str">
        <v>2020-01-28</v>
      </c>
      <c r="C508" s="1">
        <v>3.4842</v>
      </c>
      <c r="F508" s="8">
        <f t="shared" si="21"/>
        <v>32582</v>
      </c>
      <c r="G508" s="9">
        <f t="shared" si="22"/>
        <v>43858</v>
      </c>
      <c r="H508" s="10">
        <f t="shared" si="23"/>
        <v>3.4842</v>
      </c>
    </row>
    <row r="509" spans="1:8" x14ac:dyDescent="0.2">
      <c r="A509" s="1">
        <v>12250</v>
      </c>
      <c r="B509" s="1" t="str">
        <v>2020-01-28</v>
      </c>
      <c r="C509" s="1">
        <v>3.5</v>
      </c>
      <c r="F509" s="8">
        <f t="shared" si="21"/>
        <v>12250</v>
      </c>
      <c r="G509" s="9">
        <f t="shared" si="22"/>
        <v>43858</v>
      </c>
      <c r="H509" s="10">
        <f t="shared" si="23"/>
        <v>3.5</v>
      </c>
    </row>
    <row r="510" spans="1:8" x14ac:dyDescent="0.2">
      <c r="A510" s="1">
        <v>32863</v>
      </c>
      <c r="B510" s="1" t="str">
        <v>2020-01-29</v>
      </c>
      <c r="C510" s="1">
        <v>3.3178999999999998</v>
      </c>
      <c r="F510" s="8">
        <f t="shared" si="21"/>
        <v>32863</v>
      </c>
      <c r="G510" s="9">
        <f t="shared" si="22"/>
        <v>43859</v>
      </c>
      <c r="H510" s="10">
        <f t="shared" si="23"/>
        <v>3.3178999999999998</v>
      </c>
    </row>
    <row r="511" spans="1:8" x14ac:dyDescent="0.2">
      <c r="A511" s="1">
        <v>32320</v>
      </c>
      <c r="B511" s="1" t="str">
        <v>2020-01-29</v>
      </c>
      <c r="C511" s="1">
        <v>3.4014000000000002</v>
      </c>
      <c r="F511" s="8">
        <f t="shared" si="21"/>
        <v>32320</v>
      </c>
      <c r="G511" s="9">
        <f t="shared" si="22"/>
        <v>43859</v>
      </c>
      <c r="H511" s="10">
        <f t="shared" si="23"/>
        <v>3.4014000000000002</v>
      </c>
    </row>
    <row r="512" spans="1:8" x14ac:dyDescent="0.2">
      <c r="A512" s="1">
        <v>33103</v>
      </c>
      <c r="B512" s="1" t="str">
        <v>2020-01-29</v>
      </c>
      <c r="C512" s="1">
        <v>4.0347999999999997</v>
      </c>
      <c r="F512" s="8">
        <f t="shared" si="21"/>
        <v>33103</v>
      </c>
      <c r="G512" s="9">
        <f t="shared" si="22"/>
        <v>43859</v>
      </c>
      <c r="H512" s="10">
        <f t="shared" si="23"/>
        <v>4.0347999999999997</v>
      </c>
    </row>
    <row r="513" spans="1:8" x14ac:dyDescent="0.2">
      <c r="A513" s="1">
        <v>147</v>
      </c>
      <c r="B513" s="1" t="str">
        <v>2020-01-29</v>
      </c>
      <c r="C513" s="1">
        <v>3.4007999999999998</v>
      </c>
      <c r="F513" s="8">
        <f t="shared" si="21"/>
        <v>147</v>
      </c>
      <c r="G513" s="9">
        <f t="shared" si="22"/>
        <v>43859</v>
      </c>
      <c r="H513" s="10">
        <f t="shared" si="23"/>
        <v>3.4007999999999998</v>
      </c>
    </row>
    <row r="514" spans="1:8" x14ac:dyDescent="0.2">
      <c r="A514" s="1">
        <v>32040</v>
      </c>
      <c r="B514" s="1" t="str">
        <v>2020-01-29</v>
      </c>
      <c r="C514" s="1">
        <v>3.4106000000000001</v>
      </c>
      <c r="F514" s="8">
        <f t="shared" si="21"/>
        <v>32040</v>
      </c>
      <c r="G514" s="9">
        <f t="shared" si="22"/>
        <v>43859</v>
      </c>
      <c r="H514" s="10">
        <f t="shared" si="23"/>
        <v>3.4106000000000001</v>
      </c>
    </row>
    <row r="515" spans="1:8" x14ac:dyDescent="0.2">
      <c r="A515" s="1">
        <v>32803</v>
      </c>
      <c r="B515" s="1" t="str">
        <v>2020-01-29</v>
      </c>
      <c r="C515" s="1">
        <v>3.0718000000000001</v>
      </c>
      <c r="F515" s="8">
        <f t="shared" si="21"/>
        <v>32803</v>
      </c>
      <c r="G515" s="9">
        <f t="shared" si="22"/>
        <v>43859</v>
      </c>
      <c r="H515" s="10">
        <f t="shared" si="23"/>
        <v>3.0718000000000001</v>
      </c>
    </row>
    <row r="516" spans="1:8" x14ac:dyDescent="0.2">
      <c r="A516" s="1">
        <v>72</v>
      </c>
      <c r="B516" s="1" t="str">
        <v>2020-01-29</v>
      </c>
      <c r="C516" s="1">
        <v>3.1337000000000002</v>
      </c>
      <c r="F516" s="8">
        <f t="shared" si="21"/>
        <v>72</v>
      </c>
      <c r="G516" s="9">
        <f t="shared" si="22"/>
        <v>43859</v>
      </c>
      <c r="H516" s="10">
        <f t="shared" si="23"/>
        <v>3.1337000000000002</v>
      </c>
    </row>
    <row r="517" spans="1:8" x14ac:dyDescent="0.2">
      <c r="A517" s="1">
        <v>33023</v>
      </c>
      <c r="B517" s="1" t="str">
        <v>2020-01-29</v>
      </c>
      <c r="C517" s="1">
        <v>3.7</v>
      </c>
      <c r="F517" s="8">
        <f t="shared" si="21"/>
        <v>33023</v>
      </c>
      <c r="G517" s="9">
        <f t="shared" si="22"/>
        <v>43859</v>
      </c>
      <c r="H517" s="10">
        <f t="shared" si="23"/>
        <v>3.7</v>
      </c>
    </row>
    <row r="518" spans="1:8" x14ac:dyDescent="0.2">
      <c r="A518" s="1">
        <v>32724</v>
      </c>
      <c r="B518" s="1" t="str">
        <v>2020-01-29</v>
      </c>
      <c r="C518" s="1">
        <v>3.5668000000000002</v>
      </c>
      <c r="F518" s="8">
        <f t="shared" si="21"/>
        <v>32724</v>
      </c>
      <c r="G518" s="9">
        <f t="shared" si="22"/>
        <v>43859</v>
      </c>
      <c r="H518" s="10">
        <f t="shared" si="23"/>
        <v>3.5668000000000002</v>
      </c>
    </row>
    <row r="519" spans="1:8" x14ac:dyDescent="0.2">
      <c r="A519" s="1">
        <v>33043</v>
      </c>
      <c r="B519" s="1" t="str">
        <v>2020-01-29</v>
      </c>
      <c r="C519" s="1">
        <v>3.2158000000000002</v>
      </c>
      <c r="F519" s="8">
        <f t="shared" si="21"/>
        <v>33043</v>
      </c>
      <c r="G519" s="9">
        <f t="shared" si="22"/>
        <v>43859</v>
      </c>
      <c r="H519" s="10">
        <f t="shared" si="23"/>
        <v>3.2158000000000002</v>
      </c>
    </row>
    <row r="520" spans="1:8" x14ac:dyDescent="0.2">
      <c r="A520" s="1">
        <v>147</v>
      </c>
      <c r="B520" s="1" t="str">
        <v>2020-01-30</v>
      </c>
      <c r="C520" s="1">
        <v>3.37</v>
      </c>
      <c r="F520" s="8">
        <f t="shared" si="21"/>
        <v>147</v>
      </c>
      <c r="G520" s="9">
        <f t="shared" si="22"/>
        <v>43860</v>
      </c>
      <c r="H520" s="10">
        <f t="shared" si="23"/>
        <v>3.37</v>
      </c>
    </row>
    <row r="521" spans="1:8" x14ac:dyDescent="0.2">
      <c r="A521" s="1">
        <v>115</v>
      </c>
      <c r="B521" s="1" t="str">
        <v>2020-01-30</v>
      </c>
      <c r="C521" s="1">
        <v>3.3908999999999998</v>
      </c>
      <c r="F521" s="8">
        <f t="shared" ref="F521:F584" si="24">A521</f>
        <v>115</v>
      </c>
      <c r="G521" s="9">
        <f t="shared" ref="G521:G584" si="25">DATE(LEFT(B521,4),MID(B521,6,2),RIGHT(B521,2))</f>
        <v>43860</v>
      </c>
      <c r="H521" s="10">
        <f t="shared" ref="H521:H584" si="26">C521</f>
        <v>3.3908999999999998</v>
      </c>
    </row>
    <row r="522" spans="1:8" x14ac:dyDescent="0.2">
      <c r="A522" s="1">
        <v>33023</v>
      </c>
      <c r="B522" s="1" t="str">
        <v>2020-01-30</v>
      </c>
      <c r="C522" s="1">
        <v>3.7</v>
      </c>
      <c r="F522" s="8">
        <f t="shared" si="24"/>
        <v>33023</v>
      </c>
      <c r="G522" s="9">
        <f t="shared" si="25"/>
        <v>43860</v>
      </c>
      <c r="H522" s="10">
        <f t="shared" si="26"/>
        <v>3.7</v>
      </c>
    </row>
    <row r="523" spans="1:8" x14ac:dyDescent="0.2">
      <c r="A523" s="1">
        <v>55</v>
      </c>
      <c r="B523" s="1" t="str">
        <v>2020-01-30</v>
      </c>
      <c r="C523" s="1">
        <v>3.3294000000000001</v>
      </c>
      <c r="F523" s="8">
        <f t="shared" si="24"/>
        <v>55</v>
      </c>
      <c r="G523" s="9">
        <f t="shared" si="25"/>
        <v>43860</v>
      </c>
      <c r="H523" s="10">
        <f t="shared" si="26"/>
        <v>3.3294000000000001</v>
      </c>
    </row>
    <row r="524" spans="1:8" x14ac:dyDescent="0.2">
      <c r="A524" s="1">
        <v>33103</v>
      </c>
      <c r="B524" s="1" t="str">
        <v>2020-01-30</v>
      </c>
      <c r="C524" s="1">
        <v>4.0347999999999997</v>
      </c>
      <c r="F524" s="8">
        <f t="shared" si="24"/>
        <v>33103</v>
      </c>
      <c r="G524" s="9">
        <f t="shared" si="25"/>
        <v>43860</v>
      </c>
      <c r="H524" s="10">
        <f t="shared" si="26"/>
        <v>4.0347999999999997</v>
      </c>
    </row>
    <row r="525" spans="1:8" x14ac:dyDescent="0.2">
      <c r="A525" s="1">
        <v>67</v>
      </c>
      <c r="B525" s="1" t="str">
        <v>2020-01-30</v>
      </c>
      <c r="C525" s="1">
        <v>3.3289</v>
      </c>
      <c r="F525" s="8">
        <f t="shared" si="24"/>
        <v>67</v>
      </c>
      <c r="G525" s="9">
        <f t="shared" si="25"/>
        <v>43860</v>
      </c>
      <c r="H525" s="10">
        <f t="shared" si="26"/>
        <v>3.3289</v>
      </c>
    </row>
    <row r="526" spans="1:8" x14ac:dyDescent="0.2">
      <c r="A526" s="1">
        <v>33125</v>
      </c>
      <c r="B526" s="1" t="str">
        <v>2020-01-30</v>
      </c>
      <c r="C526" s="1">
        <v>3.1644000000000001</v>
      </c>
      <c r="F526" s="8">
        <f t="shared" si="24"/>
        <v>33125</v>
      </c>
      <c r="G526" s="9">
        <f t="shared" si="25"/>
        <v>43860</v>
      </c>
      <c r="H526" s="10">
        <f t="shared" si="26"/>
        <v>3.1644000000000001</v>
      </c>
    </row>
    <row r="527" spans="1:8" x14ac:dyDescent="0.2">
      <c r="A527" s="1">
        <v>32082</v>
      </c>
      <c r="B527" s="1" t="str">
        <v>2020-01-30</v>
      </c>
      <c r="C527" s="1">
        <v>3.431</v>
      </c>
      <c r="F527" s="8">
        <f t="shared" si="24"/>
        <v>32082</v>
      </c>
      <c r="G527" s="9">
        <f t="shared" si="25"/>
        <v>43860</v>
      </c>
      <c r="H527" s="10">
        <f t="shared" si="26"/>
        <v>3.431</v>
      </c>
    </row>
    <row r="528" spans="1:8" x14ac:dyDescent="0.2">
      <c r="A528" s="1">
        <v>32783</v>
      </c>
      <c r="B528" s="1" t="str">
        <v>2020-01-30</v>
      </c>
      <c r="C528" s="1">
        <v>3.6697000000000002</v>
      </c>
      <c r="F528" s="8">
        <f t="shared" si="24"/>
        <v>32783</v>
      </c>
      <c r="G528" s="9">
        <f t="shared" si="25"/>
        <v>43860</v>
      </c>
      <c r="H528" s="10">
        <f t="shared" si="26"/>
        <v>3.6697000000000002</v>
      </c>
    </row>
    <row r="529" spans="1:8" x14ac:dyDescent="0.2">
      <c r="A529" s="1">
        <v>1</v>
      </c>
      <c r="B529" s="1" t="str">
        <v>2020-01-30</v>
      </c>
      <c r="C529" s="1">
        <v>3.5044</v>
      </c>
      <c r="F529" s="8">
        <f t="shared" si="24"/>
        <v>1</v>
      </c>
      <c r="G529" s="9">
        <f t="shared" si="25"/>
        <v>43860</v>
      </c>
      <c r="H529" s="10">
        <f t="shared" si="26"/>
        <v>3.5044</v>
      </c>
    </row>
    <row r="530" spans="1:8" x14ac:dyDescent="0.2">
      <c r="A530" s="1">
        <v>30400</v>
      </c>
      <c r="B530" s="1" t="str">
        <v>2020-01-30</v>
      </c>
      <c r="C530" s="1">
        <v>3.1331000000000002</v>
      </c>
      <c r="F530" s="8">
        <f t="shared" si="24"/>
        <v>30400</v>
      </c>
      <c r="G530" s="9">
        <f t="shared" si="25"/>
        <v>43860</v>
      </c>
      <c r="H530" s="10">
        <f t="shared" si="26"/>
        <v>3.1331000000000002</v>
      </c>
    </row>
    <row r="531" spans="1:8" x14ac:dyDescent="0.2">
      <c r="A531" s="1">
        <v>150</v>
      </c>
      <c r="B531" s="1" t="str">
        <v>2020-01-30</v>
      </c>
      <c r="C531" s="1">
        <v>4.0384000000000002</v>
      </c>
      <c r="F531" s="8">
        <f t="shared" si="24"/>
        <v>150</v>
      </c>
      <c r="G531" s="9">
        <f t="shared" si="25"/>
        <v>43860</v>
      </c>
      <c r="H531" s="10">
        <f t="shared" si="26"/>
        <v>4.0384000000000002</v>
      </c>
    </row>
    <row r="532" spans="1:8" x14ac:dyDescent="0.2">
      <c r="A532" s="1">
        <v>32260</v>
      </c>
      <c r="B532" s="1" t="str">
        <v>2020-01-30</v>
      </c>
      <c r="C532" s="1">
        <v>3.4114</v>
      </c>
      <c r="F532" s="8">
        <f t="shared" si="24"/>
        <v>32260</v>
      </c>
      <c r="G532" s="9">
        <f t="shared" si="25"/>
        <v>43860</v>
      </c>
      <c r="H532" s="10">
        <f t="shared" si="26"/>
        <v>3.4114</v>
      </c>
    </row>
    <row r="533" spans="1:8" x14ac:dyDescent="0.2">
      <c r="A533" s="1">
        <v>72</v>
      </c>
      <c r="B533" s="1" t="str">
        <v>2020-01-30</v>
      </c>
      <c r="C533" s="1">
        <v>3.1027999999999998</v>
      </c>
      <c r="F533" s="8">
        <f t="shared" si="24"/>
        <v>72</v>
      </c>
      <c r="G533" s="9">
        <f t="shared" si="25"/>
        <v>43860</v>
      </c>
      <c r="H533" s="10">
        <f t="shared" si="26"/>
        <v>3.1027999999999998</v>
      </c>
    </row>
    <row r="534" spans="1:8" x14ac:dyDescent="0.2">
      <c r="A534" s="1">
        <v>139</v>
      </c>
      <c r="B534" s="1" t="str">
        <v>2020-01-30</v>
      </c>
      <c r="C534" s="1">
        <v>3.6181999999999999</v>
      </c>
      <c r="F534" s="8">
        <f t="shared" si="24"/>
        <v>139</v>
      </c>
      <c r="G534" s="9">
        <f t="shared" si="25"/>
        <v>43860</v>
      </c>
      <c r="H534" s="10">
        <f t="shared" si="26"/>
        <v>3.6181999999999999</v>
      </c>
    </row>
    <row r="535" spans="1:8" x14ac:dyDescent="0.2">
      <c r="A535" s="1">
        <v>32200</v>
      </c>
      <c r="B535" s="1" t="str">
        <v>2020-01-30</v>
      </c>
      <c r="C535" s="1">
        <v>2.7732000000000001</v>
      </c>
      <c r="F535" s="8">
        <f t="shared" si="24"/>
        <v>32200</v>
      </c>
      <c r="G535" s="9">
        <f t="shared" si="25"/>
        <v>43860</v>
      </c>
      <c r="H535" s="10">
        <f t="shared" si="26"/>
        <v>2.7732000000000001</v>
      </c>
    </row>
    <row r="536" spans="1:8" x14ac:dyDescent="0.2">
      <c r="A536" s="1">
        <v>1</v>
      </c>
      <c r="B536" s="1" t="str">
        <v>2020-01-31</v>
      </c>
      <c r="C536" s="1">
        <v>3.5044</v>
      </c>
      <c r="F536" s="8">
        <f t="shared" si="24"/>
        <v>1</v>
      </c>
      <c r="G536" s="9">
        <f t="shared" si="25"/>
        <v>43861</v>
      </c>
      <c r="H536" s="10">
        <f t="shared" si="26"/>
        <v>3.5044</v>
      </c>
    </row>
    <row r="537" spans="1:8" x14ac:dyDescent="0.2">
      <c r="A537" s="1">
        <v>67</v>
      </c>
      <c r="B537" s="1" t="str">
        <v>2020-01-31</v>
      </c>
      <c r="C537" s="1">
        <v>3.2875000000000001</v>
      </c>
      <c r="F537" s="8">
        <f t="shared" si="24"/>
        <v>67</v>
      </c>
      <c r="G537" s="9">
        <f t="shared" si="25"/>
        <v>43861</v>
      </c>
      <c r="H537" s="10">
        <f t="shared" si="26"/>
        <v>3.2875000000000001</v>
      </c>
    </row>
    <row r="538" spans="1:8" x14ac:dyDescent="0.2">
      <c r="A538" s="1">
        <v>191</v>
      </c>
      <c r="B538" s="1" t="str">
        <v>2020-01-31</v>
      </c>
      <c r="C538" s="1">
        <v>3.2360000000000002</v>
      </c>
      <c r="F538" s="8">
        <f t="shared" si="24"/>
        <v>191</v>
      </c>
      <c r="G538" s="9">
        <f t="shared" si="25"/>
        <v>43861</v>
      </c>
      <c r="H538" s="10">
        <f t="shared" si="26"/>
        <v>3.2360000000000002</v>
      </c>
    </row>
    <row r="539" spans="1:8" x14ac:dyDescent="0.2">
      <c r="A539" s="1">
        <v>32</v>
      </c>
      <c r="B539" s="1" t="str">
        <v>2020-01-31</v>
      </c>
      <c r="C539" s="1">
        <v>3.4994999999999998</v>
      </c>
      <c r="F539" s="8">
        <f t="shared" si="24"/>
        <v>32</v>
      </c>
      <c r="G539" s="9">
        <f t="shared" si="25"/>
        <v>43861</v>
      </c>
      <c r="H539" s="10">
        <f t="shared" si="26"/>
        <v>3.4994999999999998</v>
      </c>
    </row>
    <row r="540" spans="1:8" x14ac:dyDescent="0.2">
      <c r="A540" s="1">
        <v>16</v>
      </c>
      <c r="B540" s="1" t="str">
        <v>2020-01-31</v>
      </c>
      <c r="C540" s="1">
        <v>3.39</v>
      </c>
      <c r="F540" s="8">
        <f t="shared" si="24"/>
        <v>16</v>
      </c>
      <c r="G540" s="9">
        <f t="shared" si="25"/>
        <v>43861</v>
      </c>
      <c r="H540" s="10">
        <f t="shared" si="26"/>
        <v>3.39</v>
      </c>
    </row>
    <row r="541" spans="1:8" x14ac:dyDescent="0.2">
      <c r="A541" s="1">
        <v>32480</v>
      </c>
      <c r="B541" s="1" t="str">
        <v>2020-01-31</v>
      </c>
      <c r="C541" s="1">
        <v>3.0310999999999999</v>
      </c>
      <c r="F541" s="8">
        <f t="shared" si="24"/>
        <v>32480</v>
      </c>
      <c r="G541" s="9">
        <f t="shared" si="25"/>
        <v>43861</v>
      </c>
      <c r="H541" s="10">
        <f t="shared" si="26"/>
        <v>3.0310999999999999</v>
      </c>
    </row>
    <row r="542" spans="1:8" x14ac:dyDescent="0.2">
      <c r="A542" s="1">
        <v>147</v>
      </c>
      <c r="B542" s="1" t="str">
        <v>2020-01-31</v>
      </c>
      <c r="C542" s="1">
        <v>3.2564000000000002</v>
      </c>
      <c r="F542" s="8">
        <f t="shared" si="24"/>
        <v>147</v>
      </c>
      <c r="G542" s="9">
        <f t="shared" si="25"/>
        <v>43861</v>
      </c>
      <c r="H542" s="10">
        <f t="shared" si="26"/>
        <v>3.2564000000000002</v>
      </c>
    </row>
    <row r="543" spans="1:8" x14ac:dyDescent="0.2">
      <c r="A543" s="1">
        <v>102</v>
      </c>
      <c r="B543" s="1" t="str">
        <v>2020-01-31</v>
      </c>
      <c r="C543" s="1">
        <v>3.1747000000000001</v>
      </c>
      <c r="F543" s="8">
        <f t="shared" si="24"/>
        <v>102</v>
      </c>
      <c r="G543" s="9">
        <f t="shared" si="25"/>
        <v>43861</v>
      </c>
      <c r="H543" s="10">
        <f t="shared" si="26"/>
        <v>3.1747000000000001</v>
      </c>
    </row>
    <row r="544" spans="1:8" x14ac:dyDescent="0.2">
      <c r="A544" s="1">
        <v>32724</v>
      </c>
      <c r="B544" s="1" t="str">
        <v>2020-01-31</v>
      </c>
      <c r="C544" s="1">
        <v>3.3502000000000001</v>
      </c>
      <c r="F544" s="8">
        <f t="shared" si="24"/>
        <v>32724</v>
      </c>
      <c r="G544" s="9">
        <f t="shared" si="25"/>
        <v>43861</v>
      </c>
      <c r="H544" s="10">
        <f t="shared" si="26"/>
        <v>3.3502000000000001</v>
      </c>
    </row>
    <row r="545" spans="1:8" x14ac:dyDescent="0.2">
      <c r="A545" s="1">
        <v>32081</v>
      </c>
      <c r="B545" s="1" t="str">
        <v>2020-01-31</v>
      </c>
      <c r="C545" s="1">
        <v>3.3079000000000001</v>
      </c>
      <c r="F545" s="8">
        <f t="shared" si="24"/>
        <v>32081</v>
      </c>
      <c r="G545" s="9">
        <f t="shared" si="25"/>
        <v>43861</v>
      </c>
      <c r="H545" s="10">
        <f t="shared" si="26"/>
        <v>3.3079000000000001</v>
      </c>
    </row>
    <row r="546" spans="1:8" x14ac:dyDescent="0.2">
      <c r="A546" s="1">
        <v>32260</v>
      </c>
      <c r="B546" s="1" t="str">
        <v>2020-01-31</v>
      </c>
      <c r="C546" s="1">
        <v>3.3496999999999999</v>
      </c>
      <c r="F546" s="8">
        <f t="shared" si="24"/>
        <v>32260</v>
      </c>
      <c r="G546" s="9">
        <f t="shared" si="25"/>
        <v>43861</v>
      </c>
      <c r="H546" s="10">
        <f t="shared" si="26"/>
        <v>3.3496999999999999</v>
      </c>
    </row>
    <row r="547" spans="1:8" x14ac:dyDescent="0.2">
      <c r="A547" s="1">
        <v>13250</v>
      </c>
      <c r="B547" s="1" t="str">
        <v>2020-01-31</v>
      </c>
      <c r="C547" s="1">
        <v>2.7538</v>
      </c>
      <c r="F547" s="8">
        <f t="shared" si="24"/>
        <v>13250</v>
      </c>
      <c r="G547" s="9">
        <f t="shared" si="25"/>
        <v>43861</v>
      </c>
      <c r="H547" s="10">
        <f t="shared" si="26"/>
        <v>2.7538</v>
      </c>
    </row>
    <row r="548" spans="1:8" x14ac:dyDescent="0.2">
      <c r="A548" s="1">
        <v>32883</v>
      </c>
      <c r="B548" s="1" t="str">
        <v>2020-01-31</v>
      </c>
      <c r="C548" s="1">
        <v>3.3593000000000002</v>
      </c>
      <c r="F548" s="8">
        <f t="shared" si="24"/>
        <v>32883</v>
      </c>
      <c r="G548" s="9">
        <f t="shared" si="25"/>
        <v>43861</v>
      </c>
      <c r="H548" s="10">
        <f t="shared" si="26"/>
        <v>3.3593000000000002</v>
      </c>
    </row>
    <row r="549" spans="1:8" x14ac:dyDescent="0.2">
      <c r="A549" s="1">
        <v>156</v>
      </c>
      <c r="B549" s="1" t="str">
        <v>2020-01-31</v>
      </c>
      <c r="C549" s="1">
        <v>3.5768</v>
      </c>
      <c r="F549" s="8">
        <f t="shared" si="24"/>
        <v>156</v>
      </c>
      <c r="G549" s="9">
        <f t="shared" si="25"/>
        <v>43861</v>
      </c>
      <c r="H549" s="10">
        <f t="shared" si="26"/>
        <v>3.5768</v>
      </c>
    </row>
    <row r="550" spans="1:8" x14ac:dyDescent="0.2">
      <c r="A550" s="1">
        <v>31</v>
      </c>
      <c r="B550" s="1" t="str">
        <v>2020-01-31</v>
      </c>
      <c r="C550" s="1">
        <v>3.4</v>
      </c>
      <c r="F550" s="8">
        <f t="shared" si="24"/>
        <v>31</v>
      </c>
      <c r="G550" s="9">
        <f t="shared" si="25"/>
        <v>43861</v>
      </c>
      <c r="H550" s="10">
        <f t="shared" si="26"/>
        <v>3.4</v>
      </c>
    </row>
    <row r="551" spans="1:8" x14ac:dyDescent="0.2">
      <c r="A551" s="1">
        <v>171</v>
      </c>
      <c r="B551" s="1" t="str">
        <v>2020-01-31</v>
      </c>
      <c r="C551" s="1">
        <v>3.1953</v>
      </c>
      <c r="F551" s="8">
        <f t="shared" si="24"/>
        <v>171</v>
      </c>
      <c r="G551" s="9">
        <f t="shared" si="25"/>
        <v>43861</v>
      </c>
      <c r="H551" s="10">
        <f t="shared" si="26"/>
        <v>3.1953</v>
      </c>
    </row>
    <row r="552" spans="1:8" x14ac:dyDescent="0.2">
      <c r="A552" s="1">
        <v>24</v>
      </c>
      <c r="B552" s="1" t="str">
        <v>2020-01-31</v>
      </c>
      <c r="C552" s="1">
        <v>3.4220999999999999</v>
      </c>
      <c r="F552" s="8">
        <f t="shared" si="24"/>
        <v>24</v>
      </c>
      <c r="G552" s="9">
        <f t="shared" si="25"/>
        <v>43861</v>
      </c>
      <c r="H552" s="10">
        <f t="shared" si="26"/>
        <v>3.4220999999999999</v>
      </c>
    </row>
    <row r="553" spans="1:8" x14ac:dyDescent="0.2">
      <c r="A553" s="1">
        <v>37</v>
      </c>
      <c r="B553" s="1" t="str">
        <v>2020-01-31</v>
      </c>
      <c r="C553" s="1">
        <v>3.7526999999999999</v>
      </c>
      <c r="F553" s="8">
        <f t="shared" si="24"/>
        <v>37</v>
      </c>
      <c r="G553" s="9">
        <f t="shared" si="25"/>
        <v>43861</v>
      </c>
      <c r="H553" s="10">
        <f t="shared" si="26"/>
        <v>3.7526999999999999</v>
      </c>
    </row>
    <row r="554" spans="1:8" x14ac:dyDescent="0.2">
      <c r="A554" s="1">
        <v>72</v>
      </c>
      <c r="B554" s="1" t="str">
        <v>2020-01-31</v>
      </c>
      <c r="C554" s="1">
        <v>3.2056</v>
      </c>
      <c r="F554" s="8">
        <f t="shared" si="24"/>
        <v>72</v>
      </c>
      <c r="G554" s="9">
        <f t="shared" si="25"/>
        <v>43861</v>
      </c>
      <c r="H554" s="10">
        <f t="shared" si="26"/>
        <v>3.2056</v>
      </c>
    </row>
    <row r="555" spans="1:8" x14ac:dyDescent="0.2">
      <c r="A555" s="1">
        <v>30400</v>
      </c>
      <c r="B555" s="1" t="str">
        <v>2020-01-31</v>
      </c>
      <c r="C555" s="1">
        <v>3.1671999999999998</v>
      </c>
      <c r="F555" s="8">
        <f t="shared" si="24"/>
        <v>30400</v>
      </c>
      <c r="G555" s="9">
        <f t="shared" si="25"/>
        <v>43861</v>
      </c>
      <c r="H555" s="10">
        <f t="shared" si="26"/>
        <v>3.1671999999999998</v>
      </c>
    </row>
    <row r="556" spans="1:8" x14ac:dyDescent="0.2">
      <c r="A556" s="1">
        <v>32863</v>
      </c>
      <c r="B556" s="1" t="str">
        <v>2020-01-31</v>
      </c>
      <c r="C556" s="1">
        <v>3.3178999999999998</v>
      </c>
      <c r="F556" s="8">
        <f t="shared" si="24"/>
        <v>32863</v>
      </c>
      <c r="G556" s="9">
        <f t="shared" si="25"/>
        <v>43861</v>
      </c>
      <c r="H556" s="10">
        <f t="shared" si="26"/>
        <v>3.3178999999999998</v>
      </c>
    </row>
    <row r="557" spans="1:8" x14ac:dyDescent="0.2">
      <c r="A557" s="1">
        <v>20</v>
      </c>
      <c r="B557" s="1" t="str">
        <v>2020-01-31</v>
      </c>
      <c r="C557" s="1">
        <v>2.9998</v>
      </c>
      <c r="F557" s="8">
        <f t="shared" si="24"/>
        <v>20</v>
      </c>
      <c r="G557" s="9">
        <f t="shared" si="25"/>
        <v>43861</v>
      </c>
      <c r="H557" s="10">
        <f t="shared" si="26"/>
        <v>2.9998</v>
      </c>
    </row>
    <row r="558" spans="1:8" x14ac:dyDescent="0.2">
      <c r="A558" s="1">
        <v>10</v>
      </c>
      <c r="B558" s="1" t="str">
        <v>2020-01-31</v>
      </c>
      <c r="C558" s="1">
        <v>3.2570000000000001</v>
      </c>
      <c r="F558" s="8">
        <f t="shared" si="24"/>
        <v>10</v>
      </c>
      <c r="G558" s="9">
        <f t="shared" si="25"/>
        <v>43861</v>
      </c>
      <c r="H558" s="10">
        <f t="shared" si="26"/>
        <v>3.2570000000000001</v>
      </c>
    </row>
    <row r="559" spans="1:8" x14ac:dyDescent="0.2">
      <c r="A559" s="1">
        <v>109</v>
      </c>
      <c r="B559" s="1" t="str">
        <v>2020-01-31</v>
      </c>
      <c r="C559" s="1">
        <v>3.3498000000000001</v>
      </c>
      <c r="F559" s="8">
        <f t="shared" si="24"/>
        <v>109</v>
      </c>
      <c r="G559" s="9">
        <f t="shared" si="25"/>
        <v>43861</v>
      </c>
      <c r="H559" s="10">
        <f t="shared" si="26"/>
        <v>3.3498000000000001</v>
      </c>
    </row>
    <row r="560" spans="1:8" x14ac:dyDescent="0.2">
      <c r="A560" s="1">
        <v>30250</v>
      </c>
      <c r="B560" s="1" t="str">
        <v>2020-01-31</v>
      </c>
      <c r="C560" s="1">
        <v>3.1023999999999998</v>
      </c>
      <c r="F560" s="8">
        <f t="shared" si="24"/>
        <v>30250</v>
      </c>
      <c r="G560" s="9">
        <f t="shared" si="25"/>
        <v>43861</v>
      </c>
      <c r="H560" s="10">
        <f t="shared" si="26"/>
        <v>3.1023999999999998</v>
      </c>
    </row>
    <row r="561" spans="1:8" x14ac:dyDescent="0.2">
      <c r="A561" s="1">
        <v>32783</v>
      </c>
      <c r="B561" s="1" t="str">
        <v>2020-01-31</v>
      </c>
      <c r="C561" s="1">
        <v>3.6698</v>
      </c>
      <c r="F561" s="8">
        <f t="shared" si="24"/>
        <v>32783</v>
      </c>
      <c r="G561" s="9">
        <f t="shared" si="25"/>
        <v>43861</v>
      </c>
      <c r="H561" s="10">
        <f t="shared" si="26"/>
        <v>3.6698</v>
      </c>
    </row>
    <row r="562" spans="1:8" x14ac:dyDescent="0.2">
      <c r="A562" s="1">
        <v>49</v>
      </c>
      <c r="B562" s="1" t="str">
        <v>2020-01-31</v>
      </c>
      <c r="C562" s="1">
        <v>2.9173</v>
      </c>
      <c r="F562" s="8">
        <f t="shared" si="24"/>
        <v>49</v>
      </c>
      <c r="G562" s="9">
        <f t="shared" si="25"/>
        <v>43861</v>
      </c>
      <c r="H562" s="10">
        <f t="shared" si="26"/>
        <v>2.9173</v>
      </c>
    </row>
    <row r="563" spans="1:8" x14ac:dyDescent="0.2">
      <c r="A563" s="1">
        <v>99</v>
      </c>
      <c r="B563" s="1" t="str">
        <v>2020-01-31</v>
      </c>
      <c r="C563" s="1">
        <v>3.4424999999999999</v>
      </c>
      <c r="F563" s="8">
        <f t="shared" si="24"/>
        <v>99</v>
      </c>
      <c r="G563" s="9">
        <f t="shared" si="25"/>
        <v>43861</v>
      </c>
      <c r="H563" s="10">
        <f t="shared" si="26"/>
        <v>3.4424999999999999</v>
      </c>
    </row>
    <row r="564" spans="1:8" x14ac:dyDescent="0.2">
      <c r="A564" s="1">
        <v>59</v>
      </c>
      <c r="B564" s="1" t="str">
        <v>2020-01-31</v>
      </c>
      <c r="C564" s="1">
        <v>3.1949999999999998</v>
      </c>
      <c r="F564" s="8">
        <f t="shared" si="24"/>
        <v>59</v>
      </c>
      <c r="G564" s="9">
        <f t="shared" si="25"/>
        <v>43861</v>
      </c>
      <c r="H564" s="10">
        <f t="shared" si="26"/>
        <v>3.1949999999999998</v>
      </c>
    </row>
    <row r="565" spans="1:8" x14ac:dyDescent="0.2">
      <c r="A565" s="1">
        <v>68</v>
      </c>
      <c r="B565" s="1" t="str">
        <v>2020-01-31</v>
      </c>
      <c r="C565" s="1">
        <v>3.1124999999999998</v>
      </c>
      <c r="F565" s="8">
        <f t="shared" si="24"/>
        <v>68</v>
      </c>
      <c r="G565" s="9">
        <f t="shared" si="25"/>
        <v>43861</v>
      </c>
      <c r="H565" s="10">
        <f t="shared" si="26"/>
        <v>3.1124999999999998</v>
      </c>
    </row>
    <row r="566" spans="1:8" x14ac:dyDescent="0.2">
      <c r="A566" s="1">
        <v>94</v>
      </c>
      <c r="B566" s="1" t="str">
        <v>2020-01-31</v>
      </c>
      <c r="C566" s="1">
        <v>3.8</v>
      </c>
      <c r="F566" s="8">
        <f t="shared" si="24"/>
        <v>94</v>
      </c>
      <c r="G566" s="9">
        <f t="shared" si="25"/>
        <v>43861</v>
      </c>
      <c r="H566" s="10">
        <f t="shared" si="26"/>
        <v>3.8</v>
      </c>
    </row>
    <row r="567" spans="1:8" x14ac:dyDescent="0.2">
      <c r="A567" s="1">
        <v>196</v>
      </c>
      <c r="B567" s="1" t="str">
        <v>2020-01-31</v>
      </c>
      <c r="C567" s="1">
        <v>3.2469000000000001</v>
      </c>
      <c r="F567" s="8">
        <f t="shared" si="24"/>
        <v>196</v>
      </c>
      <c r="G567" s="9">
        <f t="shared" si="25"/>
        <v>43861</v>
      </c>
      <c r="H567" s="10">
        <f t="shared" si="26"/>
        <v>3.2469000000000001</v>
      </c>
    </row>
    <row r="568" spans="1:8" x14ac:dyDescent="0.2">
      <c r="A568" s="1">
        <v>32121</v>
      </c>
      <c r="B568" s="1" t="str">
        <v>2020-01-31</v>
      </c>
      <c r="C568" s="1">
        <v>3.1530999999999998</v>
      </c>
      <c r="F568" s="8">
        <f t="shared" si="24"/>
        <v>32121</v>
      </c>
      <c r="G568" s="9">
        <f t="shared" si="25"/>
        <v>43861</v>
      </c>
      <c r="H568" s="10">
        <f t="shared" si="26"/>
        <v>3.1530999999999998</v>
      </c>
    </row>
    <row r="569" spans="1:8" x14ac:dyDescent="0.2">
      <c r="A569" s="1">
        <v>32582</v>
      </c>
      <c r="B569" s="1" t="str">
        <v>2020-01-31</v>
      </c>
      <c r="C569" s="1">
        <v>3.2469999999999999</v>
      </c>
      <c r="F569" s="8">
        <f t="shared" si="24"/>
        <v>32582</v>
      </c>
      <c r="G569" s="9">
        <f t="shared" si="25"/>
        <v>43861</v>
      </c>
      <c r="H569" s="10">
        <f t="shared" si="26"/>
        <v>3.2469999999999999</v>
      </c>
    </row>
    <row r="570" spans="1:8" x14ac:dyDescent="0.2">
      <c r="A570" s="1">
        <v>32082</v>
      </c>
      <c r="B570" s="1" t="str">
        <v>2020-01-31</v>
      </c>
      <c r="C570" s="1">
        <v>3.431</v>
      </c>
      <c r="F570" s="8">
        <f t="shared" si="24"/>
        <v>32082</v>
      </c>
      <c r="G570" s="9">
        <f t="shared" si="25"/>
        <v>43861</v>
      </c>
      <c r="H570" s="10">
        <f t="shared" si="26"/>
        <v>3.431</v>
      </c>
    </row>
    <row r="571" spans="1:8" x14ac:dyDescent="0.2">
      <c r="A571" s="1">
        <v>90</v>
      </c>
      <c r="B571" s="1" t="str">
        <v>2020-01-31</v>
      </c>
      <c r="C571" s="1">
        <v>3.5666000000000002</v>
      </c>
      <c r="F571" s="8">
        <f t="shared" si="24"/>
        <v>90</v>
      </c>
      <c r="G571" s="9">
        <f t="shared" si="25"/>
        <v>43861</v>
      </c>
      <c r="H571" s="10">
        <f t="shared" si="26"/>
        <v>3.5666000000000002</v>
      </c>
    </row>
    <row r="572" spans="1:8" x14ac:dyDescent="0.2">
      <c r="A572" s="1">
        <v>32180</v>
      </c>
      <c r="B572" s="1" t="str">
        <v>2020-01-31</v>
      </c>
      <c r="C572" s="1">
        <v>3.2486000000000002</v>
      </c>
      <c r="F572" s="8">
        <f t="shared" si="24"/>
        <v>32180</v>
      </c>
      <c r="G572" s="9">
        <f t="shared" si="25"/>
        <v>43861</v>
      </c>
      <c r="H572" s="10">
        <f t="shared" si="26"/>
        <v>3.2486000000000002</v>
      </c>
    </row>
    <row r="573" spans="1:8" x14ac:dyDescent="0.2">
      <c r="A573" s="1">
        <v>136</v>
      </c>
      <c r="B573" s="1" t="str">
        <v>2020-01-31</v>
      </c>
      <c r="C573" s="1">
        <v>3.3292999999999999</v>
      </c>
      <c r="F573" s="8">
        <f t="shared" si="24"/>
        <v>136</v>
      </c>
      <c r="G573" s="9">
        <f t="shared" si="25"/>
        <v>43861</v>
      </c>
      <c r="H573" s="10">
        <f t="shared" si="26"/>
        <v>3.3292999999999999</v>
      </c>
    </row>
    <row r="574" spans="1:8" x14ac:dyDescent="0.2">
      <c r="A574" s="1">
        <v>33125</v>
      </c>
      <c r="B574" s="1" t="str">
        <v>2020-01-31</v>
      </c>
      <c r="C574" s="1">
        <v>3.1128999999999998</v>
      </c>
      <c r="F574" s="8">
        <f t="shared" si="24"/>
        <v>33125</v>
      </c>
      <c r="G574" s="9">
        <f t="shared" si="25"/>
        <v>43861</v>
      </c>
      <c r="H574" s="10">
        <f t="shared" si="26"/>
        <v>3.1128999999999998</v>
      </c>
    </row>
    <row r="575" spans="1:8" x14ac:dyDescent="0.2">
      <c r="A575" s="1">
        <v>32583</v>
      </c>
      <c r="B575" s="1" t="str">
        <v>2020-01-31</v>
      </c>
      <c r="C575" s="1">
        <v>3.4</v>
      </c>
      <c r="F575" s="8">
        <f t="shared" si="24"/>
        <v>32583</v>
      </c>
      <c r="G575" s="9">
        <f t="shared" si="25"/>
        <v>43861</v>
      </c>
      <c r="H575" s="10">
        <f t="shared" si="26"/>
        <v>3.4</v>
      </c>
    </row>
    <row r="576" spans="1:8" x14ac:dyDescent="0.2">
      <c r="A576" s="1">
        <v>98</v>
      </c>
      <c r="B576" s="1" t="str">
        <v>2020-01-31</v>
      </c>
      <c r="C576" s="1">
        <v>3.2153999999999998</v>
      </c>
      <c r="F576" s="8">
        <f t="shared" si="24"/>
        <v>98</v>
      </c>
      <c r="G576" s="9">
        <f t="shared" si="25"/>
        <v>43861</v>
      </c>
      <c r="H576" s="10">
        <f t="shared" si="26"/>
        <v>3.2153999999999998</v>
      </c>
    </row>
    <row r="577" spans="1:8" x14ac:dyDescent="0.2">
      <c r="A577" s="1">
        <v>101</v>
      </c>
      <c r="B577" s="1" t="str">
        <v>2020-01-31</v>
      </c>
      <c r="C577" s="1">
        <v>3.6777000000000002</v>
      </c>
      <c r="F577" s="8">
        <f t="shared" si="24"/>
        <v>101</v>
      </c>
      <c r="G577" s="9">
        <f t="shared" si="25"/>
        <v>43861</v>
      </c>
      <c r="H577" s="10">
        <f t="shared" si="26"/>
        <v>3.6777000000000002</v>
      </c>
    </row>
    <row r="578" spans="1:8" x14ac:dyDescent="0.2">
      <c r="A578" s="1">
        <v>53</v>
      </c>
      <c r="B578" s="1" t="str">
        <v>2020-01-31</v>
      </c>
      <c r="C578" s="1">
        <v>3.2464</v>
      </c>
      <c r="F578" s="8">
        <f t="shared" si="24"/>
        <v>53</v>
      </c>
      <c r="G578" s="9">
        <f t="shared" si="25"/>
        <v>43861</v>
      </c>
      <c r="H578" s="10">
        <f t="shared" si="26"/>
        <v>3.2464</v>
      </c>
    </row>
    <row r="579" spans="1:8" x14ac:dyDescent="0.2">
      <c r="A579" s="1">
        <v>30300</v>
      </c>
      <c r="B579" s="1" t="str">
        <v>2020-01-31</v>
      </c>
      <c r="C579" s="1">
        <v>3.3083</v>
      </c>
      <c r="F579" s="8">
        <f t="shared" si="24"/>
        <v>30300</v>
      </c>
      <c r="G579" s="9">
        <f t="shared" si="25"/>
        <v>43861</v>
      </c>
      <c r="H579" s="10">
        <f t="shared" si="26"/>
        <v>3.3083</v>
      </c>
    </row>
    <row r="580" spans="1:8" x14ac:dyDescent="0.2">
      <c r="A580" s="1">
        <v>78</v>
      </c>
      <c r="B580" s="1" t="str">
        <v>2020-01-31</v>
      </c>
      <c r="C580" s="1">
        <v>3.4428000000000001</v>
      </c>
      <c r="F580" s="8">
        <f t="shared" si="24"/>
        <v>78</v>
      </c>
      <c r="G580" s="9">
        <f t="shared" si="25"/>
        <v>43861</v>
      </c>
      <c r="H580" s="10">
        <f t="shared" si="26"/>
        <v>3.4428000000000001</v>
      </c>
    </row>
    <row r="581" spans="1:8" x14ac:dyDescent="0.2">
      <c r="A581" s="1">
        <v>32340</v>
      </c>
      <c r="B581" s="1" t="str">
        <v>2020-01-31</v>
      </c>
      <c r="C581" s="1">
        <v>3.2667999999999999</v>
      </c>
      <c r="F581" s="8">
        <f t="shared" si="24"/>
        <v>32340</v>
      </c>
      <c r="G581" s="9">
        <f t="shared" si="25"/>
        <v>43861</v>
      </c>
      <c r="H581" s="10">
        <f t="shared" si="26"/>
        <v>3.2667999999999999</v>
      </c>
    </row>
    <row r="582" spans="1:8" x14ac:dyDescent="0.2">
      <c r="A582" s="1">
        <v>146</v>
      </c>
      <c r="B582" s="1" t="str">
        <v>2020-01-31</v>
      </c>
      <c r="C582" s="1">
        <v>3.4013</v>
      </c>
      <c r="F582" s="8">
        <f t="shared" si="24"/>
        <v>146</v>
      </c>
      <c r="G582" s="9">
        <f t="shared" si="25"/>
        <v>43861</v>
      </c>
      <c r="H582" s="10">
        <f t="shared" si="26"/>
        <v>3.4013</v>
      </c>
    </row>
    <row r="583" spans="1:8" x14ac:dyDescent="0.2">
      <c r="A583" s="1">
        <v>187</v>
      </c>
      <c r="B583" s="1" t="str">
        <v>2020-01-31</v>
      </c>
      <c r="C583" s="1">
        <v>3.6802000000000001</v>
      </c>
      <c r="F583" s="8">
        <f t="shared" si="24"/>
        <v>187</v>
      </c>
      <c r="G583" s="9">
        <f t="shared" si="25"/>
        <v>43861</v>
      </c>
      <c r="H583" s="10">
        <f t="shared" si="26"/>
        <v>3.6802000000000001</v>
      </c>
    </row>
    <row r="584" spans="1:8" x14ac:dyDescent="0.2">
      <c r="A584" s="1">
        <v>147</v>
      </c>
      <c r="B584" s="1" t="str">
        <v>2020-02-03</v>
      </c>
      <c r="C584" s="1">
        <v>3.2254</v>
      </c>
      <c r="F584" s="8">
        <f t="shared" si="24"/>
        <v>147</v>
      </c>
      <c r="G584" s="9">
        <f t="shared" si="25"/>
        <v>43864</v>
      </c>
      <c r="H584" s="10">
        <f t="shared" si="26"/>
        <v>3.2254</v>
      </c>
    </row>
    <row r="585" spans="1:8" x14ac:dyDescent="0.2">
      <c r="A585" s="1">
        <v>81</v>
      </c>
      <c r="B585" s="1" t="str">
        <v>2020-02-03</v>
      </c>
      <c r="C585" s="1">
        <v>3.6389999999999998</v>
      </c>
      <c r="F585" s="8">
        <f t="shared" ref="F585:F648" si="27">A585</f>
        <v>81</v>
      </c>
      <c r="G585" s="9">
        <f t="shared" ref="G585:G648" si="28">DATE(LEFT(B585,4),MID(B585,6,2),RIGHT(B585,2))</f>
        <v>43864</v>
      </c>
      <c r="H585" s="10">
        <f t="shared" ref="H585:H648" si="29">C585</f>
        <v>3.6389999999999998</v>
      </c>
    </row>
    <row r="586" spans="1:8" x14ac:dyDescent="0.2">
      <c r="A586" s="1">
        <v>110</v>
      </c>
      <c r="B586" s="1" t="str">
        <v>2020-02-03</v>
      </c>
      <c r="C586" s="1">
        <v>3.5</v>
      </c>
      <c r="F586" s="8">
        <f t="shared" si="27"/>
        <v>110</v>
      </c>
      <c r="G586" s="9">
        <f t="shared" si="28"/>
        <v>43864</v>
      </c>
      <c r="H586" s="10">
        <f t="shared" si="29"/>
        <v>3.5</v>
      </c>
    </row>
    <row r="587" spans="1:8" x14ac:dyDescent="0.2">
      <c r="A587" s="1">
        <v>32863</v>
      </c>
      <c r="B587" s="1" t="str">
        <v>2020-02-03</v>
      </c>
      <c r="C587" s="1">
        <v>3.2355</v>
      </c>
      <c r="F587" s="8">
        <f t="shared" si="27"/>
        <v>32863</v>
      </c>
      <c r="G587" s="9">
        <f t="shared" si="28"/>
        <v>43864</v>
      </c>
      <c r="H587" s="10">
        <f t="shared" si="29"/>
        <v>3.2355</v>
      </c>
    </row>
    <row r="588" spans="1:8" x14ac:dyDescent="0.2">
      <c r="A588" s="1">
        <v>2250</v>
      </c>
      <c r="B588" s="1" t="str">
        <v>2020-02-03</v>
      </c>
      <c r="C588" s="1">
        <v>3.1023000000000001</v>
      </c>
      <c r="F588" s="8">
        <f t="shared" si="27"/>
        <v>2250</v>
      </c>
      <c r="G588" s="9">
        <f t="shared" si="28"/>
        <v>43864</v>
      </c>
      <c r="H588" s="10">
        <f t="shared" si="29"/>
        <v>3.1023000000000001</v>
      </c>
    </row>
    <row r="589" spans="1:8" x14ac:dyDescent="0.2">
      <c r="A589" s="1">
        <v>32963</v>
      </c>
      <c r="B589" s="1" t="str">
        <v>2020-02-03</v>
      </c>
      <c r="C589" s="1">
        <v>3.7113</v>
      </c>
      <c r="F589" s="8">
        <f t="shared" si="27"/>
        <v>32963</v>
      </c>
      <c r="G589" s="9">
        <f t="shared" si="28"/>
        <v>43864</v>
      </c>
      <c r="H589" s="10">
        <f t="shared" si="29"/>
        <v>3.7113</v>
      </c>
    </row>
    <row r="590" spans="1:8" x14ac:dyDescent="0.2">
      <c r="A590" s="1">
        <v>32803</v>
      </c>
      <c r="B590" s="1" t="str">
        <v>2020-02-03</v>
      </c>
      <c r="C590" s="1">
        <v>3.0306999999999999</v>
      </c>
      <c r="F590" s="8">
        <f t="shared" si="27"/>
        <v>32803</v>
      </c>
      <c r="G590" s="9">
        <f t="shared" si="28"/>
        <v>43864</v>
      </c>
      <c r="H590" s="10">
        <f t="shared" si="29"/>
        <v>3.0306999999999999</v>
      </c>
    </row>
    <row r="591" spans="1:8" x14ac:dyDescent="0.2">
      <c r="A591" s="1">
        <v>32724</v>
      </c>
      <c r="B591" s="1" t="str">
        <v>2020-02-03</v>
      </c>
      <c r="C591" s="1">
        <v>3.3089</v>
      </c>
      <c r="F591" s="8">
        <f t="shared" si="27"/>
        <v>32724</v>
      </c>
      <c r="G591" s="9">
        <f t="shared" si="28"/>
        <v>43864</v>
      </c>
      <c r="H591" s="10">
        <f t="shared" si="29"/>
        <v>3.3089</v>
      </c>
    </row>
    <row r="592" spans="1:8" x14ac:dyDescent="0.2">
      <c r="A592" s="1">
        <v>24250</v>
      </c>
      <c r="B592" s="1" t="str">
        <v>2020-02-03</v>
      </c>
      <c r="C592" s="1">
        <v>3.4630000000000001</v>
      </c>
      <c r="F592" s="8">
        <f t="shared" si="27"/>
        <v>24250</v>
      </c>
      <c r="G592" s="9">
        <f t="shared" si="28"/>
        <v>43864</v>
      </c>
      <c r="H592" s="10">
        <f t="shared" si="29"/>
        <v>3.4630000000000001</v>
      </c>
    </row>
    <row r="593" spans="1:8" x14ac:dyDescent="0.2">
      <c r="A593" s="1">
        <v>178</v>
      </c>
      <c r="B593" s="1" t="str">
        <v>2020-02-03</v>
      </c>
      <c r="C593" s="1">
        <v>3.407</v>
      </c>
      <c r="F593" s="8">
        <f t="shared" si="27"/>
        <v>178</v>
      </c>
      <c r="G593" s="9">
        <f t="shared" si="28"/>
        <v>43864</v>
      </c>
      <c r="H593" s="10">
        <f t="shared" si="29"/>
        <v>3.407</v>
      </c>
    </row>
    <row r="594" spans="1:8" x14ac:dyDescent="0.2">
      <c r="A594" s="1">
        <v>32421</v>
      </c>
      <c r="B594" s="1" t="str">
        <v>2020-02-04</v>
      </c>
      <c r="C594" s="1">
        <v>3.3372999999999999</v>
      </c>
      <c r="F594" s="8">
        <f t="shared" si="27"/>
        <v>32421</v>
      </c>
      <c r="G594" s="9">
        <f t="shared" si="28"/>
        <v>43865</v>
      </c>
      <c r="H594" s="10">
        <f t="shared" si="29"/>
        <v>3.3372999999999999</v>
      </c>
    </row>
    <row r="595" spans="1:8" x14ac:dyDescent="0.2">
      <c r="A595" s="1">
        <v>32724</v>
      </c>
      <c r="B595" s="1" t="str">
        <v>2020-02-04</v>
      </c>
      <c r="C595" s="1">
        <v>3.2883</v>
      </c>
      <c r="F595" s="8">
        <f t="shared" si="27"/>
        <v>32724</v>
      </c>
      <c r="G595" s="9">
        <f t="shared" si="28"/>
        <v>43865</v>
      </c>
      <c r="H595" s="10">
        <f t="shared" si="29"/>
        <v>3.2883</v>
      </c>
    </row>
    <row r="596" spans="1:8" x14ac:dyDescent="0.2">
      <c r="A596" s="1">
        <v>137</v>
      </c>
      <c r="B596" s="1" t="str">
        <v>2020-02-04</v>
      </c>
      <c r="C596" s="1">
        <v>3.1543999999999999</v>
      </c>
      <c r="F596" s="8">
        <f t="shared" si="27"/>
        <v>137</v>
      </c>
      <c r="G596" s="9">
        <f t="shared" si="28"/>
        <v>43865</v>
      </c>
      <c r="H596" s="10">
        <f t="shared" si="29"/>
        <v>3.1543999999999999</v>
      </c>
    </row>
    <row r="597" spans="1:8" x14ac:dyDescent="0.2">
      <c r="A597" s="1">
        <v>32081</v>
      </c>
      <c r="B597" s="1" t="str">
        <v>2020-02-04</v>
      </c>
      <c r="C597" s="1">
        <v>3.3079000000000001</v>
      </c>
      <c r="F597" s="8">
        <f t="shared" si="27"/>
        <v>32081</v>
      </c>
      <c r="G597" s="9">
        <f t="shared" si="28"/>
        <v>43865</v>
      </c>
      <c r="H597" s="10">
        <f t="shared" si="29"/>
        <v>3.3079000000000001</v>
      </c>
    </row>
    <row r="598" spans="1:8" x14ac:dyDescent="0.2">
      <c r="A598" s="1">
        <v>33143</v>
      </c>
      <c r="B598" s="1" t="str">
        <v>2020-02-04</v>
      </c>
      <c r="C598" s="1">
        <v>3.5</v>
      </c>
      <c r="F598" s="8">
        <f t="shared" si="27"/>
        <v>33143</v>
      </c>
      <c r="G598" s="9">
        <f t="shared" si="28"/>
        <v>43865</v>
      </c>
      <c r="H598" s="10">
        <f t="shared" si="29"/>
        <v>3.5</v>
      </c>
    </row>
    <row r="599" spans="1:8" x14ac:dyDescent="0.2">
      <c r="A599" s="1">
        <v>32502</v>
      </c>
      <c r="B599" s="1" t="str">
        <v>2020-02-04</v>
      </c>
      <c r="C599" s="1">
        <v>3.2774999999999999</v>
      </c>
      <c r="F599" s="8">
        <f t="shared" si="27"/>
        <v>32502</v>
      </c>
      <c r="G599" s="9">
        <f t="shared" si="28"/>
        <v>43865</v>
      </c>
      <c r="H599" s="10">
        <f t="shared" si="29"/>
        <v>3.2774999999999999</v>
      </c>
    </row>
    <row r="600" spans="1:8" x14ac:dyDescent="0.2">
      <c r="A600" s="1">
        <v>187</v>
      </c>
      <c r="B600" s="1" t="str">
        <v>2020-02-05</v>
      </c>
      <c r="C600" s="1">
        <v>3.5457000000000001</v>
      </c>
      <c r="F600" s="8">
        <f t="shared" si="27"/>
        <v>187</v>
      </c>
      <c r="G600" s="9">
        <f t="shared" si="28"/>
        <v>43866</v>
      </c>
      <c r="H600" s="10">
        <f t="shared" si="29"/>
        <v>3.5457000000000001</v>
      </c>
    </row>
    <row r="601" spans="1:8" x14ac:dyDescent="0.2">
      <c r="A601" s="1">
        <v>115</v>
      </c>
      <c r="B601" s="1" t="str">
        <v>2020-02-05</v>
      </c>
      <c r="C601" s="1">
        <v>3.3908999999999998</v>
      </c>
      <c r="F601" s="8">
        <f t="shared" si="27"/>
        <v>115</v>
      </c>
      <c r="G601" s="9">
        <f t="shared" si="28"/>
        <v>43866</v>
      </c>
      <c r="H601" s="10">
        <f t="shared" si="29"/>
        <v>3.3908999999999998</v>
      </c>
    </row>
    <row r="602" spans="1:8" x14ac:dyDescent="0.2">
      <c r="A602" s="1">
        <v>32</v>
      </c>
      <c r="B602" s="1" t="str">
        <v>2020-02-05</v>
      </c>
      <c r="C602" s="1">
        <v>3.4683999999999999</v>
      </c>
      <c r="F602" s="8">
        <f t="shared" si="27"/>
        <v>32</v>
      </c>
      <c r="G602" s="9">
        <f t="shared" si="28"/>
        <v>43866</v>
      </c>
      <c r="H602" s="10">
        <f t="shared" si="29"/>
        <v>3.4683999999999999</v>
      </c>
    </row>
    <row r="603" spans="1:8" x14ac:dyDescent="0.2">
      <c r="A603" s="1">
        <v>181</v>
      </c>
      <c r="B603" s="1" t="str">
        <v>2020-02-05</v>
      </c>
      <c r="C603" s="1">
        <v>3.3803999999999998</v>
      </c>
      <c r="F603" s="8">
        <f t="shared" si="27"/>
        <v>181</v>
      </c>
      <c r="G603" s="9">
        <f t="shared" si="28"/>
        <v>43866</v>
      </c>
      <c r="H603" s="10">
        <f t="shared" si="29"/>
        <v>3.3803999999999998</v>
      </c>
    </row>
    <row r="604" spans="1:8" x14ac:dyDescent="0.2">
      <c r="A604" s="1">
        <v>77</v>
      </c>
      <c r="B604" s="1" t="str">
        <v>2020-02-05</v>
      </c>
      <c r="C604" s="1">
        <v>3.5451999999999999</v>
      </c>
      <c r="F604" s="8">
        <f t="shared" si="27"/>
        <v>77</v>
      </c>
      <c r="G604" s="9">
        <f t="shared" si="28"/>
        <v>43866</v>
      </c>
      <c r="H604" s="10">
        <f t="shared" si="29"/>
        <v>3.5451999999999999</v>
      </c>
    </row>
    <row r="605" spans="1:8" x14ac:dyDescent="0.2">
      <c r="A605" s="1">
        <v>171</v>
      </c>
      <c r="B605" s="1" t="str">
        <v>2020-02-05</v>
      </c>
      <c r="C605" s="1">
        <v>3.1848999999999998</v>
      </c>
      <c r="F605" s="8">
        <f t="shared" si="27"/>
        <v>171</v>
      </c>
      <c r="G605" s="9">
        <f t="shared" si="28"/>
        <v>43866</v>
      </c>
      <c r="H605" s="10">
        <f t="shared" si="29"/>
        <v>3.1848999999999998</v>
      </c>
    </row>
    <row r="606" spans="1:8" x14ac:dyDescent="0.2">
      <c r="A606" s="1">
        <v>32603</v>
      </c>
      <c r="B606" s="1" t="str">
        <v>2020-02-06</v>
      </c>
      <c r="C606" s="1">
        <v>3.2875000000000001</v>
      </c>
      <c r="F606" s="8">
        <f t="shared" si="27"/>
        <v>32603</v>
      </c>
      <c r="G606" s="9">
        <f t="shared" si="28"/>
        <v>43867</v>
      </c>
      <c r="H606" s="10">
        <f t="shared" si="29"/>
        <v>3.2875000000000001</v>
      </c>
    </row>
    <row r="607" spans="1:8" x14ac:dyDescent="0.2">
      <c r="A607" s="1">
        <v>33023</v>
      </c>
      <c r="B607" s="1" t="str">
        <v>2020-02-06</v>
      </c>
      <c r="C607" s="1">
        <v>3.7</v>
      </c>
      <c r="F607" s="8">
        <f t="shared" si="27"/>
        <v>33023</v>
      </c>
      <c r="G607" s="9">
        <f t="shared" si="28"/>
        <v>43867</v>
      </c>
      <c r="H607" s="10">
        <f t="shared" si="29"/>
        <v>3.7</v>
      </c>
    </row>
    <row r="608" spans="1:8" x14ac:dyDescent="0.2">
      <c r="A608" s="1">
        <v>171</v>
      </c>
      <c r="B608" s="1" t="str">
        <v>2020-02-06</v>
      </c>
      <c r="C608" s="1">
        <v>3.1848999999999998</v>
      </c>
      <c r="F608" s="8">
        <f t="shared" si="27"/>
        <v>171</v>
      </c>
      <c r="G608" s="9">
        <f t="shared" si="28"/>
        <v>43867</v>
      </c>
      <c r="H608" s="10">
        <f t="shared" si="29"/>
        <v>3.1848999999999998</v>
      </c>
    </row>
    <row r="609" spans="1:8" x14ac:dyDescent="0.2">
      <c r="A609" s="1">
        <v>139</v>
      </c>
      <c r="B609" s="1" t="str">
        <v>2020-02-06</v>
      </c>
      <c r="C609" s="1">
        <v>3.6181999999999999</v>
      </c>
      <c r="F609" s="8">
        <f t="shared" si="27"/>
        <v>139</v>
      </c>
      <c r="G609" s="9">
        <f t="shared" si="28"/>
        <v>43867</v>
      </c>
      <c r="H609" s="10">
        <f t="shared" si="29"/>
        <v>3.6181999999999999</v>
      </c>
    </row>
    <row r="610" spans="1:8" x14ac:dyDescent="0.2">
      <c r="A610" s="1">
        <v>32724</v>
      </c>
      <c r="B610" s="1" t="str">
        <v>2020-02-06</v>
      </c>
      <c r="C610" s="1">
        <v>3.3913000000000002</v>
      </c>
      <c r="F610" s="8">
        <f t="shared" si="27"/>
        <v>32724</v>
      </c>
      <c r="G610" s="9">
        <f t="shared" si="28"/>
        <v>43867</v>
      </c>
      <c r="H610" s="10">
        <f t="shared" si="29"/>
        <v>3.3913000000000002</v>
      </c>
    </row>
    <row r="611" spans="1:8" x14ac:dyDescent="0.2">
      <c r="A611" s="1">
        <v>32400</v>
      </c>
      <c r="B611" s="1" t="str">
        <v>2020-02-07</v>
      </c>
      <c r="C611" s="1">
        <v>3.5</v>
      </c>
      <c r="F611" s="8">
        <f t="shared" si="27"/>
        <v>32400</v>
      </c>
      <c r="G611" s="9">
        <f t="shared" si="28"/>
        <v>43868</v>
      </c>
      <c r="H611" s="10">
        <f t="shared" si="29"/>
        <v>3.5</v>
      </c>
    </row>
    <row r="612" spans="1:8" x14ac:dyDescent="0.2">
      <c r="A612" s="1">
        <v>33103</v>
      </c>
      <c r="B612" s="1" t="str">
        <v>2020-02-07</v>
      </c>
      <c r="C612" s="1">
        <v>4.0160999999999998</v>
      </c>
      <c r="F612" s="8">
        <f t="shared" si="27"/>
        <v>33103</v>
      </c>
      <c r="G612" s="9">
        <f t="shared" si="28"/>
        <v>43868</v>
      </c>
      <c r="H612" s="10">
        <f t="shared" si="29"/>
        <v>4.0160999999999998</v>
      </c>
    </row>
    <row r="613" spans="1:8" x14ac:dyDescent="0.2">
      <c r="A613" s="1">
        <v>33023</v>
      </c>
      <c r="B613" s="1" t="str">
        <v>2020-02-07</v>
      </c>
      <c r="C613" s="1">
        <v>3.5</v>
      </c>
      <c r="F613" s="8">
        <f t="shared" si="27"/>
        <v>33023</v>
      </c>
      <c r="G613" s="9">
        <f t="shared" si="28"/>
        <v>43868</v>
      </c>
      <c r="H613" s="10">
        <f t="shared" si="29"/>
        <v>3.5</v>
      </c>
    </row>
    <row r="614" spans="1:8" x14ac:dyDescent="0.2">
      <c r="A614" s="1">
        <v>32480</v>
      </c>
      <c r="B614" s="1" t="str">
        <v>2020-02-07</v>
      </c>
      <c r="C614" s="1">
        <v>2.8872</v>
      </c>
      <c r="F614" s="8">
        <f t="shared" si="27"/>
        <v>32480</v>
      </c>
      <c r="G614" s="9">
        <f t="shared" si="28"/>
        <v>43868</v>
      </c>
      <c r="H614" s="10">
        <f t="shared" si="29"/>
        <v>2.8872</v>
      </c>
    </row>
    <row r="615" spans="1:8" x14ac:dyDescent="0.2">
      <c r="A615" s="1">
        <v>99</v>
      </c>
      <c r="B615" s="1" t="str">
        <v>2020-02-07</v>
      </c>
      <c r="C615" s="1">
        <v>3.3502000000000001</v>
      </c>
      <c r="F615" s="8">
        <f t="shared" si="27"/>
        <v>99</v>
      </c>
      <c r="G615" s="9">
        <f t="shared" si="28"/>
        <v>43868</v>
      </c>
      <c r="H615" s="10">
        <f t="shared" si="29"/>
        <v>3.3502000000000001</v>
      </c>
    </row>
    <row r="616" spans="1:8" x14ac:dyDescent="0.2">
      <c r="A616" s="1">
        <v>16</v>
      </c>
      <c r="B616" s="1" t="str">
        <v>2020-02-07</v>
      </c>
      <c r="C616" s="1">
        <v>3.2149000000000001</v>
      </c>
      <c r="F616" s="8">
        <f t="shared" si="27"/>
        <v>16</v>
      </c>
      <c r="G616" s="9">
        <f t="shared" si="28"/>
        <v>43868</v>
      </c>
      <c r="H616" s="10">
        <f t="shared" si="29"/>
        <v>3.2149000000000001</v>
      </c>
    </row>
    <row r="617" spans="1:8" x14ac:dyDescent="0.2">
      <c r="A617" s="1">
        <v>32</v>
      </c>
      <c r="B617" s="1" t="str">
        <v>2020-02-07</v>
      </c>
      <c r="C617" s="1">
        <v>3.3241000000000001</v>
      </c>
      <c r="F617" s="8">
        <f t="shared" si="27"/>
        <v>32</v>
      </c>
      <c r="G617" s="9">
        <f t="shared" si="28"/>
        <v>43868</v>
      </c>
      <c r="H617" s="10">
        <f t="shared" si="29"/>
        <v>3.3241000000000001</v>
      </c>
    </row>
    <row r="618" spans="1:8" x14ac:dyDescent="0.2">
      <c r="A618" s="1">
        <v>33125</v>
      </c>
      <c r="B618" s="1" t="str">
        <v>2020-02-07</v>
      </c>
      <c r="C618" s="1">
        <v>3.1949000000000001</v>
      </c>
      <c r="F618" s="8">
        <f t="shared" si="27"/>
        <v>33125</v>
      </c>
      <c r="G618" s="9">
        <f t="shared" si="28"/>
        <v>43868</v>
      </c>
      <c r="H618" s="10">
        <f t="shared" si="29"/>
        <v>3.1949000000000001</v>
      </c>
    </row>
    <row r="619" spans="1:8" x14ac:dyDescent="0.2">
      <c r="A619" s="1">
        <v>150</v>
      </c>
      <c r="B619" s="1" t="str">
        <v>2020-02-07</v>
      </c>
      <c r="C619" s="1">
        <v>3.6432000000000002</v>
      </c>
      <c r="F619" s="8">
        <f t="shared" si="27"/>
        <v>150</v>
      </c>
      <c r="G619" s="9">
        <f t="shared" si="28"/>
        <v>43868</v>
      </c>
      <c r="H619" s="10">
        <f t="shared" si="29"/>
        <v>3.6432000000000002</v>
      </c>
    </row>
    <row r="620" spans="1:8" x14ac:dyDescent="0.2">
      <c r="A620" s="1">
        <v>32863</v>
      </c>
      <c r="B620" s="1" t="str">
        <v>2020-02-07</v>
      </c>
      <c r="C620" s="1">
        <v>2.9988000000000001</v>
      </c>
      <c r="F620" s="8">
        <f t="shared" si="27"/>
        <v>32863</v>
      </c>
      <c r="G620" s="9">
        <f t="shared" si="28"/>
        <v>43868</v>
      </c>
      <c r="H620" s="10">
        <f t="shared" si="29"/>
        <v>2.9988000000000001</v>
      </c>
    </row>
    <row r="621" spans="1:8" x14ac:dyDescent="0.2">
      <c r="A621" s="1">
        <v>49</v>
      </c>
      <c r="B621" s="1" t="str">
        <v>2020-02-07</v>
      </c>
      <c r="C621" s="1">
        <v>2.8862999999999999</v>
      </c>
      <c r="F621" s="8">
        <f t="shared" si="27"/>
        <v>49</v>
      </c>
      <c r="G621" s="9">
        <f t="shared" si="28"/>
        <v>43868</v>
      </c>
      <c r="H621" s="10">
        <f t="shared" si="29"/>
        <v>2.8862999999999999</v>
      </c>
    </row>
    <row r="622" spans="1:8" x14ac:dyDescent="0.2">
      <c r="A622" s="1">
        <v>81</v>
      </c>
      <c r="B622" s="1" t="str">
        <v>2020-02-07</v>
      </c>
      <c r="C622" s="1">
        <v>3.2469000000000001</v>
      </c>
      <c r="F622" s="8">
        <f t="shared" si="27"/>
        <v>81</v>
      </c>
      <c r="G622" s="9">
        <f t="shared" si="28"/>
        <v>43868</v>
      </c>
      <c r="H622" s="10">
        <f t="shared" si="29"/>
        <v>3.2469000000000001</v>
      </c>
    </row>
    <row r="623" spans="1:8" x14ac:dyDescent="0.2">
      <c r="A623" s="1">
        <v>32260</v>
      </c>
      <c r="B623" s="1" t="str">
        <v>2020-02-07</v>
      </c>
      <c r="C623" s="1">
        <v>3.0609999999999999</v>
      </c>
      <c r="F623" s="8">
        <f t="shared" si="27"/>
        <v>32260</v>
      </c>
      <c r="G623" s="9">
        <f t="shared" si="28"/>
        <v>43868</v>
      </c>
      <c r="H623" s="10">
        <f t="shared" si="29"/>
        <v>3.0609999999999999</v>
      </c>
    </row>
    <row r="624" spans="1:8" x14ac:dyDescent="0.2">
      <c r="A624" s="1">
        <v>30250</v>
      </c>
      <c r="B624" s="1" t="str">
        <v>2020-02-07</v>
      </c>
      <c r="C624" s="1">
        <v>3.0510000000000002</v>
      </c>
      <c r="F624" s="8">
        <f t="shared" si="27"/>
        <v>30250</v>
      </c>
      <c r="G624" s="9">
        <f t="shared" si="28"/>
        <v>43868</v>
      </c>
      <c r="H624" s="10">
        <f t="shared" si="29"/>
        <v>3.0510000000000002</v>
      </c>
    </row>
    <row r="625" spans="1:8" x14ac:dyDescent="0.2">
      <c r="A625" s="1">
        <v>115</v>
      </c>
      <c r="B625" s="1" t="str">
        <v>2020-02-07</v>
      </c>
      <c r="C625" s="1">
        <v>3.3702999999999999</v>
      </c>
      <c r="F625" s="8">
        <f t="shared" si="27"/>
        <v>115</v>
      </c>
      <c r="G625" s="9">
        <f t="shared" si="28"/>
        <v>43868</v>
      </c>
      <c r="H625" s="10">
        <f t="shared" si="29"/>
        <v>3.3702999999999999</v>
      </c>
    </row>
    <row r="626" spans="1:8" x14ac:dyDescent="0.2">
      <c r="A626" s="1">
        <v>55</v>
      </c>
      <c r="B626" s="1" t="str">
        <v>2020-02-07</v>
      </c>
      <c r="C626" s="1">
        <v>3.1747999999999998</v>
      </c>
      <c r="F626" s="8">
        <f t="shared" si="27"/>
        <v>55</v>
      </c>
      <c r="G626" s="9">
        <f t="shared" si="28"/>
        <v>43868</v>
      </c>
      <c r="H626" s="10">
        <f t="shared" si="29"/>
        <v>3.1747999999999998</v>
      </c>
    </row>
    <row r="627" spans="1:8" x14ac:dyDescent="0.2">
      <c r="A627" s="1">
        <v>156</v>
      </c>
      <c r="B627" s="1" t="str">
        <v>2020-02-07</v>
      </c>
      <c r="C627" s="1">
        <v>3.4944000000000002</v>
      </c>
      <c r="F627" s="8">
        <f t="shared" si="27"/>
        <v>156</v>
      </c>
      <c r="G627" s="9">
        <f t="shared" si="28"/>
        <v>43868</v>
      </c>
      <c r="H627" s="10">
        <f t="shared" si="29"/>
        <v>3.4944000000000002</v>
      </c>
    </row>
    <row r="628" spans="1:8" x14ac:dyDescent="0.2">
      <c r="A628" s="1">
        <v>101</v>
      </c>
      <c r="B628" s="1" t="str">
        <v>2020-02-07</v>
      </c>
      <c r="C628" s="1">
        <v>3.6898</v>
      </c>
      <c r="F628" s="8">
        <f t="shared" si="27"/>
        <v>101</v>
      </c>
      <c r="G628" s="9">
        <f t="shared" si="28"/>
        <v>43868</v>
      </c>
      <c r="H628" s="10">
        <f t="shared" si="29"/>
        <v>3.6898</v>
      </c>
    </row>
    <row r="629" spans="1:8" x14ac:dyDescent="0.2">
      <c r="A629" s="1">
        <v>32200</v>
      </c>
      <c r="B629" s="1" t="str">
        <v>2020-02-07</v>
      </c>
      <c r="C629" s="1">
        <v>2.6604000000000001</v>
      </c>
      <c r="F629" s="8">
        <f t="shared" si="27"/>
        <v>32200</v>
      </c>
      <c r="G629" s="9">
        <f t="shared" si="28"/>
        <v>43868</v>
      </c>
      <c r="H629" s="10">
        <f t="shared" si="29"/>
        <v>2.6604000000000001</v>
      </c>
    </row>
    <row r="630" spans="1:8" x14ac:dyDescent="0.2">
      <c r="A630" s="1">
        <v>13250</v>
      </c>
      <c r="B630" s="1" t="str">
        <v>2020-02-07</v>
      </c>
      <c r="C630" s="1">
        <v>2.6717</v>
      </c>
      <c r="F630" s="8">
        <f t="shared" si="27"/>
        <v>13250</v>
      </c>
      <c r="G630" s="9">
        <f t="shared" si="28"/>
        <v>43868</v>
      </c>
      <c r="H630" s="10">
        <f t="shared" si="29"/>
        <v>2.6717</v>
      </c>
    </row>
    <row r="631" spans="1:8" x14ac:dyDescent="0.2">
      <c r="A631" s="1">
        <v>10</v>
      </c>
      <c r="B631" s="1" t="str">
        <v>2020-02-10</v>
      </c>
      <c r="C631" s="1">
        <v>3.2158000000000002</v>
      </c>
      <c r="F631" s="8">
        <f t="shared" si="27"/>
        <v>10</v>
      </c>
      <c r="G631" s="9">
        <f t="shared" si="28"/>
        <v>43871</v>
      </c>
      <c r="H631" s="10">
        <f t="shared" si="29"/>
        <v>3.2158000000000002</v>
      </c>
    </row>
    <row r="632" spans="1:8" x14ac:dyDescent="0.2">
      <c r="A632" s="1">
        <v>53</v>
      </c>
      <c r="B632" s="1" t="str">
        <v>2020-02-10</v>
      </c>
      <c r="C632" s="1">
        <v>3.0815000000000001</v>
      </c>
      <c r="F632" s="8">
        <f t="shared" si="27"/>
        <v>53</v>
      </c>
      <c r="G632" s="9">
        <f t="shared" si="28"/>
        <v>43871</v>
      </c>
      <c r="H632" s="10">
        <f t="shared" si="29"/>
        <v>3.0815000000000001</v>
      </c>
    </row>
    <row r="633" spans="1:8" x14ac:dyDescent="0.2">
      <c r="A633" s="1">
        <v>171</v>
      </c>
      <c r="B633" s="1" t="str">
        <v>2020-02-10</v>
      </c>
      <c r="C633" s="1">
        <v>3.0306000000000002</v>
      </c>
      <c r="F633" s="8">
        <f t="shared" si="27"/>
        <v>171</v>
      </c>
      <c r="G633" s="9">
        <f t="shared" si="28"/>
        <v>43871</v>
      </c>
      <c r="H633" s="10">
        <f t="shared" si="29"/>
        <v>3.0306000000000002</v>
      </c>
    </row>
    <row r="634" spans="1:8" x14ac:dyDescent="0.2">
      <c r="A634" s="1">
        <v>32824</v>
      </c>
      <c r="B634" s="1" t="str">
        <v>2020-02-10</v>
      </c>
      <c r="C634" s="1">
        <v>3.4428000000000001</v>
      </c>
      <c r="F634" s="8">
        <f t="shared" si="27"/>
        <v>32824</v>
      </c>
      <c r="G634" s="9">
        <f t="shared" si="28"/>
        <v>43871</v>
      </c>
      <c r="H634" s="10">
        <f t="shared" si="29"/>
        <v>3.4428000000000001</v>
      </c>
    </row>
    <row r="635" spans="1:8" x14ac:dyDescent="0.2">
      <c r="A635" s="1">
        <v>157</v>
      </c>
      <c r="B635" s="1" t="str">
        <v>2020-02-10</v>
      </c>
      <c r="C635" s="1">
        <v>3.5</v>
      </c>
      <c r="F635" s="8">
        <f t="shared" si="27"/>
        <v>157</v>
      </c>
      <c r="G635" s="9">
        <f t="shared" si="28"/>
        <v>43871</v>
      </c>
      <c r="H635" s="10">
        <f t="shared" si="29"/>
        <v>3.5</v>
      </c>
    </row>
    <row r="636" spans="1:8" x14ac:dyDescent="0.2">
      <c r="A636" s="1">
        <v>33023</v>
      </c>
      <c r="B636" s="1" t="str">
        <v>2020-02-10</v>
      </c>
      <c r="C636" s="1">
        <v>3.3</v>
      </c>
      <c r="F636" s="8">
        <f t="shared" si="27"/>
        <v>33023</v>
      </c>
      <c r="G636" s="9">
        <f t="shared" si="28"/>
        <v>43871</v>
      </c>
      <c r="H636" s="10">
        <f t="shared" si="29"/>
        <v>3.3</v>
      </c>
    </row>
    <row r="637" spans="1:8" x14ac:dyDescent="0.2">
      <c r="A637" s="1">
        <v>32421</v>
      </c>
      <c r="B637" s="1" t="str">
        <v>2020-02-10</v>
      </c>
      <c r="C637" s="1">
        <v>3.1337000000000002</v>
      </c>
      <c r="F637" s="8">
        <f t="shared" si="27"/>
        <v>32421</v>
      </c>
      <c r="G637" s="9">
        <f t="shared" si="28"/>
        <v>43871</v>
      </c>
      <c r="H637" s="10">
        <f t="shared" si="29"/>
        <v>3.1337000000000002</v>
      </c>
    </row>
    <row r="638" spans="1:8" x14ac:dyDescent="0.2">
      <c r="A638" s="1">
        <v>32724</v>
      </c>
      <c r="B638" s="1" t="str">
        <v>2020-02-10</v>
      </c>
      <c r="C638" s="1">
        <v>3.2881999999999998</v>
      </c>
      <c r="F638" s="8">
        <f t="shared" si="27"/>
        <v>32724</v>
      </c>
      <c r="G638" s="9">
        <f t="shared" si="28"/>
        <v>43871</v>
      </c>
      <c r="H638" s="10">
        <f t="shared" si="29"/>
        <v>3.2881999999999998</v>
      </c>
    </row>
    <row r="639" spans="1:8" x14ac:dyDescent="0.2">
      <c r="A639" s="1">
        <v>32222</v>
      </c>
      <c r="B639" s="1" t="str">
        <v>2020-02-10</v>
      </c>
      <c r="C639" s="1">
        <v>2.9072</v>
      </c>
      <c r="F639" s="8">
        <f t="shared" si="27"/>
        <v>32222</v>
      </c>
      <c r="G639" s="9">
        <f t="shared" si="28"/>
        <v>43871</v>
      </c>
      <c r="H639" s="10">
        <f t="shared" si="29"/>
        <v>2.9072</v>
      </c>
    </row>
    <row r="640" spans="1:8" x14ac:dyDescent="0.2">
      <c r="A640" s="1">
        <v>178</v>
      </c>
      <c r="B640" s="1" t="str">
        <v>2020-02-10</v>
      </c>
      <c r="C640" s="1">
        <v>3.1959</v>
      </c>
      <c r="F640" s="8">
        <f t="shared" si="27"/>
        <v>178</v>
      </c>
      <c r="G640" s="9">
        <f t="shared" si="28"/>
        <v>43871</v>
      </c>
      <c r="H640" s="10">
        <f t="shared" si="29"/>
        <v>3.1959</v>
      </c>
    </row>
    <row r="641" spans="1:8" x14ac:dyDescent="0.2">
      <c r="A641" s="1">
        <v>32380</v>
      </c>
      <c r="B641" s="1" t="str">
        <v>2020-02-10</v>
      </c>
      <c r="C641" s="1">
        <v>3.3538999999999999</v>
      </c>
      <c r="F641" s="8">
        <f t="shared" si="27"/>
        <v>32380</v>
      </c>
      <c r="G641" s="9">
        <f t="shared" si="28"/>
        <v>43871</v>
      </c>
      <c r="H641" s="10">
        <f t="shared" si="29"/>
        <v>3.3538999999999999</v>
      </c>
    </row>
    <row r="642" spans="1:8" x14ac:dyDescent="0.2">
      <c r="A642" s="1">
        <v>32401</v>
      </c>
      <c r="B642" s="1" t="str">
        <v>2020-02-11</v>
      </c>
      <c r="C642" s="1">
        <v>3.9695999999999998</v>
      </c>
      <c r="F642" s="8">
        <f t="shared" si="27"/>
        <v>32401</v>
      </c>
      <c r="G642" s="9">
        <f t="shared" si="28"/>
        <v>43872</v>
      </c>
      <c r="H642" s="10">
        <f t="shared" si="29"/>
        <v>3.9695999999999998</v>
      </c>
    </row>
    <row r="643" spans="1:8" x14ac:dyDescent="0.2">
      <c r="A643" s="1">
        <v>33043</v>
      </c>
      <c r="B643" s="1" t="str">
        <v>2020-02-11</v>
      </c>
      <c r="C643" s="1">
        <v>3.0507</v>
      </c>
      <c r="F643" s="8">
        <f t="shared" si="27"/>
        <v>33043</v>
      </c>
      <c r="G643" s="9">
        <f t="shared" si="28"/>
        <v>43872</v>
      </c>
      <c r="H643" s="10">
        <f t="shared" si="29"/>
        <v>3.0507</v>
      </c>
    </row>
    <row r="644" spans="1:8" x14ac:dyDescent="0.2">
      <c r="A644" s="1">
        <v>90</v>
      </c>
      <c r="B644" s="1" t="str">
        <v>2020-02-11</v>
      </c>
      <c r="C644" s="1">
        <v>3.2056</v>
      </c>
      <c r="F644" s="8">
        <f t="shared" si="27"/>
        <v>90</v>
      </c>
      <c r="G644" s="9">
        <f t="shared" si="28"/>
        <v>43872</v>
      </c>
      <c r="H644" s="10">
        <f t="shared" si="29"/>
        <v>3.2056</v>
      </c>
    </row>
    <row r="645" spans="1:8" x14ac:dyDescent="0.2">
      <c r="A645" s="1">
        <v>32582</v>
      </c>
      <c r="B645" s="1" t="str">
        <v>2020-02-11</v>
      </c>
      <c r="C645" s="1">
        <v>3.2161</v>
      </c>
      <c r="F645" s="8">
        <f t="shared" si="27"/>
        <v>32582</v>
      </c>
      <c r="G645" s="9">
        <f t="shared" si="28"/>
        <v>43872</v>
      </c>
      <c r="H645" s="10">
        <f t="shared" si="29"/>
        <v>3.2161</v>
      </c>
    </row>
    <row r="646" spans="1:8" x14ac:dyDescent="0.2">
      <c r="A646" s="1">
        <v>32863</v>
      </c>
      <c r="B646" s="1" t="str">
        <v>2020-02-12</v>
      </c>
      <c r="C646" s="1">
        <v>3.0609000000000002</v>
      </c>
      <c r="F646" s="8">
        <f t="shared" si="27"/>
        <v>32863</v>
      </c>
      <c r="G646" s="9">
        <f t="shared" si="28"/>
        <v>43873</v>
      </c>
      <c r="H646" s="10">
        <f t="shared" si="29"/>
        <v>3.0609000000000002</v>
      </c>
    </row>
    <row r="647" spans="1:8" x14ac:dyDescent="0.2">
      <c r="A647" s="1">
        <v>33023</v>
      </c>
      <c r="B647" s="1" t="str">
        <v>2020-02-12</v>
      </c>
      <c r="C647" s="1">
        <v>3.3</v>
      </c>
      <c r="F647" s="8">
        <f t="shared" si="27"/>
        <v>33023</v>
      </c>
      <c r="G647" s="9">
        <f t="shared" si="28"/>
        <v>43873</v>
      </c>
      <c r="H647" s="10">
        <f t="shared" si="29"/>
        <v>3.3</v>
      </c>
    </row>
    <row r="648" spans="1:8" x14ac:dyDescent="0.2">
      <c r="A648" s="1">
        <v>32724</v>
      </c>
      <c r="B648" s="1" t="str">
        <v>2020-02-12</v>
      </c>
      <c r="C648" s="1">
        <v>3.3089</v>
      </c>
      <c r="F648" s="8">
        <f t="shared" si="27"/>
        <v>32724</v>
      </c>
      <c r="G648" s="9">
        <f t="shared" si="28"/>
        <v>43873</v>
      </c>
      <c r="H648" s="10">
        <f t="shared" si="29"/>
        <v>3.3089</v>
      </c>
    </row>
    <row r="649" spans="1:8" x14ac:dyDescent="0.2">
      <c r="A649" s="1">
        <v>32843</v>
      </c>
      <c r="B649" s="1" t="str">
        <v>2020-02-12</v>
      </c>
      <c r="C649" s="1">
        <v>3.1353</v>
      </c>
      <c r="F649" s="8">
        <f t="shared" ref="F649:F712" si="30">A649</f>
        <v>32843</v>
      </c>
      <c r="G649" s="9">
        <f t="shared" ref="G649:G712" si="31">DATE(LEFT(B649,4),MID(B649,6,2),RIGHT(B649,2))</f>
        <v>43873</v>
      </c>
      <c r="H649" s="10">
        <f t="shared" ref="H649:H712" si="32">C649</f>
        <v>3.1353</v>
      </c>
    </row>
    <row r="650" spans="1:8" x14ac:dyDescent="0.2">
      <c r="A650" s="1">
        <v>32923</v>
      </c>
      <c r="B650" s="1" t="str">
        <v>2020-02-12</v>
      </c>
      <c r="C650" s="1">
        <v>4.0526</v>
      </c>
      <c r="F650" s="8">
        <f t="shared" si="30"/>
        <v>32923</v>
      </c>
      <c r="G650" s="9">
        <f t="shared" si="31"/>
        <v>43873</v>
      </c>
      <c r="H650" s="10">
        <f t="shared" si="32"/>
        <v>4.0526</v>
      </c>
    </row>
    <row r="651" spans="1:8" x14ac:dyDescent="0.2">
      <c r="A651" s="1">
        <v>32823</v>
      </c>
      <c r="B651" s="1" t="str">
        <v>2020-02-13</v>
      </c>
      <c r="C651" s="1">
        <v>3.7</v>
      </c>
      <c r="F651" s="8">
        <f t="shared" si="30"/>
        <v>32823</v>
      </c>
      <c r="G651" s="9">
        <f t="shared" si="31"/>
        <v>43874</v>
      </c>
      <c r="H651" s="10">
        <f t="shared" si="32"/>
        <v>3.7</v>
      </c>
    </row>
    <row r="652" spans="1:8" x14ac:dyDescent="0.2">
      <c r="A652" s="1">
        <v>187</v>
      </c>
      <c r="B652" s="1" t="str">
        <v>2020-02-13</v>
      </c>
      <c r="C652" s="1">
        <v>3.2980999999999998</v>
      </c>
      <c r="F652" s="8">
        <f t="shared" si="30"/>
        <v>187</v>
      </c>
      <c r="G652" s="9">
        <f t="shared" si="31"/>
        <v>43874</v>
      </c>
      <c r="H652" s="10">
        <f t="shared" si="32"/>
        <v>3.2980999999999998</v>
      </c>
    </row>
    <row r="653" spans="1:8" x14ac:dyDescent="0.2">
      <c r="A653" s="1">
        <v>59</v>
      </c>
      <c r="B653" s="1" t="str">
        <v>2020-02-14</v>
      </c>
      <c r="C653" s="1">
        <v>3.1745000000000001</v>
      </c>
      <c r="F653" s="8">
        <f t="shared" si="30"/>
        <v>59</v>
      </c>
      <c r="G653" s="9">
        <f t="shared" si="31"/>
        <v>43875</v>
      </c>
      <c r="H653" s="10">
        <f t="shared" si="32"/>
        <v>3.1745000000000001</v>
      </c>
    </row>
    <row r="654" spans="1:8" x14ac:dyDescent="0.2">
      <c r="A654" s="1">
        <v>32</v>
      </c>
      <c r="B654" s="1" t="str">
        <v>2020-02-14</v>
      </c>
      <c r="C654" s="1">
        <v>3.4735999999999998</v>
      </c>
      <c r="F654" s="8">
        <f t="shared" si="30"/>
        <v>32</v>
      </c>
      <c r="G654" s="9">
        <f t="shared" si="31"/>
        <v>43875</v>
      </c>
      <c r="H654" s="10">
        <f t="shared" si="32"/>
        <v>3.4735999999999998</v>
      </c>
    </row>
    <row r="655" spans="1:8" x14ac:dyDescent="0.2">
      <c r="A655" s="1">
        <v>33103</v>
      </c>
      <c r="B655" s="1" t="str">
        <v>2020-02-14</v>
      </c>
      <c r="C655" s="1">
        <v>4.0160999999999998</v>
      </c>
      <c r="F655" s="8">
        <f t="shared" si="30"/>
        <v>33103</v>
      </c>
      <c r="G655" s="9">
        <f t="shared" si="31"/>
        <v>43875</v>
      </c>
      <c r="H655" s="10">
        <f t="shared" si="32"/>
        <v>4.0160999999999998</v>
      </c>
    </row>
    <row r="656" spans="1:8" x14ac:dyDescent="0.2">
      <c r="A656" s="1">
        <v>102</v>
      </c>
      <c r="B656" s="1" t="str">
        <v>2020-02-14</v>
      </c>
      <c r="C656" s="1">
        <v>3.1949999999999998</v>
      </c>
      <c r="F656" s="8">
        <f t="shared" si="30"/>
        <v>102</v>
      </c>
      <c r="G656" s="9">
        <f t="shared" si="31"/>
        <v>43875</v>
      </c>
      <c r="H656" s="10">
        <f t="shared" si="32"/>
        <v>3.1949999999999998</v>
      </c>
    </row>
    <row r="657" spans="1:8" x14ac:dyDescent="0.2">
      <c r="A657" s="1">
        <v>49</v>
      </c>
      <c r="B657" s="1" t="str">
        <v>2020-02-14</v>
      </c>
      <c r="C657" s="1">
        <v>2.9994999999999998</v>
      </c>
      <c r="F657" s="8">
        <f t="shared" si="30"/>
        <v>49</v>
      </c>
      <c r="G657" s="9">
        <f t="shared" si="31"/>
        <v>43875</v>
      </c>
      <c r="H657" s="10">
        <f t="shared" si="32"/>
        <v>2.9994999999999998</v>
      </c>
    </row>
    <row r="658" spans="1:8" x14ac:dyDescent="0.2">
      <c r="A658" s="1">
        <v>99</v>
      </c>
      <c r="B658" s="1" t="str">
        <v>2020-02-14</v>
      </c>
      <c r="C658" s="1">
        <v>3.3502000000000001</v>
      </c>
      <c r="F658" s="8">
        <f t="shared" si="30"/>
        <v>99</v>
      </c>
      <c r="G658" s="9">
        <f t="shared" si="31"/>
        <v>43875</v>
      </c>
      <c r="H658" s="10">
        <f t="shared" si="32"/>
        <v>3.3502000000000001</v>
      </c>
    </row>
    <row r="659" spans="1:8" x14ac:dyDescent="0.2">
      <c r="A659" s="1">
        <v>16</v>
      </c>
      <c r="B659" s="1" t="str">
        <v>2020-02-14</v>
      </c>
      <c r="C659" s="1">
        <v>3.2149000000000001</v>
      </c>
      <c r="F659" s="8">
        <f t="shared" si="30"/>
        <v>16</v>
      </c>
      <c r="G659" s="9">
        <f t="shared" si="31"/>
        <v>43875</v>
      </c>
      <c r="H659" s="10">
        <f t="shared" si="32"/>
        <v>3.2149000000000001</v>
      </c>
    </row>
    <row r="660" spans="1:8" x14ac:dyDescent="0.2">
      <c r="A660" s="1">
        <v>181</v>
      </c>
      <c r="B660" s="1" t="str">
        <v>2020-02-14</v>
      </c>
      <c r="C660" s="1">
        <v>3.0510000000000002</v>
      </c>
      <c r="F660" s="8">
        <f t="shared" si="30"/>
        <v>181</v>
      </c>
      <c r="G660" s="9">
        <f t="shared" si="31"/>
        <v>43875</v>
      </c>
      <c r="H660" s="10">
        <f t="shared" si="32"/>
        <v>3.0510000000000002</v>
      </c>
    </row>
    <row r="661" spans="1:8" x14ac:dyDescent="0.2">
      <c r="A661" s="1">
        <v>32180</v>
      </c>
      <c r="B661" s="1" t="str">
        <v>2020-02-14</v>
      </c>
      <c r="C661" s="1">
        <v>3.1034000000000002</v>
      </c>
      <c r="F661" s="8">
        <f t="shared" si="30"/>
        <v>32180</v>
      </c>
      <c r="G661" s="9">
        <f t="shared" si="31"/>
        <v>43875</v>
      </c>
      <c r="H661" s="10">
        <f t="shared" si="32"/>
        <v>3.1034000000000002</v>
      </c>
    </row>
    <row r="662" spans="1:8" x14ac:dyDescent="0.2">
      <c r="A662" s="1">
        <v>55</v>
      </c>
      <c r="B662" s="1" t="str">
        <v>2020-02-14</v>
      </c>
      <c r="C662" s="1">
        <v>3.2160000000000002</v>
      </c>
      <c r="F662" s="8">
        <f t="shared" si="30"/>
        <v>55</v>
      </c>
      <c r="G662" s="9">
        <f t="shared" si="31"/>
        <v>43875</v>
      </c>
      <c r="H662" s="10">
        <f t="shared" si="32"/>
        <v>3.2160000000000002</v>
      </c>
    </row>
    <row r="663" spans="1:8" x14ac:dyDescent="0.2">
      <c r="A663" s="1">
        <v>156</v>
      </c>
      <c r="B663" s="1" t="str">
        <v>2020-02-14</v>
      </c>
      <c r="C663" s="1">
        <v>3.4944000000000002</v>
      </c>
      <c r="F663" s="8">
        <f t="shared" si="30"/>
        <v>156</v>
      </c>
      <c r="G663" s="9">
        <f t="shared" si="31"/>
        <v>43875</v>
      </c>
      <c r="H663" s="10">
        <f t="shared" si="32"/>
        <v>3.4944000000000002</v>
      </c>
    </row>
    <row r="664" spans="1:8" x14ac:dyDescent="0.2">
      <c r="A664" s="1">
        <v>171</v>
      </c>
      <c r="B664" s="1" t="str">
        <v>2020-02-14</v>
      </c>
      <c r="C664" s="1">
        <v>3.0306000000000002</v>
      </c>
      <c r="F664" s="8">
        <f t="shared" si="30"/>
        <v>171</v>
      </c>
      <c r="G664" s="9">
        <f t="shared" si="31"/>
        <v>43875</v>
      </c>
      <c r="H664" s="10">
        <f t="shared" si="32"/>
        <v>3.0306000000000002</v>
      </c>
    </row>
    <row r="665" spans="1:8" x14ac:dyDescent="0.2">
      <c r="A665" s="1">
        <v>32983</v>
      </c>
      <c r="B665" s="1" t="str">
        <v>2020-02-14</v>
      </c>
      <c r="C665" s="1">
        <v>3.0510000000000002</v>
      </c>
      <c r="F665" s="8">
        <f t="shared" si="30"/>
        <v>32983</v>
      </c>
      <c r="G665" s="9">
        <f t="shared" si="31"/>
        <v>43875</v>
      </c>
      <c r="H665" s="10">
        <f t="shared" si="32"/>
        <v>3.0510000000000002</v>
      </c>
    </row>
    <row r="666" spans="1:8" x14ac:dyDescent="0.2">
      <c r="A666" s="1">
        <v>164</v>
      </c>
      <c r="B666" s="1" t="str">
        <v>2020-02-14</v>
      </c>
      <c r="C666" s="1">
        <v>3.5457000000000001</v>
      </c>
      <c r="F666" s="8">
        <f t="shared" si="30"/>
        <v>164</v>
      </c>
      <c r="G666" s="9">
        <f t="shared" si="31"/>
        <v>43875</v>
      </c>
      <c r="H666" s="10">
        <f t="shared" si="32"/>
        <v>3.5457000000000001</v>
      </c>
    </row>
    <row r="667" spans="1:8" x14ac:dyDescent="0.2">
      <c r="A667" s="1">
        <v>150</v>
      </c>
      <c r="B667" s="1" t="str">
        <v>2020-02-14</v>
      </c>
      <c r="C667" s="1">
        <v>3.6432000000000002</v>
      </c>
      <c r="F667" s="8">
        <f t="shared" si="30"/>
        <v>150</v>
      </c>
      <c r="G667" s="9">
        <f t="shared" si="31"/>
        <v>43875</v>
      </c>
      <c r="H667" s="10">
        <f t="shared" si="32"/>
        <v>3.6432000000000002</v>
      </c>
    </row>
    <row r="668" spans="1:8" x14ac:dyDescent="0.2">
      <c r="A668" s="1">
        <v>32783</v>
      </c>
      <c r="B668" s="1" t="str">
        <v>2020-02-14</v>
      </c>
      <c r="C668" s="1">
        <v>3.5560999999999998</v>
      </c>
      <c r="F668" s="8">
        <f t="shared" si="30"/>
        <v>32783</v>
      </c>
      <c r="G668" s="9">
        <f t="shared" si="31"/>
        <v>43875</v>
      </c>
      <c r="H668" s="10">
        <f t="shared" si="32"/>
        <v>3.5560999999999998</v>
      </c>
    </row>
    <row r="669" spans="1:8" x14ac:dyDescent="0.2">
      <c r="A669" s="1">
        <v>32340</v>
      </c>
      <c r="B669" s="1" t="str">
        <v>2020-02-14</v>
      </c>
      <c r="C669" s="1">
        <v>3.1741999999999999</v>
      </c>
      <c r="F669" s="8">
        <f t="shared" si="30"/>
        <v>32340</v>
      </c>
      <c r="G669" s="9">
        <f t="shared" si="31"/>
        <v>43875</v>
      </c>
      <c r="H669" s="10">
        <f t="shared" si="32"/>
        <v>3.1741999999999999</v>
      </c>
    </row>
    <row r="670" spans="1:8" x14ac:dyDescent="0.2">
      <c r="A670" s="1">
        <v>81</v>
      </c>
      <c r="B670" s="1" t="str">
        <v>2020-02-14</v>
      </c>
      <c r="C670" s="1">
        <v>3.2469000000000001</v>
      </c>
      <c r="F670" s="8">
        <f t="shared" si="30"/>
        <v>81</v>
      </c>
      <c r="G670" s="9">
        <f t="shared" si="31"/>
        <v>43875</v>
      </c>
      <c r="H670" s="10">
        <f t="shared" si="32"/>
        <v>3.2469000000000001</v>
      </c>
    </row>
    <row r="671" spans="1:8" x14ac:dyDescent="0.2">
      <c r="A671" s="1">
        <v>177</v>
      </c>
      <c r="B671" s="1" t="str">
        <v>2020-02-14</v>
      </c>
      <c r="C671" s="1">
        <v>3.5663</v>
      </c>
      <c r="F671" s="8">
        <f t="shared" si="30"/>
        <v>177</v>
      </c>
      <c r="G671" s="9">
        <f t="shared" si="31"/>
        <v>43875</v>
      </c>
      <c r="H671" s="10">
        <f t="shared" si="32"/>
        <v>3.5663</v>
      </c>
    </row>
    <row r="672" spans="1:8" x14ac:dyDescent="0.2">
      <c r="A672" s="1">
        <v>2250</v>
      </c>
      <c r="B672" s="1" t="str">
        <v>2020-02-14</v>
      </c>
      <c r="C672" s="1">
        <v>2.9685999999999999</v>
      </c>
      <c r="F672" s="8">
        <f t="shared" si="30"/>
        <v>2250</v>
      </c>
      <c r="G672" s="9">
        <f t="shared" si="31"/>
        <v>43875</v>
      </c>
      <c r="H672" s="10">
        <f t="shared" si="32"/>
        <v>2.9685999999999999</v>
      </c>
    </row>
    <row r="673" spans="1:8" x14ac:dyDescent="0.2">
      <c r="A673" s="1">
        <v>101</v>
      </c>
      <c r="B673" s="1" t="str">
        <v>2020-02-14</v>
      </c>
      <c r="C673" s="1">
        <v>3.597</v>
      </c>
      <c r="F673" s="8">
        <f t="shared" si="30"/>
        <v>101</v>
      </c>
      <c r="G673" s="9">
        <f t="shared" si="31"/>
        <v>43875</v>
      </c>
      <c r="H673" s="10">
        <f t="shared" si="32"/>
        <v>3.597</v>
      </c>
    </row>
    <row r="674" spans="1:8" x14ac:dyDescent="0.2">
      <c r="A674" s="1">
        <v>32420</v>
      </c>
      <c r="B674" s="1" t="str">
        <v>2020-02-14</v>
      </c>
      <c r="C674" s="1">
        <v>3.0594999999999999</v>
      </c>
      <c r="F674" s="8">
        <f t="shared" si="30"/>
        <v>32420</v>
      </c>
      <c r="G674" s="9">
        <f t="shared" si="31"/>
        <v>43875</v>
      </c>
      <c r="H674" s="10">
        <f t="shared" si="32"/>
        <v>3.0594999999999999</v>
      </c>
    </row>
    <row r="675" spans="1:8" x14ac:dyDescent="0.2">
      <c r="A675" s="1">
        <v>32500</v>
      </c>
      <c r="B675" s="1" t="str">
        <v>2020-02-14</v>
      </c>
      <c r="C675" s="1">
        <v>3.1646999999999998</v>
      </c>
      <c r="F675" s="8">
        <f t="shared" si="30"/>
        <v>32500</v>
      </c>
      <c r="G675" s="9">
        <f t="shared" si="31"/>
        <v>43875</v>
      </c>
      <c r="H675" s="10">
        <f t="shared" si="32"/>
        <v>3.1646999999999998</v>
      </c>
    </row>
    <row r="676" spans="1:8" x14ac:dyDescent="0.2">
      <c r="A676" s="1">
        <v>33125</v>
      </c>
      <c r="B676" s="1" t="str">
        <v>2020-02-14</v>
      </c>
      <c r="C676" s="1">
        <v>3.0306999999999999</v>
      </c>
      <c r="F676" s="8">
        <f t="shared" si="30"/>
        <v>33125</v>
      </c>
      <c r="G676" s="9">
        <f t="shared" si="31"/>
        <v>43875</v>
      </c>
      <c r="H676" s="10">
        <f t="shared" si="32"/>
        <v>3.0306999999999999</v>
      </c>
    </row>
    <row r="677" spans="1:8" x14ac:dyDescent="0.2">
      <c r="A677" s="1">
        <v>250</v>
      </c>
      <c r="B677" s="1" t="str">
        <v>2020-02-17</v>
      </c>
      <c r="C677" s="1">
        <v>3.0202</v>
      </c>
      <c r="F677" s="8">
        <f t="shared" si="30"/>
        <v>250</v>
      </c>
      <c r="G677" s="9">
        <f t="shared" si="31"/>
        <v>43878</v>
      </c>
      <c r="H677" s="10">
        <f t="shared" si="32"/>
        <v>3.0202</v>
      </c>
    </row>
    <row r="678" spans="1:8" x14ac:dyDescent="0.2">
      <c r="A678" s="1">
        <v>10</v>
      </c>
      <c r="B678" s="1" t="str">
        <v>2020-02-17</v>
      </c>
      <c r="C678" s="1">
        <v>3.1951999999999998</v>
      </c>
      <c r="F678" s="8">
        <f t="shared" si="30"/>
        <v>10</v>
      </c>
      <c r="G678" s="9">
        <f t="shared" si="31"/>
        <v>43878</v>
      </c>
      <c r="H678" s="10">
        <f t="shared" si="32"/>
        <v>3.1951999999999998</v>
      </c>
    </row>
    <row r="679" spans="1:8" x14ac:dyDescent="0.2">
      <c r="A679" s="1">
        <v>94</v>
      </c>
      <c r="B679" s="1" t="str">
        <v>2020-02-17</v>
      </c>
      <c r="C679" s="1">
        <v>3.35</v>
      </c>
      <c r="F679" s="8">
        <f t="shared" si="30"/>
        <v>94</v>
      </c>
      <c r="G679" s="9">
        <f t="shared" si="31"/>
        <v>43878</v>
      </c>
      <c r="H679" s="10">
        <f t="shared" si="32"/>
        <v>3.35</v>
      </c>
    </row>
    <row r="680" spans="1:8" x14ac:dyDescent="0.2">
      <c r="A680" s="1">
        <v>32400</v>
      </c>
      <c r="B680" s="1" t="str">
        <v>2020-02-17</v>
      </c>
      <c r="C680" s="1">
        <v>3.5</v>
      </c>
      <c r="F680" s="8">
        <f t="shared" si="30"/>
        <v>32400</v>
      </c>
      <c r="G680" s="9">
        <f t="shared" si="31"/>
        <v>43878</v>
      </c>
      <c r="H680" s="10">
        <f t="shared" si="32"/>
        <v>3.5</v>
      </c>
    </row>
    <row r="681" spans="1:8" x14ac:dyDescent="0.2">
      <c r="A681" s="1">
        <v>32081</v>
      </c>
      <c r="B681" s="1" t="str">
        <v>2020-02-17</v>
      </c>
      <c r="C681" s="1">
        <v>3.1637</v>
      </c>
      <c r="F681" s="8">
        <f t="shared" si="30"/>
        <v>32081</v>
      </c>
      <c r="G681" s="9">
        <f t="shared" si="31"/>
        <v>43878</v>
      </c>
      <c r="H681" s="10">
        <f t="shared" si="32"/>
        <v>3.1637</v>
      </c>
    </row>
    <row r="682" spans="1:8" x14ac:dyDescent="0.2">
      <c r="A682" s="1">
        <v>176</v>
      </c>
      <c r="B682" s="1" t="str">
        <v>2020-02-17</v>
      </c>
      <c r="C682" s="1">
        <v>3.1436999999999999</v>
      </c>
      <c r="F682" s="8">
        <f t="shared" si="30"/>
        <v>176</v>
      </c>
      <c r="G682" s="9">
        <f t="shared" si="31"/>
        <v>43878</v>
      </c>
      <c r="H682" s="10">
        <f t="shared" si="32"/>
        <v>3.1436999999999999</v>
      </c>
    </row>
    <row r="683" spans="1:8" x14ac:dyDescent="0.2">
      <c r="A683" s="1">
        <v>32</v>
      </c>
      <c r="B683" s="1" t="str">
        <v>2020-02-17</v>
      </c>
      <c r="C683" s="1">
        <v>3.4424999999999999</v>
      </c>
      <c r="F683" s="8">
        <f t="shared" si="30"/>
        <v>32</v>
      </c>
      <c r="G683" s="9">
        <f t="shared" si="31"/>
        <v>43878</v>
      </c>
      <c r="H683" s="10">
        <f t="shared" si="32"/>
        <v>3.4424999999999999</v>
      </c>
    </row>
    <row r="684" spans="1:8" x14ac:dyDescent="0.2">
      <c r="A684" s="1">
        <v>157</v>
      </c>
      <c r="B684" s="1" t="str">
        <v>2020-02-17</v>
      </c>
      <c r="C684" s="1">
        <v>3.5</v>
      </c>
      <c r="F684" s="8">
        <f t="shared" si="30"/>
        <v>157</v>
      </c>
      <c r="G684" s="9">
        <f t="shared" si="31"/>
        <v>43878</v>
      </c>
      <c r="H684" s="10">
        <f t="shared" si="32"/>
        <v>3.5</v>
      </c>
    </row>
    <row r="685" spans="1:8" x14ac:dyDescent="0.2">
      <c r="A685" s="1">
        <v>32421</v>
      </c>
      <c r="B685" s="1" t="str">
        <v>2020-02-17</v>
      </c>
      <c r="C685" s="1">
        <v>3.1644999999999999</v>
      </c>
      <c r="F685" s="8">
        <f t="shared" si="30"/>
        <v>32421</v>
      </c>
      <c r="G685" s="9">
        <f t="shared" si="31"/>
        <v>43878</v>
      </c>
      <c r="H685" s="10">
        <f t="shared" si="32"/>
        <v>3.1644999999999999</v>
      </c>
    </row>
    <row r="686" spans="1:8" x14ac:dyDescent="0.2">
      <c r="A686" s="1">
        <v>1</v>
      </c>
      <c r="B686" s="1" t="str">
        <v>2020-02-17</v>
      </c>
      <c r="C686" s="1">
        <v>3.2056</v>
      </c>
      <c r="F686" s="8">
        <f t="shared" si="30"/>
        <v>1</v>
      </c>
      <c r="G686" s="9">
        <f t="shared" si="31"/>
        <v>43878</v>
      </c>
      <c r="H686" s="10">
        <f t="shared" si="32"/>
        <v>3.2056</v>
      </c>
    </row>
    <row r="687" spans="1:8" x14ac:dyDescent="0.2">
      <c r="A687" s="1">
        <v>77</v>
      </c>
      <c r="B687" s="1" t="str">
        <v>2020-02-17</v>
      </c>
      <c r="C687" s="1">
        <v>3.2158000000000002</v>
      </c>
      <c r="F687" s="8">
        <f t="shared" si="30"/>
        <v>77</v>
      </c>
      <c r="G687" s="9">
        <f t="shared" si="31"/>
        <v>43878</v>
      </c>
      <c r="H687" s="10">
        <f t="shared" si="32"/>
        <v>3.2158000000000002</v>
      </c>
    </row>
    <row r="688" spans="1:8" x14ac:dyDescent="0.2">
      <c r="A688" s="1">
        <v>24</v>
      </c>
      <c r="B688" s="1" t="str">
        <v>2020-02-17</v>
      </c>
      <c r="C688" s="1">
        <v>3.2366000000000001</v>
      </c>
      <c r="F688" s="8">
        <f t="shared" si="30"/>
        <v>24</v>
      </c>
      <c r="G688" s="9">
        <f t="shared" si="31"/>
        <v>43878</v>
      </c>
      <c r="H688" s="10">
        <f t="shared" si="32"/>
        <v>3.2366000000000001</v>
      </c>
    </row>
    <row r="689" spans="1:8" x14ac:dyDescent="0.2">
      <c r="A689" s="1">
        <v>178</v>
      </c>
      <c r="B689" s="1" t="str">
        <v>2020-02-17</v>
      </c>
      <c r="C689" s="1">
        <v>3.2357</v>
      </c>
      <c r="F689" s="8">
        <f t="shared" si="30"/>
        <v>178</v>
      </c>
      <c r="G689" s="9">
        <f t="shared" si="31"/>
        <v>43878</v>
      </c>
      <c r="H689" s="10">
        <f t="shared" si="32"/>
        <v>3.2357</v>
      </c>
    </row>
    <row r="690" spans="1:8" x14ac:dyDescent="0.2">
      <c r="A690" s="1">
        <v>32560</v>
      </c>
      <c r="B690" s="1" t="str">
        <v>2020-02-18</v>
      </c>
      <c r="C690" s="1">
        <v>3.2568000000000001</v>
      </c>
      <c r="F690" s="8">
        <f t="shared" si="30"/>
        <v>32560</v>
      </c>
      <c r="G690" s="9">
        <f t="shared" si="31"/>
        <v>43879</v>
      </c>
      <c r="H690" s="10">
        <f t="shared" si="32"/>
        <v>3.2568000000000001</v>
      </c>
    </row>
    <row r="691" spans="1:8" x14ac:dyDescent="0.2">
      <c r="A691" s="1">
        <v>83</v>
      </c>
      <c r="B691" s="1" t="str">
        <v>2020-02-18</v>
      </c>
      <c r="C691" s="1">
        <v>3.1027999999999998</v>
      </c>
      <c r="F691" s="8">
        <f t="shared" si="30"/>
        <v>83</v>
      </c>
      <c r="G691" s="9">
        <f t="shared" si="31"/>
        <v>43879</v>
      </c>
      <c r="H691" s="10">
        <f t="shared" si="32"/>
        <v>3.1027999999999998</v>
      </c>
    </row>
    <row r="692" spans="1:8" x14ac:dyDescent="0.2">
      <c r="A692" s="1">
        <v>89</v>
      </c>
      <c r="B692" s="1" t="str">
        <v>2020-02-19</v>
      </c>
      <c r="C692" s="1">
        <v>2.9794999999999998</v>
      </c>
      <c r="F692" s="8">
        <f t="shared" si="30"/>
        <v>89</v>
      </c>
      <c r="G692" s="9">
        <f t="shared" si="31"/>
        <v>43880</v>
      </c>
      <c r="H692" s="10">
        <f t="shared" si="32"/>
        <v>2.9794999999999998</v>
      </c>
    </row>
    <row r="693" spans="1:8" x14ac:dyDescent="0.2">
      <c r="A693" s="1">
        <v>32803</v>
      </c>
      <c r="B693" s="1" t="str">
        <v>2020-02-19</v>
      </c>
      <c r="C693" s="1">
        <v>3.1337000000000002</v>
      </c>
      <c r="F693" s="8">
        <f t="shared" si="30"/>
        <v>32803</v>
      </c>
      <c r="G693" s="9">
        <f t="shared" si="31"/>
        <v>43880</v>
      </c>
      <c r="H693" s="10">
        <f t="shared" si="32"/>
        <v>3.1337000000000002</v>
      </c>
    </row>
    <row r="694" spans="1:8" x14ac:dyDescent="0.2">
      <c r="A694" s="1">
        <v>49</v>
      </c>
      <c r="B694" s="1" t="str">
        <v>2020-02-19</v>
      </c>
      <c r="C694" s="1">
        <v>3.1230000000000002</v>
      </c>
      <c r="F694" s="8">
        <f t="shared" si="30"/>
        <v>49</v>
      </c>
      <c r="G694" s="9">
        <f t="shared" si="31"/>
        <v>43880</v>
      </c>
      <c r="H694" s="10">
        <f t="shared" si="32"/>
        <v>3.1230000000000002</v>
      </c>
    </row>
    <row r="695" spans="1:8" x14ac:dyDescent="0.2">
      <c r="A695" s="1">
        <v>32</v>
      </c>
      <c r="B695" s="1" t="str">
        <v>2020-02-19</v>
      </c>
      <c r="C695" s="1">
        <v>3.5249999999999999</v>
      </c>
      <c r="F695" s="8">
        <f t="shared" si="30"/>
        <v>32</v>
      </c>
      <c r="G695" s="9">
        <f t="shared" si="31"/>
        <v>43880</v>
      </c>
      <c r="H695" s="10">
        <f t="shared" si="32"/>
        <v>3.5249999999999999</v>
      </c>
    </row>
    <row r="696" spans="1:8" x14ac:dyDescent="0.2">
      <c r="A696" s="1">
        <v>32724</v>
      </c>
      <c r="B696" s="1" t="str">
        <v>2020-02-19</v>
      </c>
      <c r="C696" s="1">
        <v>3.2161</v>
      </c>
      <c r="F696" s="8">
        <f t="shared" si="30"/>
        <v>32724</v>
      </c>
      <c r="G696" s="9">
        <f t="shared" si="31"/>
        <v>43880</v>
      </c>
      <c r="H696" s="10">
        <f t="shared" si="32"/>
        <v>3.2161</v>
      </c>
    </row>
    <row r="697" spans="1:8" x14ac:dyDescent="0.2">
      <c r="A697" s="1">
        <v>143</v>
      </c>
      <c r="B697" s="1" t="str">
        <v>2020-02-19</v>
      </c>
      <c r="C697" s="1">
        <v>2.5994000000000002</v>
      </c>
      <c r="F697" s="8">
        <f t="shared" si="30"/>
        <v>143</v>
      </c>
      <c r="G697" s="9">
        <f t="shared" si="31"/>
        <v>43880</v>
      </c>
      <c r="H697" s="10">
        <f t="shared" si="32"/>
        <v>2.5994000000000002</v>
      </c>
    </row>
    <row r="698" spans="1:8" x14ac:dyDescent="0.2">
      <c r="A698" s="1">
        <v>32964</v>
      </c>
      <c r="B698" s="1" t="str">
        <v>2020-02-19</v>
      </c>
      <c r="C698" s="1">
        <v>3.0562999999999998</v>
      </c>
      <c r="F698" s="8">
        <f t="shared" si="30"/>
        <v>32964</v>
      </c>
      <c r="G698" s="9">
        <f t="shared" si="31"/>
        <v>43880</v>
      </c>
      <c r="H698" s="10">
        <f t="shared" si="32"/>
        <v>3.0562999999999998</v>
      </c>
    </row>
    <row r="699" spans="1:8" x14ac:dyDescent="0.2">
      <c r="A699" s="1">
        <v>32260</v>
      </c>
      <c r="B699" s="1" t="str">
        <v>2020-02-19</v>
      </c>
      <c r="C699" s="1">
        <v>3.0609999999999999</v>
      </c>
      <c r="F699" s="8">
        <f t="shared" si="30"/>
        <v>32260</v>
      </c>
      <c r="G699" s="9">
        <f t="shared" si="31"/>
        <v>43880</v>
      </c>
      <c r="H699" s="10">
        <f t="shared" si="32"/>
        <v>3.0609999999999999</v>
      </c>
    </row>
    <row r="700" spans="1:8" x14ac:dyDescent="0.2">
      <c r="A700" s="1">
        <v>133</v>
      </c>
      <c r="B700" s="1" t="str">
        <v>2020-02-19</v>
      </c>
      <c r="C700" s="1">
        <v>3.3601000000000001</v>
      </c>
      <c r="F700" s="8">
        <f t="shared" si="30"/>
        <v>133</v>
      </c>
      <c r="G700" s="9">
        <f t="shared" si="31"/>
        <v>43880</v>
      </c>
      <c r="H700" s="10">
        <f t="shared" si="32"/>
        <v>3.3601000000000001</v>
      </c>
    </row>
    <row r="701" spans="1:8" x14ac:dyDescent="0.2">
      <c r="A701" s="1">
        <v>32480</v>
      </c>
      <c r="B701" s="1" t="str">
        <v>2020-02-19</v>
      </c>
      <c r="C701" s="1">
        <v>2.8872</v>
      </c>
      <c r="F701" s="8">
        <f t="shared" si="30"/>
        <v>32480</v>
      </c>
      <c r="G701" s="9">
        <f t="shared" si="31"/>
        <v>43880</v>
      </c>
      <c r="H701" s="10">
        <f t="shared" si="32"/>
        <v>2.8872</v>
      </c>
    </row>
    <row r="702" spans="1:8" x14ac:dyDescent="0.2">
      <c r="A702" s="1">
        <v>32823</v>
      </c>
      <c r="B702" s="1" t="str">
        <v>2020-02-20</v>
      </c>
      <c r="C702" s="1">
        <v>3.6</v>
      </c>
      <c r="F702" s="8">
        <f t="shared" si="30"/>
        <v>32823</v>
      </c>
      <c r="G702" s="9">
        <f t="shared" si="31"/>
        <v>43881</v>
      </c>
      <c r="H702" s="10">
        <f t="shared" si="32"/>
        <v>3.6</v>
      </c>
    </row>
    <row r="703" spans="1:8" x14ac:dyDescent="0.2">
      <c r="A703" s="1">
        <v>33023</v>
      </c>
      <c r="B703" s="1" t="str">
        <v>2020-02-20</v>
      </c>
      <c r="C703" s="1">
        <v>3.2</v>
      </c>
      <c r="F703" s="8">
        <f t="shared" si="30"/>
        <v>33023</v>
      </c>
      <c r="G703" s="9">
        <f t="shared" si="31"/>
        <v>43881</v>
      </c>
      <c r="H703" s="10">
        <f t="shared" si="32"/>
        <v>3.2</v>
      </c>
    </row>
    <row r="704" spans="1:8" x14ac:dyDescent="0.2">
      <c r="A704" s="1">
        <v>32603</v>
      </c>
      <c r="B704" s="1" t="str">
        <v>2020-02-20</v>
      </c>
      <c r="C704" s="1">
        <v>2.9276</v>
      </c>
      <c r="F704" s="8">
        <f t="shared" si="30"/>
        <v>32603</v>
      </c>
      <c r="G704" s="9">
        <f t="shared" si="31"/>
        <v>43881</v>
      </c>
      <c r="H704" s="10">
        <f t="shared" si="32"/>
        <v>2.9276</v>
      </c>
    </row>
    <row r="705" spans="1:8" x14ac:dyDescent="0.2">
      <c r="A705" s="1">
        <v>33123</v>
      </c>
      <c r="B705" s="1" t="str">
        <v>2020-02-20</v>
      </c>
      <c r="C705" s="1">
        <v>3.3083999999999998</v>
      </c>
      <c r="F705" s="8">
        <f t="shared" si="30"/>
        <v>33123</v>
      </c>
      <c r="G705" s="9">
        <f t="shared" si="31"/>
        <v>43881</v>
      </c>
      <c r="H705" s="10">
        <f t="shared" si="32"/>
        <v>3.3083999999999998</v>
      </c>
    </row>
    <row r="706" spans="1:8" x14ac:dyDescent="0.2">
      <c r="A706" s="1">
        <v>115</v>
      </c>
      <c r="B706" s="1" t="str">
        <v>2020-02-21</v>
      </c>
      <c r="C706" s="1">
        <v>3.4424999999999999</v>
      </c>
      <c r="F706" s="8">
        <f t="shared" si="30"/>
        <v>115</v>
      </c>
      <c r="G706" s="9">
        <f t="shared" si="31"/>
        <v>43882</v>
      </c>
      <c r="H706" s="10">
        <f t="shared" si="32"/>
        <v>3.4424999999999999</v>
      </c>
    </row>
    <row r="707" spans="1:8" x14ac:dyDescent="0.2">
      <c r="A707" s="1">
        <v>143</v>
      </c>
      <c r="B707" s="1" t="str">
        <v>2020-02-21</v>
      </c>
      <c r="C707" s="1">
        <v>2.8864999999999998</v>
      </c>
      <c r="F707" s="8">
        <f t="shared" si="30"/>
        <v>143</v>
      </c>
      <c r="G707" s="9">
        <f t="shared" si="31"/>
        <v>43882</v>
      </c>
      <c r="H707" s="10">
        <f t="shared" si="32"/>
        <v>2.8864999999999998</v>
      </c>
    </row>
    <row r="708" spans="1:8" x14ac:dyDescent="0.2">
      <c r="A708" s="1">
        <v>32</v>
      </c>
      <c r="B708" s="1" t="str">
        <v>2020-02-21</v>
      </c>
      <c r="C708" s="1">
        <v>3.5249999999999999</v>
      </c>
      <c r="F708" s="8">
        <f t="shared" si="30"/>
        <v>32</v>
      </c>
      <c r="G708" s="9">
        <f t="shared" si="31"/>
        <v>43882</v>
      </c>
      <c r="H708" s="10">
        <f t="shared" si="32"/>
        <v>3.5249999999999999</v>
      </c>
    </row>
    <row r="709" spans="1:8" x14ac:dyDescent="0.2">
      <c r="A709" s="1">
        <v>32783</v>
      </c>
      <c r="B709" s="1" t="str">
        <v>2020-02-21</v>
      </c>
      <c r="C709" s="1">
        <v>3.4218000000000002</v>
      </c>
      <c r="F709" s="8">
        <f t="shared" si="30"/>
        <v>32783</v>
      </c>
      <c r="G709" s="9">
        <f t="shared" si="31"/>
        <v>43882</v>
      </c>
      <c r="H709" s="10">
        <f t="shared" si="32"/>
        <v>3.4218000000000002</v>
      </c>
    </row>
    <row r="710" spans="1:8" x14ac:dyDescent="0.2">
      <c r="A710" s="1">
        <v>32863</v>
      </c>
      <c r="B710" s="1" t="str">
        <v>2020-02-21</v>
      </c>
      <c r="C710" s="1">
        <v>2.9887000000000001</v>
      </c>
      <c r="F710" s="8">
        <f t="shared" si="30"/>
        <v>32863</v>
      </c>
      <c r="G710" s="9">
        <f t="shared" si="31"/>
        <v>43882</v>
      </c>
      <c r="H710" s="10">
        <f t="shared" si="32"/>
        <v>2.9887000000000001</v>
      </c>
    </row>
    <row r="711" spans="1:8" x14ac:dyDescent="0.2">
      <c r="A711" s="1">
        <v>32082</v>
      </c>
      <c r="B711" s="1" t="str">
        <v>2020-02-21</v>
      </c>
      <c r="C711" s="1">
        <v>3.2042000000000002</v>
      </c>
      <c r="F711" s="8">
        <f t="shared" si="30"/>
        <v>32082</v>
      </c>
      <c r="G711" s="9">
        <f t="shared" si="31"/>
        <v>43882</v>
      </c>
      <c r="H711" s="10">
        <f t="shared" si="32"/>
        <v>3.2042000000000002</v>
      </c>
    </row>
    <row r="712" spans="1:8" x14ac:dyDescent="0.2">
      <c r="A712" s="1">
        <v>90</v>
      </c>
      <c r="B712" s="1" t="str">
        <v>2020-02-21</v>
      </c>
      <c r="C712" s="1">
        <v>3.298</v>
      </c>
      <c r="F712" s="8">
        <f t="shared" si="30"/>
        <v>90</v>
      </c>
      <c r="G712" s="9">
        <f t="shared" si="31"/>
        <v>43882</v>
      </c>
      <c r="H712" s="10">
        <f t="shared" si="32"/>
        <v>3.298</v>
      </c>
    </row>
    <row r="713" spans="1:8" x14ac:dyDescent="0.2">
      <c r="A713" s="1">
        <v>67</v>
      </c>
      <c r="B713" s="1" t="str">
        <v>2020-02-21</v>
      </c>
      <c r="C713" s="1">
        <v>3.1949000000000001</v>
      </c>
      <c r="F713" s="8">
        <f t="shared" ref="F713:F776" si="33">A713</f>
        <v>67</v>
      </c>
      <c r="G713" s="9">
        <f t="shared" ref="G713:G776" si="34">DATE(LEFT(B713,4),MID(B713,6,2),RIGHT(B713,2))</f>
        <v>43882</v>
      </c>
      <c r="H713" s="10">
        <f t="shared" ref="H713:H776" si="35">C713</f>
        <v>3.1949000000000001</v>
      </c>
    </row>
    <row r="714" spans="1:8" x14ac:dyDescent="0.2">
      <c r="A714" s="1">
        <v>102</v>
      </c>
      <c r="B714" s="1" t="str">
        <v>2020-02-21</v>
      </c>
      <c r="C714" s="1">
        <v>3.1438999999999999</v>
      </c>
      <c r="F714" s="8">
        <f t="shared" si="33"/>
        <v>102</v>
      </c>
      <c r="G714" s="9">
        <f t="shared" si="34"/>
        <v>43882</v>
      </c>
      <c r="H714" s="10">
        <f t="shared" si="35"/>
        <v>3.1438999999999999</v>
      </c>
    </row>
    <row r="715" spans="1:8" x14ac:dyDescent="0.2">
      <c r="A715" s="1">
        <v>182</v>
      </c>
      <c r="B715" s="1" t="str">
        <v>2020-02-21</v>
      </c>
      <c r="C715" s="1">
        <v>3.3188</v>
      </c>
      <c r="F715" s="8">
        <f t="shared" si="33"/>
        <v>182</v>
      </c>
      <c r="G715" s="9">
        <f t="shared" si="34"/>
        <v>43882</v>
      </c>
      <c r="H715" s="10">
        <f t="shared" si="35"/>
        <v>3.3188</v>
      </c>
    </row>
    <row r="716" spans="1:8" x14ac:dyDescent="0.2">
      <c r="A716" s="1">
        <v>37</v>
      </c>
      <c r="B716" s="1" t="str">
        <v>2020-02-21</v>
      </c>
      <c r="C716" s="1">
        <v>3.4525000000000001</v>
      </c>
      <c r="F716" s="8">
        <f t="shared" si="33"/>
        <v>37</v>
      </c>
      <c r="G716" s="9">
        <f t="shared" si="34"/>
        <v>43882</v>
      </c>
      <c r="H716" s="10">
        <f t="shared" si="35"/>
        <v>3.4525000000000001</v>
      </c>
    </row>
    <row r="717" spans="1:8" x14ac:dyDescent="0.2">
      <c r="A717" s="1">
        <v>16</v>
      </c>
      <c r="B717" s="1" t="str">
        <v>2020-02-21</v>
      </c>
      <c r="C717" s="1">
        <v>3.2149000000000001</v>
      </c>
      <c r="F717" s="8">
        <f t="shared" si="33"/>
        <v>16</v>
      </c>
      <c r="G717" s="9">
        <f t="shared" si="34"/>
        <v>43882</v>
      </c>
      <c r="H717" s="10">
        <f t="shared" si="35"/>
        <v>3.2149000000000001</v>
      </c>
    </row>
    <row r="718" spans="1:8" x14ac:dyDescent="0.2">
      <c r="A718" s="1">
        <v>150</v>
      </c>
      <c r="B718" s="1" t="str">
        <v>2020-02-21</v>
      </c>
      <c r="C718" s="1">
        <v>3.6429999999999998</v>
      </c>
      <c r="F718" s="8">
        <f t="shared" si="33"/>
        <v>150</v>
      </c>
      <c r="G718" s="9">
        <f t="shared" si="34"/>
        <v>43882</v>
      </c>
      <c r="H718" s="10">
        <f t="shared" si="35"/>
        <v>3.6429999999999998</v>
      </c>
    </row>
    <row r="719" spans="1:8" x14ac:dyDescent="0.2">
      <c r="A719" s="1">
        <v>2250</v>
      </c>
      <c r="B719" s="1" t="str">
        <v>2020-02-21</v>
      </c>
      <c r="C719" s="1">
        <v>2.9174000000000002</v>
      </c>
      <c r="F719" s="8">
        <f t="shared" si="33"/>
        <v>2250</v>
      </c>
      <c r="G719" s="9">
        <f t="shared" si="34"/>
        <v>43882</v>
      </c>
      <c r="H719" s="10">
        <f t="shared" si="35"/>
        <v>2.9174000000000002</v>
      </c>
    </row>
    <row r="720" spans="1:8" x14ac:dyDescent="0.2">
      <c r="A720" s="1">
        <v>9250</v>
      </c>
      <c r="B720" s="1" t="str">
        <v>2020-02-21</v>
      </c>
      <c r="C720" s="1">
        <v>3.63</v>
      </c>
      <c r="F720" s="8">
        <f t="shared" si="33"/>
        <v>9250</v>
      </c>
      <c r="G720" s="9">
        <f t="shared" si="34"/>
        <v>43882</v>
      </c>
      <c r="H720" s="10">
        <f t="shared" si="35"/>
        <v>3.63</v>
      </c>
    </row>
    <row r="721" spans="1:8" x14ac:dyDescent="0.2">
      <c r="A721" s="1">
        <v>30400</v>
      </c>
      <c r="B721" s="1" t="str">
        <v>2020-02-21</v>
      </c>
      <c r="C721" s="1">
        <v>3.1023999999999998</v>
      </c>
      <c r="F721" s="8">
        <f t="shared" si="33"/>
        <v>30400</v>
      </c>
      <c r="G721" s="9">
        <f t="shared" si="34"/>
        <v>43882</v>
      </c>
      <c r="H721" s="10">
        <f t="shared" si="35"/>
        <v>3.1023999999999998</v>
      </c>
    </row>
    <row r="722" spans="1:8" x14ac:dyDescent="0.2">
      <c r="A722" s="1">
        <v>32803</v>
      </c>
      <c r="B722" s="1" t="str">
        <v>2020-02-21</v>
      </c>
      <c r="C722" s="1">
        <v>3.1850999999999998</v>
      </c>
      <c r="F722" s="8">
        <f t="shared" si="33"/>
        <v>32803</v>
      </c>
      <c r="G722" s="9">
        <f t="shared" si="34"/>
        <v>43882</v>
      </c>
      <c r="H722" s="10">
        <f t="shared" si="35"/>
        <v>3.1850999999999998</v>
      </c>
    </row>
    <row r="723" spans="1:8" x14ac:dyDescent="0.2">
      <c r="A723" s="1">
        <v>176</v>
      </c>
      <c r="B723" s="1" t="str">
        <v>2020-02-21</v>
      </c>
      <c r="C723" s="1">
        <v>3.1539999999999999</v>
      </c>
      <c r="F723" s="8">
        <f t="shared" si="33"/>
        <v>176</v>
      </c>
      <c r="G723" s="9">
        <f t="shared" si="34"/>
        <v>43882</v>
      </c>
      <c r="H723" s="10">
        <f t="shared" si="35"/>
        <v>3.1539999999999999</v>
      </c>
    </row>
    <row r="724" spans="1:8" x14ac:dyDescent="0.2">
      <c r="A724" s="1">
        <v>10</v>
      </c>
      <c r="B724" s="1" t="str">
        <v>2020-02-21</v>
      </c>
      <c r="C724" s="1">
        <v>3.2776999999999998</v>
      </c>
      <c r="F724" s="8">
        <f t="shared" si="33"/>
        <v>10</v>
      </c>
      <c r="G724" s="9">
        <f t="shared" si="34"/>
        <v>43882</v>
      </c>
      <c r="H724" s="10">
        <f t="shared" si="35"/>
        <v>3.2776999999999998</v>
      </c>
    </row>
    <row r="725" spans="1:8" x14ac:dyDescent="0.2">
      <c r="A725" s="1">
        <v>31</v>
      </c>
      <c r="B725" s="1" t="str">
        <v>2020-02-21</v>
      </c>
      <c r="C725" s="1">
        <v>3.4</v>
      </c>
      <c r="F725" s="8">
        <f t="shared" si="33"/>
        <v>31</v>
      </c>
      <c r="G725" s="9">
        <f t="shared" si="34"/>
        <v>43882</v>
      </c>
      <c r="H725" s="10">
        <f t="shared" si="35"/>
        <v>3.4</v>
      </c>
    </row>
    <row r="726" spans="1:8" x14ac:dyDescent="0.2">
      <c r="A726" s="1">
        <v>55</v>
      </c>
      <c r="B726" s="1" t="str">
        <v>2020-02-21</v>
      </c>
      <c r="C726" s="1">
        <v>3.2160000000000002</v>
      </c>
      <c r="F726" s="8">
        <f t="shared" si="33"/>
        <v>55</v>
      </c>
      <c r="G726" s="9">
        <f t="shared" si="34"/>
        <v>43882</v>
      </c>
      <c r="H726" s="10">
        <f t="shared" si="35"/>
        <v>3.2160000000000002</v>
      </c>
    </row>
    <row r="727" spans="1:8" x14ac:dyDescent="0.2">
      <c r="A727" s="1">
        <v>99</v>
      </c>
      <c r="B727" s="1" t="str">
        <v>2020-02-21</v>
      </c>
      <c r="C727" s="1">
        <v>3.4026000000000001</v>
      </c>
      <c r="F727" s="8">
        <f t="shared" si="33"/>
        <v>99</v>
      </c>
      <c r="G727" s="9">
        <f t="shared" si="34"/>
        <v>43882</v>
      </c>
      <c r="H727" s="10">
        <f t="shared" si="35"/>
        <v>3.4026000000000001</v>
      </c>
    </row>
    <row r="728" spans="1:8" x14ac:dyDescent="0.2">
      <c r="A728" s="1">
        <v>171</v>
      </c>
      <c r="B728" s="1" t="str">
        <v>2020-02-21</v>
      </c>
      <c r="C728" s="1">
        <v>3.0716999999999999</v>
      </c>
      <c r="F728" s="8">
        <f t="shared" si="33"/>
        <v>171</v>
      </c>
      <c r="G728" s="9">
        <f t="shared" si="34"/>
        <v>43882</v>
      </c>
      <c r="H728" s="10">
        <f t="shared" si="35"/>
        <v>3.0716999999999999</v>
      </c>
    </row>
    <row r="729" spans="1:8" x14ac:dyDescent="0.2">
      <c r="A729" s="1">
        <v>139</v>
      </c>
      <c r="B729" s="1" t="str">
        <v>2020-02-21</v>
      </c>
      <c r="C729" s="1">
        <v>3.4529000000000001</v>
      </c>
      <c r="F729" s="8">
        <f t="shared" si="33"/>
        <v>139</v>
      </c>
      <c r="G729" s="9">
        <f t="shared" si="34"/>
        <v>43882</v>
      </c>
      <c r="H729" s="10">
        <f t="shared" si="35"/>
        <v>3.4529000000000001</v>
      </c>
    </row>
    <row r="730" spans="1:8" x14ac:dyDescent="0.2">
      <c r="A730" s="1">
        <v>109</v>
      </c>
      <c r="B730" s="1" t="str">
        <v>2020-02-21</v>
      </c>
      <c r="C730" s="1">
        <v>2.8974000000000002</v>
      </c>
      <c r="F730" s="8">
        <f t="shared" si="33"/>
        <v>109</v>
      </c>
      <c r="G730" s="9">
        <f t="shared" si="34"/>
        <v>43882</v>
      </c>
      <c r="H730" s="10">
        <f t="shared" si="35"/>
        <v>2.8974000000000002</v>
      </c>
    </row>
    <row r="731" spans="1:8" x14ac:dyDescent="0.2">
      <c r="A731" s="1">
        <v>32724</v>
      </c>
      <c r="B731" s="1" t="str">
        <v>2020-02-21</v>
      </c>
      <c r="C731" s="1">
        <v>3.2572999999999999</v>
      </c>
      <c r="F731" s="8">
        <f t="shared" si="33"/>
        <v>32724</v>
      </c>
      <c r="G731" s="9">
        <f t="shared" si="34"/>
        <v>43882</v>
      </c>
      <c r="H731" s="10">
        <f t="shared" si="35"/>
        <v>3.2572999999999999</v>
      </c>
    </row>
    <row r="732" spans="1:8" x14ac:dyDescent="0.2">
      <c r="A732" s="1">
        <v>32923</v>
      </c>
      <c r="B732" s="1" t="str">
        <v>2020-02-21</v>
      </c>
      <c r="C732" s="1">
        <v>4.0526</v>
      </c>
      <c r="F732" s="8">
        <f t="shared" si="33"/>
        <v>32923</v>
      </c>
      <c r="G732" s="9">
        <f t="shared" si="34"/>
        <v>43882</v>
      </c>
      <c r="H732" s="10">
        <f t="shared" si="35"/>
        <v>4.0526</v>
      </c>
    </row>
    <row r="733" spans="1:8" x14ac:dyDescent="0.2">
      <c r="A733" s="1">
        <v>49</v>
      </c>
      <c r="B733" s="1" t="str">
        <v>2020-02-21</v>
      </c>
      <c r="C733" s="1">
        <v>2.9895999999999998</v>
      </c>
      <c r="F733" s="8">
        <f t="shared" si="33"/>
        <v>49</v>
      </c>
      <c r="G733" s="9">
        <f t="shared" si="34"/>
        <v>43882</v>
      </c>
      <c r="H733" s="10">
        <f t="shared" si="35"/>
        <v>2.9895999999999998</v>
      </c>
    </row>
    <row r="734" spans="1:8" x14ac:dyDescent="0.2">
      <c r="A734" s="1">
        <v>53</v>
      </c>
      <c r="B734" s="1" t="str">
        <v>2020-02-21</v>
      </c>
      <c r="C734" s="1">
        <v>3.1432000000000002</v>
      </c>
      <c r="F734" s="8">
        <f t="shared" si="33"/>
        <v>53</v>
      </c>
      <c r="G734" s="9">
        <f t="shared" si="34"/>
        <v>43882</v>
      </c>
      <c r="H734" s="10">
        <f t="shared" si="35"/>
        <v>3.1432000000000002</v>
      </c>
    </row>
    <row r="735" spans="1:8" x14ac:dyDescent="0.2">
      <c r="A735" s="1">
        <v>13250</v>
      </c>
      <c r="B735" s="1" t="str">
        <v>2020-02-21</v>
      </c>
      <c r="C735" s="1">
        <v>2.6815000000000002</v>
      </c>
      <c r="F735" s="8">
        <f t="shared" si="33"/>
        <v>13250</v>
      </c>
      <c r="G735" s="9">
        <f t="shared" si="34"/>
        <v>43882</v>
      </c>
      <c r="H735" s="10">
        <f t="shared" si="35"/>
        <v>2.6815000000000002</v>
      </c>
    </row>
    <row r="736" spans="1:8" x14ac:dyDescent="0.2">
      <c r="A736" s="1">
        <v>33083</v>
      </c>
      <c r="B736" s="1" t="str">
        <v>2020-02-21</v>
      </c>
      <c r="C736" s="1">
        <v>3.2671000000000001</v>
      </c>
      <c r="F736" s="8">
        <f t="shared" si="33"/>
        <v>33083</v>
      </c>
      <c r="G736" s="9">
        <f t="shared" si="34"/>
        <v>43882</v>
      </c>
      <c r="H736" s="10">
        <f t="shared" si="35"/>
        <v>3.2671000000000001</v>
      </c>
    </row>
    <row r="737" spans="1:8" x14ac:dyDescent="0.2">
      <c r="A737" s="1">
        <v>187</v>
      </c>
      <c r="B737" s="1" t="str">
        <v>2020-02-21</v>
      </c>
      <c r="C737" s="1">
        <v>3.1949000000000001</v>
      </c>
      <c r="F737" s="8">
        <f t="shared" si="33"/>
        <v>187</v>
      </c>
      <c r="G737" s="9">
        <f t="shared" si="34"/>
        <v>43882</v>
      </c>
      <c r="H737" s="10">
        <f t="shared" si="35"/>
        <v>3.1949000000000001</v>
      </c>
    </row>
    <row r="738" spans="1:8" x14ac:dyDescent="0.2">
      <c r="A738" s="1">
        <v>146</v>
      </c>
      <c r="B738" s="1" t="str">
        <v>2020-02-21</v>
      </c>
      <c r="C738" s="1">
        <v>3.2467000000000001</v>
      </c>
      <c r="F738" s="8">
        <f t="shared" si="33"/>
        <v>146</v>
      </c>
      <c r="G738" s="9">
        <f t="shared" si="34"/>
        <v>43882</v>
      </c>
      <c r="H738" s="10">
        <f t="shared" si="35"/>
        <v>3.2467000000000001</v>
      </c>
    </row>
    <row r="739" spans="1:8" x14ac:dyDescent="0.2">
      <c r="A739" s="1">
        <v>24250</v>
      </c>
      <c r="B739" s="1" t="str">
        <v>2020-02-21</v>
      </c>
      <c r="C739" s="1">
        <v>3.2155</v>
      </c>
      <c r="F739" s="8">
        <f t="shared" si="33"/>
        <v>24250</v>
      </c>
      <c r="G739" s="9">
        <f t="shared" si="34"/>
        <v>43882</v>
      </c>
      <c r="H739" s="10">
        <f t="shared" si="35"/>
        <v>3.2155</v>
      </c>
    </row>
    <row r="740" spans="1:8" x14ac:dyDescent="0.2">
      <c r="A740" s="1">
        <v>153</v>
      </c>
      <c r="B740" s="1" t="str">
        <v>2020-02-26</v>
      </c>
      <c r="C740" s="1">
        <v>3.3603999999999998</v>
      </c>
      <c r="F740" s="8">
        <f t="shared" si="33"/>
        <v>153</v>
      </c>
      <c r="G740" s="9">
        <f t="shared" si="34"/>
        <v>43887</v>
      </c>
      <c r="H740" s="10">
        <f t="shared" si="35"/>
        <v>3.3603999999999998</v>
      </c>
    </row>
    <row r="741" spans="1:8" x14ac:dyDescent="0.2">
      <c r="A741" s="1">
        <v>28</v>
      </c>
      <c r="B741" s="1" t="str">
        <v>2020-02-26</v>
      </c>
      <c r="C741" s="1">
        <v>3.0204</v>
      </c>
      <c r="F741" s="8">
        <f t="shared" si="33"/>
        <v>28</v>
      </c>
      <c r="G741" s="9">
        <f t="shared" si="34"/>
        <v>43887</v>
      </c>
      <c r="H741" s="10">
        <f t="shared" si="35"/>
        <v>3.0204</v>
      </c>
    </row>
    <row r="742" spans="1:8" x14ac:dyDescent="0.2">
      <c r="A742" s="1">
        <v>32724</v>
      </c>
      <c r="B742" s="1" t="str">
        <v>2020-02-26</v>
      </c>
      <c r="C742" s="1">
        <v>3.2366999999999999</v>
      </c>
      <c r="F742" s="8">
        <f t="shared" si="33"/>
        <v>32724</v>
      </c>
      <c r="G742" s="9">
        <f t="shared" si="34"/>
        <v>43887</v>
      </c>
      <c r="H742" s="10">
        <f t="shared" si="35"/>
        <v>3.2366999999999999</v>
      </c>
    </row>
    <row r="743" spans="1:8" x14ac:dyDescent="0.2">
      <c r="A743" s="1">
        <v>132</v>
      </c>
      <c r="B743" s="1" t="str">
        <v>2020-02-26</v>
      </c>
      <c r="C743" s="1">
        <v>3.0409000000000002</v>
      </c>
      <c r="F743" s="8">
        <f t="shared" si="33"/>
        <v>132</v>
      </c>
      <c r="G743" s="9">
        <f t="shared" si="34"/>
        <v>43887</v>
      </c>
      <c r="H743" s="10">
        <f t="shared" si="35"/>
        <v>3.0409000000000002</v>
      </c>
    </row>
    <row r="744" spans="1:8" x14ac:dyDescent="0.2">
      <c r="A744" s="1">
        <v>28</v>
      </c>
      <c r="B744" s="1" t="str">
        <v>2020-02-27</v>
      </c>
      <c r="C744" s="1">
        <v>3</v>
      </c>
      <c r="F744" s="8">
        <f t="shared" si="33"/>
        <v>28</v>
      </c>
      <c r="G744" s="9">
        <f t="shared" si="34"/>
        <v>43888</v>
      </c>
      <c r="H744" s="10">
        <f t="shared" si="35"/>
        <v>3</v>
      </c>
    </row>
    <row r="745" spans="1:8" x14ac:dyDescent="0.2">
      <c r="A745" s="1">
        <v>90</v>
      </c>
      <c r="B745" s="1" t="str">
        <v>2020-02-27</v>
      </c>
      <c r="C745" s="1">
        <v>3.3908999999999998</v>
      </c>
      <c r="F745" s="8">
        <f t="shared" si="33"/>
        <v>90</v>
      </c>
      <c r="G745" s="9">
        <f t="shared" si="34"/>
        <v>43888</v>
      </c>
      <c r="H745" s="10">
        <f t="shared" si="35"/>
        <v>3.3908999999999998</v>
      </c>
    </row>
    <row r="746" spans="1:8" x14ac:dyDescent="0.2">
      <c r="A746" s="1">
        <v>34</v>
      </c>
      <c r="B746" s="1" t="str">
        <v>2020-02-27</v>
      </c>
      <c r="C746" s="1">
        <v>3.2265000000000001</v>
      </c>
      <c r="F746" s="8">
        <f t="shared" si="33"/>
        <v>34</v>
      </c>
      <c r="G746" s="9">
        <f t="shared" si="34"/>
        <v>43888</v>
      </c>
      <c r="H746" s="10">
        <f t="shared" si="35"/>
        <v>3.2265000000000001</v>
      </c>
    </row>
    <row r="747" spans="1:8" x14ac:dyDescent="0.2">
      <c r="A747" s="1">
        <v>30350</v>
      </c>
      <c r="B747" s="1" t="str">
        <v>2020-02-27</v>
      </c>
      <c r="C747" s="1">
        <v>3.4014000000000002</v>
      </c>
      <c r="F747" s="8">
        <f t="shared" si="33"/>
        <v>30350</v>
      </c>
      <c r="G747" s="9">
        <f t="shared" si="34"/>
        <v>43888</v>
      </c>
      <c r="H747" s="10">
        <f t="shared" si="35"/>
        <v>3.4014000000000002</v>
      </c>
    </row>
    <row r="748" spans="1:8" x14ac:dyDescent="0.2">
      <c r="A748" s="1">
        <v>115</v>
      </c>
      <c r="B748" s="1" t="str">
        <v>2020-02-27</v>
      </c>
      <c r="C748" s="1">
        <v>3.4424999999999999</v>
      </c>
      <c r="F748" s="8">
        <f t="shared" si="33"/>
        <v>115</v>
      </c>
      <c r="G748" s="9">
        <f t="shared" si="34"/>
        <v>43888</v>
      </c>
      <c r="H748" s="10">
        <f t="shared" si="35"/>
        <v>3.4424999999999999</v>
      </c>
    </row>
    <row r="749" spans="1:8" x14ac:dyDescent="0.2">
      <c r="A749" s="1">
        <v>32222</v>
      </c>
      <c r="B749" s="1" t="str">
        <v>2020-02-27</v>
      </c>
      <c r="C749" s="1">
        <v>2.9072</v>
      </c>
      <c r="F749" s="8">
        <f t="shared" si="33"/>
        <v>32222</v>
      </c>
      <c r="G749" s="9">
        <f t="shared" si="34"/>
        <v>43888</v>
      </c>
      <c r="H749" s="10">
        <f t="shared" si="35"/>
        <v>2.9072</v>
      </c>
    </row>
    <row r="750" spans="1:8" x14ac:dyDescent="0.2">
      <c r="A750" s="1">
        <v>32703</v>
      </c>
      <c r="B750" s="1" t="str">
        <v>2020-02-27</v>
      </c>
      <c r="C750" s="1">
        <v>3.5143</v>
      </c>
      <c r="F750" s="8">
        <f t="shared" si="33"/>
        <v>32703</v>
      </c>
      <c r="G750" s="9">
        <f t="shared" si="34"/>
        <v>43888</v>
      </c>
      <c r="H750" s="10">
        <f t="shared" si="35"/>
        <v>3.5143</v>
      </c>
    </row>
    <row r="751" spans="1:8" x14ac:dyDescent="0.2">
      <c r="A751" s="1">
        <v>77</v>
      </c>
      <c r="B751" s="1" t="str">
        <v>2020-02-27</v>
      </c>
      <c r="C751" s="1">
        <v>3.2158000000000002</v>
      </c>
      <c r="F751" s="8">
        <f t="shared" si="33"/>
        <v>77</v>
      </c>
      <c r="G751" s="9">
        <f t="shared" si="34"/>
        <v>43888</v>
      </c>
      <c r="H751" s="10">
        <f t="shared" si="35"/>
        <v>3.2158000000000002</v>
      </c>
    </row>
    <row r="752" spans="1:8" x14ac:dyDescent="0.2">
      <c r="A752" s="1">
        <v>32421</v>
      </c>
      <c r="B752" s="1" t="str">
        <v>2020-02-27</v>
      </c>
      <c r="C752" s="1">
        <v>3.1492</v>
      </c>
      <c r="F752" s="8">
        <f t="shared" si="33"/>
        <v>32421</v>
      </c>
      <c r="G752" s="9">
        <f t="shared" si="34"/>
        <v>43888</v>
      </c>
      <c r="H752" s="10">
        <f t="shared" si="35"/>
        <v>3.1492</v>
      </c>
    </row>
    <row r="753" spans="1:8" x14ac:dyDescent="0.2">
      <c r="A753" s="1">
        <v>16</v>
      </c>
      <c r="B753" s="1" t="str">
        <v>2020-02-28</v>
      </c>
      <c r="C753" s="1">
        <v>3.2149000000000001</v>
      </c>
      <c r="F753" s="8">
        <f t="shared" si="33"/>
        <v>16</v>
      </c>
      <c r="G753" s="9">
        <f t="shared" si="34"/>
        <v>43889</v>
      </c>
      <c r="H753" s="10">
        <f t="shared" si="35"/>
        <v>3.2149000000000001</v>
      </c>
    </row>
    <row r="754" spans="1:8" x14ac:dyDescent="0.2">
      <c r="A754" s="1">
        <v>182</v>
      </c>
      <c r="B754" s="1" t="str">
        <v>2020-02-28</v>
      </c>
      <c r="C754" s="1">
        <v>3.3188</v>
      </c>
      <c r="F754" s="8">
        <f t="shared" si="33"/>
        <v>182</v>
      </c>
      <c r="G754" s="9">
        <f t="shared" si="34"/>
        <v>43889</v>
      </c>
      <c r="H754" s="10">
        <f t="shared" si="35"/>
        <v>3.3188</v>
      </c>
    </row>
    <row r="755" spans="1:8" x14ac:dyDescent="0.2">
      <c r="A755" s="1">
        <v>33103</v>
      </c>
      <c r="B755" s="1" t="str">
        <v>2020-02-28</v>
      </c>
      <c r="C755" s="1">
        <v>3.9413</v>
      </c>
      <c r="F755" s="8">
        <f t="shared" si="33"/>
        <v>33103</v>
      </c>
      <c r="G755" s="9">
        <f t="shared" si="34"/>
        <v>43889</v>
      </c>
      <c r="H755" s="10">
        <f t="shared" si="35"/>
        <v>3.9413</v>
      </c>
    </row>
    <row r="756" spans="1:8" x14ac:dyDescent="0.2">
      <c r="A756" s="1">
        <v>32724</v>
      </c>
      <c r="B756" s="1" t="str">
        <v>2020-02-28</v>
      </c>
      <c r="C756" s="1">
        <v>3.1440000000000001</v>
      </c>
      <c r="F756" s="8">
        <f t="shared" si="33"/>
        <v>32724</v>
      </c>
      <c r="G756" s="9">
        <f t="shared" si="34"/>
        <v>43889</v>
      </c>
      <c r="H756" s="10">
        <f t="shared" si="35"/>
        <v>3.1440000000000001</v>
      </c>
    </row>
    <row r="757" spans="1:8" x14ac:dyDescent="0.2">
      <c r="A757" s="1">
        <v>33003</v>
      </c>
      <c r="B757" s="1" t="str">
        <v>2020-02-28</v>
      </c>
      <c r="C757" s="1">
        <v>3</v>
      </c>
      <c r="F757" s="8">
        <f t="shared" si="33"/>
        <v>33003</v>
      </c>
      <c r="G757" s="9">
        <f t="shared" si="34"/>
        <v>43889</v>
      </c>
      <c r="H757" s="10">
        <f t="shared" si="35"/>
        <v>3</v>
      </c>
    </row>
    <row r="758" spans="1:8" x14ac:dyDescent="0.2">
      <c r="A758" s="1">
        <v>147</v>
      </c>
      <c r="B758" s="1" t="str">
        <v>2020-02-28</v>
      </c>
      <c r="C758" s="1">
        <v>2.9379</v>
      </c>
      <c r="F758" s="8">
        <f t="shared" si="33"/>
        <v>147</v>
      </c>
      <c r="G758" s="9">
        <f t="shared" si="34"/>
        <v>43889</v>
      </c>
      <c r="H758" s="10">
        <f t="shared" si="35"/>
        <v>2.9379</v>
      </c>
    </row>
    <row r="759" spans="1:8" x14ac:dyDescent="0.2">
      <c r="A759" s="1">
        <v>99</v>
      </c>
      <c r="B759" s="1" t="str">
        <v>2020-02-28</v>
      </c>
      <c r="C759" s="1">
        <v>3.4013</v>
      </c>
      <c r="F759" s="8">
        <f t="shared" si="33"/>
        <v>99</v>
      </c>
      <c r="G759" s="9">
        <f t="shared" si="34"/>
        <v>43889</v>
      </c>
      <c r="H759" s="10">
        <f t="shared" si="35"/>
        <v>3.4013</v>
      </c>
    </row>
    <row r="760" spans="1:8" x14ac:dyDescent="0.2">
      <c r="A760" s="1">
        <v>32863</v>
      </c>
      <c r="B760" s="1" t="str">
        <v>2020-02-28</v>
      </c>
      <c r="C760" s="1">
        <v>3.0295999999999998</v>
      </c>
      <c r="F760" s="8">
        <f t="shared" si="33"/>
        <v>32863</v>
      </c>
      <c r="G760" s="9">
        <f t="shared" si="34"/>
        <v>43889</v>
      </c>
      <c r="H760" s="10">
        <f t="shared" si="35"/>
        <v>3.0295999999999998</v>
      </c>
    </row>
    <row r="761" spans="1:8" x14ac:dyDescent="0.2">
      <c r="A761" s="1">
        <v>81</v>
      </c>
      <c r="B761" s="1" t="str">
        <v>2020-02-28</v>
      </c>
      <c r="C761" s="1">
        <v>3.2469000000000001</v>
      </c>
      <c r="F761" s="8">
        <f t="shared" si="33"/>
        <v>81</v>
      </c>
      <c r="G761" s="9">
        <f t="shared" si="34"/>
        <v>43889</v>
      </c>
      <c r="H761" s="10">
        <f t="shared" si="35"/>
        <v>3.2469000000000001</v>
      </c>
    </row>
    <row r="762" spans="1:8" x14ac:dyDescent="0.2">
      <c r="A762" s="1">
        <v>156</v>
      </c>
      <c r="B762" s="1" t="str">
        <v>2020-02-28</v>
      </c>
      <c r="C762" s="1">
        <v>3.5047999999999999</v>
      </c>
      <c r="F762" s="8">
        <f t="shared" si="33"/>
        <v>156</v>
      </c>
      <c r="G762" s="9">
        <f t="shared" si="34"/>
        <v>43889</v>
      </c>
      <c r="H762" s="10">
        <f t="shared" si="35"/>
        <v>3.5047999999999999</v>
      </c>
    </row>
    <row r="763" spans="1:8" x14ac:dyDescent="0.2">
      <c r="A763" s="1">
        <v>171</v>
      </c>
      <c r="B763" s="1" t="str">
        <v>2020-02-28</v>
      </c>
      <c r="C763" s="1">
        <v>3.0512999999999999</v>
      </c>
      <c r="F763" s="8">
        <f t="shared" si="33"/>
        <v>171</v>
      </c>
      <c r="G763" s="9">
        <f t="shared" si="34"/>
        <v>43889</v>
      </c>
      <c r="H763" s="10">
        <f t="shared" si="35"/>
        <v>3.0512999999999999</v>
      </c>
    </row>
    <row r="764" spans="1:8" x14ac:dyDescent="0.2">
      <c r="A764" s="1">
        <v>176</v>
      </c>
      <c r="B764" s="1" t="str">
        <v>2020-02-28</v>
      </c>
      <c r="C764" s="1">
        <v>3.1128</v>
      </c>
      <c r="F764" s="8">
        <f t="shared" si="33"/>
        <v>176</v>
      </c>
      <c r="G764" s="9">
        <f t="shared" si="34"/>
        <v>43889</v>
      </c>
      <c r="H764" s="10">
        <f t="shared" si="35"/>
        <v>3.1128</v>
      </c>
    </row>
    <row r="765" spans="1:8" x14ac:dyDescent="0.2">
      <c r="A765" s="1">
        <v>33023</v>
      </c>
      <c r="B765" s="1" t="str">
        <v>2020-02-28</v>
      </c>
      <c r="C765" s="1">
        <v>3</v>
      </c>
      <c r="F765" s="8">
        <f t="shared" si="33"/>
        <v>33023</v>
      </c>
      <c r="G765" s="9">
        <f t="shared" si="34"/>
        <v>43889</v>
      </c>
      <c r="H765" s="10">
        <f t="shared" si="35"/>
        <v>3</v>
      </c>
    </row>
    <row r="766" spans="1:8" x14ac:dyDescent="0.2">
      <c r="A766" s="1">
        <v>49</v>
      </c>
      <c r="B766" s="1" t="str">
        <v>2020-02-28</v>
      </c>
      <c r="C766" s="1">
        <v>2.8868999999999998</v>
      </c>
      <c r="F766" s="8">
        <f t="shared" si="33"/>
        <v>49</v>
      </c>
      <c r="G766" s="9">
        <f t="shared" si="34"/>
        <v>43889</v>
      </c>
      <c r="H766" s="10">
        <f t="shared" si="35"/>
        <v>2.8868999999999998</v>
      </c>
    </row>
    <row r="767" spans="1:8" x14ac:dyDescent="0.2">
      <c r="A767" s="1">
        <v>32260</v>
      </c>
      <c r="B767" s="1" t="str">
        <v>2020-02-28</v>
      </c>
      <c r="C767" s="1">
        <v>3.1844000000000001</v>
      </c>
      <c r="F767" s="8">
        <f t="shared" si="33"/>
        <v>32260</v>
      </c>
      <c r="G767" s="9">
        <f t="shared" si="34"/>
        <v>43889</v>
      </c>
      <c r="H767" s="10">
        <f t="shared" si="35"/>
        <v>3.1844000000000001</v>
      </c>
    </row>
    <row r="768" spans="1:8" x14ac:dyDescent="0.2">
      <c r="A768" s="1">
        <v>33125</v>
      </c>
      <c r="B768" s="1" t="str">
        <v>2020-02-28</v>
      </c>
      <c r="C768" s="1">
        <v>2.9384000000000001</v>
      </c>
      <c r="F768" s="8">
        <f t="shared" si="33"/>
        <v>33125</v>
      </c>
      <c r="G768" s="9">
        <f t="shared" si="34"/>
        <v>43889</v>
      </c>
      <c r="H768" s="10">
        <f t="shared" si="35"/>
        <v>2.9384000000000001</v>
      </c>
    </row>
    <row r="769" spans="1:8" x14ac:dyDescent="0.2">
      <c r="A769" s="1">
        <v>133</v>
      </c>
      <c r="B769" s="1" t="str">
        <v>2020-02-28</v>
      </c>
      <c r="C769" s="1">
        <v>3.2568999999999999</v>
      </c>
      <c r="F769" s="8">
        <f t="shared" si="33"/>
        <v>133</v>
      </c>
      <c r="G769" s="9">
        <f t="shared" si="34"/>
        <v>43889</v>
      </c>
      <c r="H769" s="10">
        <f t="shared" si="35"/>
        <v>3.2568999999999999</v>
      </c>
    </row>
    <row r="770" spans="1:8" x14ac:dyDescent="0.2">
      <c r="A770" s="1">
        <v>150</v>
      </c>
      <c r="B770" s="1" t="str">
        <v>2020-02-28</v>
      </c>
      <c r="C770" s="1">
        <v>3.6429999999999998</v>
      </c>
      <c r="F770" s="8">
        <f t="shared" si="33"/>
        <v>150</v>
      </c>
      <c r="G770" s="9">
        <f t="shared" si="34"/>
        <v>43889</v>
      </c>
      <c r="H770" s="10">
        <f t="shared" si="35"/>
        <v>3.6429999999999998</v>
      </c>
    </row>
    <row r="771" spans="1:8" x14ac:dyDescent="0.2">
      <c r="A771" s="1">
        <v>187</v>
      </c>
      <c r="B771" s="1" t="str">
        <v>2020-02-28</v>
      </c>
      <c r="C771" s="1">
        <v>3.133</v>
      </c>
      <c r="F771" s="8">
        <f t="shared" si="33"/>
        <v>187</v>
      </c>
      <c r="G771" s="9">
        <f t="shared" si="34"/>
        <v>43889</v>
      </c>
      <c r="H771" s="10">
        <f t="shared" si="35"/>
        <v>3.133</v>
      </c>
    </row>
    <row r="772" spans="1:8" x14ac:dyDescent="0.2">
      <c r="A772" s="1">
        <v>32923</v>
      </c>
      <c r="B772" s="1" t="str">
        <v>2020-02-28</v>
      </c>
      <c r="C772" s="1">
        <v>4.1565000000000003</v>
      </c>
      <c r="F772" s="8">
        <f t="shared" si="33"/>
        <v>32923</v>
      </c>
      <c r="G772" s="9">
        <f t="shared" si="34"/>
        <v>43889</v>
      </c>
      <c r="H772" s="10">
        <f t="shared" si="35"/>
        <v>4.1565000000000003</v>
      </c>
    </row>
    <row r="773" spans="1:8" x14ac:dyDescent="0.2">
      <c r="A773" s="1">
        <v>33164</v>
      </c>
      <c r="B773" s="1" t="str">
        <v>2020-02-28</v>
      </c>
      <c r="C773" s="1">
        <v>2.8250000000000002</v>
      </c>
      <c r="F773" s="8">
        <f t="shared" si="33"/>
        <v>33164</v>
      </c>
      <c r="G773" s="9">
        <f t="shared" si="34"/>
        <v>43889</v>
      </c>
      <c r="H773" s="10">
        <f t="shared" si="35"/>
        <v>2.8250000000000002</v>
      </c>
    </row>
    <row r="774" spans="1:8" x14ac:dyDescent="0.2">
      <c r="A774" s="1">
        <v>109</v>
      </c>
      <c r="B774" s="1" t="str">
        <v>2020-02-28</v>
      </c>
      <c r="C774" s="1">
        <v>3.0514000000000001</v>
      </c>
      <c r="F774" s="8">
        <f t="shared" si="33"/>
        <v>109</v>
      </c>
      <c r="G774" s="9">
        <f t="shared" si="34"/>
        <v>43889</v>
      </c>
      <c r="H774" s="10">
        <f t="shared" si="35"/>
        <v>3.0514000000000001</v>
      </c>
    </row>
    <row r="775" spans="1:8" x14ac:dyDescent="0.2">
      <c r="A775" s="1">
        <v>181</v>
      </c>
      <c r="B775" s="1" t="str">
        <v>2020-02-28</v>
      </c>
      <c r="C775" s="1">
        <v>3.0823</v>
      </c>
      <c r="F775" s="8">
        <f t="shared" si="33"/>
        <v>181</v>
      </c>
      <c r="G775" s="9">
        <f t="shared" si="34"/>
        <v>43889</v>
      </c>
      <c r="H775" s="10">
        <f t="shared" si="35"/>
        <v>3.0823</v>
      </c>
    </row>
    <row r="776" spans="1:8" x14ac:dyDescent="0.2">
      <c r="A776" s="1">
        <v>2250</v>
      </c>
      <c r="B776" s="1" t="str">
        <v>2020-02-28</v>
      </c>
      <c r="C776" s="1">
        <v>2.9171999999999998</v>
      </c>
      <c r="F776" s="8">
        <f t="shared" si="33"/>
        <v>2250</v>
      </c>
      <c r="G776" s="9">
        <f t="shared" si="34"/>
        <v>43889</v>
      </c>
      <c r="H776" s="10">
        <f t="shared" si="35"/>
        <v>2.9171999999999998</v>
      </c>
    </row>
    <row r="777" spans="1:8" x14ac:dyDescent="0.2">
      <c r="A777" s="1">
        <v>10</v>
      </c>
      <c r="B777" s="1" t="str">
        <v>2020-02-28</v>
      </c>
      <c r="C777" s="1">
        <v>3.3290999999999999</v>
      </c>
      <c r="F777" s="8">
        <f t="shared" ref="F777:F840" si="36">A777</f>
        <v>10</v>
      </c>
      <c r="G777" s="9">
        <f t="shared" ref="G777:G840" si="37">DATE(LEFT(B777,4),MID(B777,6,2),RIGHT(B777,2))</f>
        <v>43889</v>
      </c>
      <c r="H777" s="10">
        <f t="shared" ref="H777:H840" si="38">C777</f>
        <v>3.3290999999999999</v>
      </c>
    </row>
    <row r="778" spans="1:8" x14ac:dyDescent="0.2">
      <c r="A778" s="1">
        <v>184</v>
      </c>
      <c r="B778" s="1" t="str">
        <v>2020-02-28</v>
      </c>
      <c r="C778" s="1">
        <v>3.1884000000000001</v>
      </c>
      <c r="F778" s="8">
        <f t="shared" si="36"/>
        <v>184</v>
      </c>
      <c r="G778" s="9">
        <f t="shared" si="37"/>
        <v>43889</v>
      </c>
      <c r="H778" s="10">
        <f t="shared" si="38"/>
        <v>3.1884000000000001</v>
      </c>
    </row>
    <row r="779" spans="1:8" x14ac:dyDescent="0.2">
      <c r="A779" s="1">
        <v>184</v>
      </c>
      <c r="B779" s="1" t="str">
        <v>2020-03-02</v>
      </c>
      <c r="C779" s="1">
        <v>3.0188000000000001</v>
      </c>
      <c r="F779" s="8">
        <f t="shared" si="36"/>
        <v>184</v>
      </c>
      <c r="G779" s="9">
        <f t="shared" si="37"/>
        <v>43892</v>
      </c>
      <c r="H779" s="10">
        <f t="shared" si="38"/>
        <v>3.0188000000000001</v>
      </c>
    </row>
    <row r="780" spans="1:8" x14ac:dyDescent="0.2">
      <c r="A780" s="1">
        <v>32280</v>
      </c>
      <c r="B780" s="1" t="str">
        <v>2020-03-02</v>
      </c>
      <c r="C780" s="1">
        <v>3.2</v>
      </c>
      <c r="F780" s="8">
        <f t="shared" si="36"/>
        <v>32280</v>
      </c>
      <c r="G780" s="9">
        <f t="shared" si="37"/>
        <v>43892</v>
      </c>
      <c r="H780" s="10">
        <f t="shared" si="38"/>
        <v>3.2</v>
      </c>
    </row>
    <row r="781" spans="1:8" x14ac:dyDescent="0.2">
      <c r="A781" s="1">
        <v>32421</v>
      </c>
      <c r="B781" s="1" t="str">
        <v>2020-03-02</v>
      </c>
      <c r="C781" s="1">
        <v>3.0442</v>
      </c>
      <c r="F781" s="8">
        <f t="shared" si="36"/>
        <v>32421</v>
      </c>
      <c r="G781" s="9">
        <f t="shared" si="37"/>
        <v>43892</v>
      </c>
      <c r="H781" s="10">
        <f t="shared" si="38"/>
        <v>3.0442</v>
      </c>
    </row>
    <row r="782" spans="1:8" x14ac:dyDescent="0.2">
      <c r="A782" s="1">
        <v>33129</v>
      </c>
      <c r="B782" s="1" t="str">
        <v>2020-03-02</v>
      </c>
      <c r="C782" s="1">
        <v>2.9070999999999998</v>
      </c>
      <c r="F782" s="8">
        <f t="shared" si="36"/>
        <v>33129</v>
      </c>
      <c r="G782" s="9">
        <f t="shared" si="37"/>
        <v>43892</v>
      </c>
      <c r="H782" s="10">
        <f t="shared" si="38"/>
        <v>2.9070999999999998</v>
      </c>
    </row>
    <row r="783" spans="1:8" x14ac:dyDescent="0.2">
      <c r="A783" s="1">
        <v>32663</v>
      </c>
      <c r="B783" s="1" t="str">
        <v>2020-03-02</v>
      </c>
      <c r="C783" s="1">
        <v>3.4636999999999998</v>
      </c>
      <c r="F783" s="8">
        <f t="shared" si="36"/>
        <v>32663</v>
      </c>
      <c r="G783" s="9">
        <f t="shared" si="37"/>
        <v>43892</v>
      </c>
      <c r="H783" s="10">
        <f t="shared" si="38"/>
        <v>3.4636999999999998</v>
      </c>
    </row>
    <row r="784" spans="1:8" x14ac:dyDescent="0.2">
      <c r="A784" s="1">
        <v>20</v>
      </c>
      <c r="B784" s="1" t="str">
        <v>2020-03-02</v>
      </c>
      <c r="C784" s="1">
        <v>3.2980999999999998</v>
      </c>
      <c r="F784" s="8">
        <f t="shared" si="36"/>
        <v>20</v>
      </c>
      <c r="G784" s="9">
        <f t="shared" si="37"/>
        <v>43892</v>
      </c>
      <c r="H784" s="10">
        <f t="shared" si="38"/>
        <v>3.2980999999999998</v>
      </c>
    </row>
    <row r="785" spans="1:8" x14ac:dyDescent="0.2">
      <c r="A785" s="1">
        <v>178</v>
      </c>
      <c r="B785" s="1" t="str">
        <v>2020-03-02</v>
      </c>
      <c r="C785" s="1">
        <v>3.2589999999999999</v>
      </c>
      <c r="F785" s="8">
        <f t="shared" si="36"/>
        <v>178</v>
      </c>
      <c r="G785" s="9">
        <f t="shared" si="37"/>
        <v>43892</v>
      </c>
      <c r="H785" s="10">
        <f t="shared" si="38"/>
        <v>3.2589999999999999</v>
      </c>
    </row>
    <row r="786" spans="1:8" x14ac:dyDescent="0.2">
      <c r="A786" s="1">
        <v>49</v>
      </c>
      <c r="B786" s="1" t="str">
        <v>2020-03-02</v>
      </c>
      <c r="C786" s="1">
        <v>2.8252000000000002</v>
      </c>
      <c r="F786" s="8">
        <f t="shared" si="36"/>
        <v>49</v>
      </c>
      <c r="G786" s="9">
        <f t="shared" si="37"/>
        <v>43892</v>
      </c>
      <c r="H786" s="10">
        <f t="shared" si="38"/>
        <v>2.8252000000000002</v>
      </c>
    </row>
    <row r="787" spans="1:8" x14ac:dyDescent="0.2">
      <c r="A787" s="1">
        <v>137</v>
      </c>
      <c r="B787" s="1" t="str">
        <v>2020-03-03</v>
      </c>
      <c r="C787" s="1">
        <v>3.0411000000000001</v>
      </c>
      <c r="F787" s="8">
        <f t="shared" si="36"/>
        <v>137</v>
      </c>
      <c r="G787" s="9">
        <f t="shared" si="37"/>
        <v>43893</v>
      </c>
      <c r="H787" s="10">
        <f t="shared" si="38"/>
        <v>3.0411000000000001</v>
      </c>
    </row>
    <row r="788" spans="1:8" x14ac:dyDescent="0.2">
      <c r="A788" s="1">
        <v>32082</v>
      </c>
      <c r="B788" s="1" t="str">
        <v>2020-03-03</v>
      </c>
      <c r="C788" s="1">
        <v>3.2665999999999999</v>
      </c>
      <c r="F788" s="8">
        <f t="shared" si="36"/>
        <v>32082</v>
      </c>
      <c r="G788" s="9">
        <f t="shared" si="37"/>
        <v>43893</v>
      </c>
      <c r="H788" s="10">
        <f t="shared" si="38"/>
        <v>3.2665999999999999</v>
      </c>
    </row>
    <row r="789" spans="1:8" x14ac:dyDescent="0.2">
      <c r="A789" s="1">
        <v>32200</v>
      </c>
      <c r="B789" s="1" t="str">
        <v>2020-03-03</v>
      </c>
      <c r="C789" s="1">
        <v>2.6604000000000001</v>
      </c>
      <c r="F789" s="8">
        <f t="shared" si="36"/>
        <v>32200</v>
      </c>
      <c r="G789" s="9">
        <f t="shared" si="37"/>
        <v>43893</v>
      </c>
      <c r="H789" s="10">
        <f t="shared" si="38"/>
        <v>2.6604000000000001</v>
      </c>
    </row>
    <row r="790" spans="1:8" x14ac:dyDescent="0.2">
      <c r="A790" s="1">
        <v>49</v>
      </c>
      <c r="B790" s="1" t="str">
        <v>2020-03-04</v>
      </c>
      <c r="C790" s="1">
        <v>2.7330000000000001</v>
      </c>
      <c r="F790" s="8">
        <f t="shared" si="36"/>
        <v>49</v>
      </c>
      <c r="G790" s="9">
        <f t="shared" si="37"/>
        <v>43894</v>
      </c>
      <c r="H790" s="10">
        <f t="shared" si="38"/>
        <v>2.7330000000000001</v>
      </c>
    </row>
    <row r="791" spans="1:8" x14ac:dyDescent="0.2">
      <c r="A791" s="1">
        <v>32222</v>
      </c>
      <c r="B791" s="1" t="str">
        <v>2020-03-04</v>
      </c>
      <c r="C791" s="1">
        <v>2.7530000000000001</v>
      </c>
      <c r="F791" s="8">
        <f t="shared" si="36"/>
        <v>32222</v>
      </c>
      <c r="G791" s="9">
        <f t="shared" si="37"/>
        <v>43894</v>
      </c>
      <c r="H791" s="10">
        <f t="shared" si="38"/>
        <v>2.7530000000000001</v>
      </c>
    </row>
    <row r="792" spans="1:8" x14ac:dyDescent="0.2">
      <c r="A792" s="1">
        <v>2250</v>
      </c>
      <c r="B792" s="1" t="str">
        <v>2020-03-04</v>
      </c>
      <c r="C792" s="1">
        <v>2.9171999999999998</v>
      </c>
      <c r="F792" s="8">
        <f t="shared" si="36"/>
        <v>2250</v>
      </c>
      <c r="G792" s="9">
        <f t="shared" si="37"/>
        <v>43894</v>
      </c>
      <c r="H792" s="10">
        <f t="shared" si="38"/>
        <v>2.9171999999999998</v>
      </c>
    </row>
    <row r="793" spans="1:8" x14ac:dyDescent="0.2">
      <c r="A793" s="1">
        <v>101</v>
      </c>
      <c r="B793" s="1" t="str">
        <v>2020-03-04</v>
      </c>
      <c r="C793" s="1">
        <v>3.3187000000000002</v>
      </c>
      <c r="F793" s="8">
        <f t="shared" si="36"/>
        <v>101</v>
      </c>
      <c r="G793" s="9">
        <f t="shared" si="37"/>
        <v>43894</v>
      </c>
      <c r="H793" s="10">
        <f t="shared" si="38"/>
        <v>3.3187000000000002</v>
      </c>
    </row>
    <row r="794" spans="1:8" x14ac:dyDescent="0.2">
      <c r="A794" s="1">
        <v>164</v>
      </c>
      <c r="B794" s="1" t="str">
        <v>2020-03-04</v>
      </c>
      <c r="C794" s="1">
        <v>3.5457000000000001</v>
      </c>
      <c r="F794" s="8">
        <f t="shared" si="36"/>
        <v>164</v>
      </c>
      <c r="G794" s="9">
        <f t="shared" si="37"/>
        <v>43894</v>
      </c>
      <c r="H794" s="10">
        <f t="shared" si="38"/>
        <v>3.5457000000000001</v>
      </c>
    </row>
    <row r="795" spans="1:8" x14ac:dyDescent="0.2">
      <c r="A795" s="1">
        <v>32803</v>
      </c>
      <c r="B795" s="1" t="str">
        <v>2020-03-04</v>
      </c>
      <c r="C795" s="1">
        <v>3.0203000000000002</v>
      </c>
      <c r="F795" s="8">
        <f t="shared" si="36"/>
        <v>32803</v>
      </c>
      <c r="G795" s="9">
        <f t="shared" si="37"/>
        <v>43894</v>
      </c>
      <c r="H795" s="10">
        <f t="shared" si="38"/>
        <v>3.0203000000000002</v>
      </c>
    </row>
    <row r="796" spans="1:8" x14ac:dyDescent="0.2">
      <c r="A796" s="1">
        <v>115</v>
      </c>
      <c r="B796" s="1" t="str">
        <v>2020-03-05</v>
      </c>
      <c r="C796" s="1">
        <v>3.4424999999999999</v>
      </c>
      <c r="F796" s="8">
        <f t="shared" si="36"/>
        <v>115</v>
      </c>
      <c r="G796" s="9">
        <f t="shared" si="37"/>
        <v>43895</v>
      </c>
      <c r="H796" s="10">
        <f t="shared" si="38"/>
        <v>3.4424999999999999</v>
      </c>
    </row>
    <row r="797" spans="1:8" x14ac:dyDescent="0.2">
      <c r="A797" s="1">
        <v>147</v>
      </c>
      <c r="B797" s="1" t="str">
        <v>2020-03-05</v>
      </c>
      <c r="C797" s="1">
        <v>2.61</v>
      </c>
      <c r="F797" s="8">
        <f t="shared" si="36"/>
        <v>147</v>
      </c>
      <c r="G797" s="9">
        <f t="shared" si="37"/>
        <v>43895</v>
      </c>
      <c r="H797" s="10">
        <f t="shared" si="38"/>
        <v>2.61</v>
      </c>
    </row>
    <row r="798" spans="1:8" x14ac:dyDescent="0.2">
      <c r="A798" s="1">
        <v>32</v>
      </c>
      <c r="B798" s="1" t="str">
        <v>2020-03-05</v>
      </c>
      <c r="C798" s="1">
        <v>3.4014000000000002</v>
      </c>
      <c r="F798" s="8">
        <f t="shared" si="36"/>
        <v>32</v>
      </c>
      <c r="G798" s="9">
        <f t="shared" si="37"/>
        <v>43895</v>
      </c>
      <c r="H798" s="10">
        <f t="shared" si="38"/>
        <v>3.4014000000000002</v>
      </c>
    </row>
    <row r="799" spans="1:8" x14ac:dyDescent="0.2">
      <c r="A799" s="1">
        <v>32500</v>
      </c>
      <c r="B799" s="1" t="str">
        <v>2020-03-05</v>
      </c>
      <c r="C799" s="1">
        <v>3.1646999999999998</v>
      </c>
      <c r="F799" s="8">
        <f t="shared" si="36"/>
        <v>32500</v>
      </c>
      <c r="G799" s="9">
        <f t="shared" si="37"/>
        <v>43895</v>
      </c>
      <c r="H799" s="10">
        <f t="shared" si="38"/>
        <v>3.1646999999999998</v>
      </c>
    </row>
    <row r="800" spans="1:8" x14ac:dyDescent="0.2">
      <c r="A800" s="1">
        <v>67</v>
      </c>
      <c r="B800" s="1" t="str">
        <v>2020-03-05</v>
      </c>
      <c r="C800" s="1">
        <v>3.3290999999999999</v>
      </c>
      <c r="F800" s="8">
        <f t="shared" si="36"/>
        <v>67</v>
      </c>
      <c r="G800" s="9">
        <f t="shared" si="37"/>
        <v>43895</v>
      </c>
      <c r="H800" s="10">
        <f t="shared" si="38"/>
        <v>3.3290999999999999</v>
      </c>
    </row>
    <row r="801" spans="1:8" x14ac:dyDescent="0.2">
      <c r="A801" s="1">
        <v>30250</v>
      </c>
      <c r="B801" s="1" t="str">
        <v>2020-03-05</v>
      </c>
      <c r="C801" s="1">
        <v>2.9998</v>
      </c>
      <c r="F801" s="8">
        <f t="shared" si="36"/>
        <v>30250</v>
      </c>
      <c r="G801" s="9">
        <f t="shared" si="37"/>
        <v>43895</v>
      </c>
      <c r="H801" s="10">
        <f t="shared" si="38"/>
        <v>2.9998</v>
      </c>
    </row>
    <row r="802" spans="1:8" x14ac:dyDescent="0.2">
      <c r="A802" s="1">
        <v>139</v>
      </c>
      <c r="B802" s="1" t="str">
        <v>2020-03-05</v>
      </c>
      <c r="C802" s="1">
        <v>3.4426000000000001</v>
      </c>
      <c r="F802" s="8">
        <f t="shared" si="36"/>
        <v>139</v>
      </c>
      <c r="G802" s="9">
        <f t="shared" si="37"/>
        <v>43895</v>
      </c>
      <c r="H802" s="10">
        <f t="shared" si="38"/>
        <v>3.4426000000000001</v>
      </c>
    </row>
    <row r="803" spans="1:8" x14ac:dyDescent="0.2">
      <c r="A803" s="1">
        <v>32560</v>
      </c>
      <c r="B803" s="1" t="str">
        <v>2020-03-05</v>
      </c>
      <c r="C803" s="1">
        <v>3.2052999999999998</v>
      </c>
      <c r="F803" s="8">
        <f t="shared" si="36"/>
        <v>32560</v>
      </c>
      <c r="G803" s="9">
        <f t="shared" si="37"/>
        <v>43895</v>
      </c>
      <c r="H803" s="10">
        <f t="shared" si="38"/>
        <v>3.2052999999999998</v>
      </c>
    </row>
    <row r="804" spans="1:8" x14ac:dyDescent="0.2">
      <c r="A804" s="1">
        <v>32883</v>
      </c>
      <c r="B804" s="1" t="str">
        <v>2020-03-05</v>
      </c>
      <c r="C804" s="1">
        <v>2.9272</v>
      </c>
      <c r="F804" s="8">
        <f t="shared" si="36"/>
        <v>32883</v>
      </c>
      <c r="G804" s="9">
        <f t="shared" si="37"/>
        <v>43895</v>
      </c>
      <c r="H804" s="10">
        <f t="shared" si="38"/>
        <v>2.9272</v>
      </c>
    </row>
    <row r="805" spans="1:8" x14ac:dyDescent="0.2">
      <c r="A805" s="1">
        <v>187</v>
      </c>
      <c r="B805" s="1" t="str">
        <v>2020-03-05</v>
      </c>
      <c r="C805" s="1">
        <v>3.133</v>
      </c>
      <c r="F805" s="8">
        <f t="shared" si="36"/>
        <v>187</v>
      </c>
      <c r="G805" s="9">
        <f t="shared" si="37"/>
        <v>43895</v>
      </c>
      <c r="H805" s="10">
        <f t="shared" si="38"/>
        <v>3.133</v>
      </c>
    </row>
    <row r="806" spans="1:8" x14ac:dyDescent="0.2">
      <c r="A806" s="1">
        <v>32724</v>
      </c>
      <c r="B806" s="1" t="str">
        <v>2020-03-05</v>
      </c>
      <c r="C806" s="1">
        <v>3.1440000000000001</v>
      </c>
      <c r="F806" s="8">
        <f t="shared" si="36"/>
        <v>32724</v>
      </c>
      <c r="G806" s="9">
        <f t="shared" si="37"/>
        <v>43895</v>
      </c>
      <c r="H806" s="10">
        <f t="shared" si="38"/>
        <v>3.1440000000000001</v>
      </c>
    </row>
    <row r="807" spans="1:8" x14ac:dyDescent="0.2">
      <c r="A807" s="1">
        <v>33143</v>
      </c>
      <c r="B807" s="1" t="str">
        <v>2020-03-05</v>
      </c>
      <c r="C807" s="1">
        <v>3.6</v>
      </c>
      <c r="F807" s="8">
        <f t="shared" si="36"/>
        <v>33143</v>
      </c>
      <c r="G807" s="9">
        <f t="shared" si="37"/>
        <v>43895</v>
      </c>
      <c r="H807" s="10">
        <f t="shared" si="38"/>
        <v>3.6</v>
      </c>
    </row>
    <row r="808" spans="1:8" x14ac:dyDescent="0.2">
      <c r="A808" s="1">
        <v>32400</v>
      </c>
      <c r="B808" s="1" t="str">
        <v>2020-03-06</v>
      </c>
      <c r="C808" s="1">
        <v>3.5</v>
      </c>
      <c r="F808" s="8">
        <f t="shared" si="36"/>
        <v>32400</v>
      </c>
      <c r="G808" s="9">
        <f t="shared" si="37"/>
        <v>43896</v>
      </c>
      <c r="H808" s="10">
        <f t="shared" si="38"/>
        <v>3.5</v>
      </c>
    </row>
    <row r="809" spans="1:8" x14ac:dyDescent="0.2">
      <c r="A809" s="1">
        <v>176</v>
      </c>
      <c r="B809" s="1" t="str">
        <v>2020-03-06</v>
      </c>
      <c r="C809" s="1">
        <v>3.1128</v>
      </c>
      <c r="F809" s="8">
        <f t="shared" si="36"/>
        <v>176</v>
      </c>
      <c r="G809" s="9">
        <f t="shared" si="37"/>
        <v>43896</v>
      </c>
      <c r="H809" s="10">
        <f t="shared" si="38"/>
        <v>3.1128</v>
      </c>
    </row>
    <row r="810" spans="1:8" x14ac:dyDescent="0.2">
      <c r="A810" s="1">
        <v>67</v>
      </c>
      <c r="B810" s="1" t="str">
        <v>2020-03-06</v>
      </c>
      <c r="C810" s="1">
        <v>3.2568999999999999</v>
      </c>
      <c r="F810" s="8">
        <f t="shared" si="36"/>
        <v>67</v>
      </c>
      <c r="G810" s="9">
        <f t="shared" si="37"/>
        <v>43896</v>
      </c>
      <c r="H810" s="10">
        <f t="shared" si="38"/>
        <v>3.2568999999999999</v>
      </c>
    </row>
    <row r="811" spans="1:8" x14ac:dyDescent="0.2">
      <c r="A811" s="1">
        <v>33129</v>
      </c>
      <c r="B811" s="1" t="str">
        <v>2020-03-06</v>
      </c>
      <c r="C811" s="1">
        <v>2.9070999999999998</v>
      </c>
      <c r="F811" s="8">
        <f t="shared" si="36"/>
        <v>33129</v>
      </c>
      <c r="G811" s="9">
        <f t="shared" si="37"/>
        <v>43896</v>
      </c>
      <c r="H811" s="10">
        <f t="shared" si="38"/>
        <v>2.9070999999999998</v>
      </c>
    </row>
    <row r="812" spans="1:8" x14ac:dyDescent="0.2">
      <c r="A812" s="1">
        <v>33023</v>
      </c>
      <c r="B812" s="1" t="str">
        <v>2020-03-06</v>
      </c>
      <c r="C812" s="1">
        <v>3</v>
      </c>
      <c r="F812" s="8">
        <f t="shared" si="36"/>
        <v>33023</v>
      </c>
      <c r="G812" s="9">
        <f t="shared" si="37"/>
        <v>43896</v>
      </c>
      <c r="H812" s="10">
        <f t="shared" si="38"/>
        <v>3</v>
      </c>
    </row>
    <row r="813" spans="1:8" x14ac:dyDescent="0.2">
      <c r="A813" s="1">
        <v>150</v>
      </c>
      <c r="B813" s="1" t="str">
        <v>2020-03-06</v>
      </c>
      <c r="C813" s="1">
        <v>3.6429999999999998</v>
      </c>
      <c r="F813" s="8">
        <f t="shared" si="36"/>
        <v>150</v>
      </c>
      <c r="G813" s="9">
        <f t="shared" si="37"/>
        <v>43896</v>
      </c>
      <c r="H813" s="10">
        <f t="shared" si="38"/>
        <v>3.6429999999999998</v>
      </c>
    </row>
    <row r="814" spans="1:8" x14ac:dyDescent="0.2">
      <c r="A814" s="1">
        <v>182</v>
      </c>
      <c r="B814" s="1" t="str">
        <v>2020-03-06</v>
      </c>
      <c r="C814" s="1">
        <v>3.2467999999999999</v>
      </c>
      <c r="F814" s="8">
        <f t="shared" si="36"/>
        <v>182</v>
      </c>
      <c r="G814" s="9">
        <f t="shared" si="37"/>
        <v>43896</v>
      </c>
      <c r="H814" s="10">
        <f t="shared" si="38"/>
        <v>3.2467999999999999</v>
      </c>
    </row>
    <row r="815" spans="1:8" x14ac:dyDescent="0.2">
      <c r="A815" s="1">
        <v>32360</v>
      </c>
      <c r="B815" s="1" t="str">
        <v>2020-03-06</v>
      </c>
      <c r="C815" s="1">
        <v>3.1644000000000001</v>
      </c>
      <c r="F815" s="8">
        <f t="shared" si="36"/>
        <v>32360</v>
      </c>
      <c r="G815" s="9">
        <f t="shared" si="37"/>
        <v>43896</v>
      </c>
      <c r="H815" s="10">
        <f t="shared" si="38"/>
        <v>3.1644000000000001</v>
      </c>
    </row>
    <row r="816" spans="1:8" x14ac:dyDescent="0.2">
      <c r="A816" s="1">
        <v>99</v>
      </c>
      <c r="B816" s="1" t="str">
        <v>2020-03-06</v>
      </c>
      <c r="C816" s="1">
        <v>3.5045999999999999</v>
      </c>
      <c r="F816" s="8">
        <f t="shared" si="36"/>
        <v>99</v>
      </c>
      <c r="G816" s="9">
        <f t="shared" si="37"/>
        <v>43896</v>
      </c>
      <c r="H816" s="10">
        <f t="shared" si="38"/>
        <v>3.5045999999999999</v>
      </c>
    </row>
    <row r="817" spans="1:8" x14ac:dyDescent="0.2">
      <c r="A817" s="1">
        <v>81</v>
      </c>
      <c r="B817" s="1" t="str">
        <v>2020-03-06</v>
      </c>
      <c r="C817" s="1">
        <v>3.1953999999999998</v>
      </c>
      <c r="F817" s="8">
        <f t="shared" si="36"/>
        <v>81</v>
      </c>
      <c r="G817" s="9">
        <f t="shared" si="37"/>
        <v>43896</v>
      </c>
      <c r="H817" s="10">
        <f t="shared" si="38"/>
        <v>3.1953999999999998</v>
      </c>
    </row>
    <row r="818" spans="1:8" x14ac:dyDescent="0.2">
      <c r="A818" s="1">
        <v>72</v>
      </c>
      <c r="B818" s="1" t="str">
        <v>2020-03-06</v>
      </c>
      <c r="C818" s="1">
        <v>2.9897999999999998</v>
      </c>
      <c r="F818" s="8">
        <f t="shared" si="36"/>
        <v>72</v>
      </c>
      <c r="G818" s="9">
        <f t="shared" si="37"/>
        <v>43896</v>
      </c>
      <c r="H818" s="10">
        <f t="shared" si="38"/>
        <v>2.9897999999999998</v>
      </c>
    </row>
    <row r="819" spans="1:8" x14ac:dyDescent="0.2">
      <c r="A819" s="1">
        <v>32803</v>
      </c>
      <c r="B819" s="1" t="str">
        <v>2020-03-06</v>
      </c>
      <c r="C819" s="1">
        <v>2.9382000000000001</v>
      </c>
      <c r="F819" s="8">
        <f t="shared" si="36"/>
        <v>32803</v>
      </c>
      <c r="G819" s="9">
        <f t="shared" si="37"/>
        <v>43896</v>
      </c>
      <c r="H819" s="10">
        <f t="shared" si="38"/>
        <v>2.9382000000000001</v>
      </c>
    </row>
    <row r="820" spans="1:8" x14ac:dyDescent="0.2">
      <c r="A820" s="1">
        <v>191</v>
      </c>
      <c r="B820" s="1" t="str">
        <v>2020-03-06</v>
      </c>
      <c r="C820" s="1">
        <v>3.1640999999999999</v>
      </c>
      <c r="F820" s="8">
        <f t="shared" si="36"/>
        <v>191</v>
      </c>
      <c r="G820" s="9">
        <f t="shared" si="37"/>
        <v>43896</v>
      </c>
      <c r="H820" s="10">
        <f t="shared" si="38"/>
        <v>3.1640999999999999</v>
      </c>
    </row>
    <row r="821" spans="1:8" x14ac:dyDescent="0.2">
      <c r="A821" s="1">
        <v>33103</v>
      </c>
      <c r="B821" s="1" t="str">
        <v>2020-03-06</v>
      </c>
      <c r="C821" s="1">
        <v>3.9413</v>
      </c>
      <c r="F821" s="8">
        <f t="shared" si="36"/>
        <v>33103</v>
      </c>
      <c r="G821" s="9">
        <f t="shared" si="37"/>
        <v>43896</v>
      </c>
      <c r="H821" s="10">
        <f t="shared" si="38"/>
        <v>3.9413</v>
      </c>
    </row>
    <row r="822" spans="1:8" x14ac:dyDescent="0.2">
      <c r="A822" s="1">
        <v>102</v>
      </c>
      <c r="B822" s="1" t="str">
        <v>2020-03-06</v>
      </c>
      <c r="C822" s="1">
        <v>3.0821000000000001</v>
      </c>
      <c r="F822" s="8">
        <f t="shared" si="36"/>
        <v>102</v>
      </c>
      <c r="G822" s="9">
        <f t="shared" si="37"/>
        <v>43896</v>
      </c>
      <c r="H822" s="10">
        <f t="shared" si="38"/>
        <v>3.0821000000000001</v>
      </c>
    </row>
    <row r="823" spans="1:8" x14ac:dyDescent="0.2">
      <c r="A823" s="1">
        <v>78</v>
      </c>
      <c r="B823" s="1" t="str">
        <v>2020-03-06</v>
      </c>
      <c r="C823" s="1">
        <v>3.2982999999999998</v>
      </c>
      <c r="F823" s="8">
        <f t="shared" si="36"/>
        <v>78</v>
      </c>
      <c r="G823" s="9">
        <f t="shared" si="37"/>
        <v>43896</v>
      </c>
      <c r="H823" s="10">
        <f t="shared" si="38"/>
        <v>3.2982999999999998</v>
      </c>
    </row>
    <row r="824" spans="1:8" x14ac:dyDescent="0.2">
      <c r="A824" s="1">
        <v>32863</v>
      </c>
      <c r="B824" s="1" t="str">
        <v>2020-03-06</v>
      </c>
      <c r="C824" s="1">
        <v>2.8864000000000001</v>
      </c>
      <c r="F824" s="8">
        <f t="shared" si="36"/>
        <v>32863</v>
      </c>
      <c r="G824" s="9">
        <f t="shared" si="37"/>
        <v>43896</v>
      </c>
      <c r="H824" s="10">
        <f t="shared" si="38"/>
        <v>2.8864000000000001</v>
      </c>
    </row>
    <row r="825" spans="1:8" x14ac:dyDescent="0.2">
      <c r="A825" s="1">
        <v>2250</v>
      </c>
      <c r="B825" s="1" t="str">
        <v>2020-03-06</v>
      </c>
      <c r="C825" s="1">
        <v>2.8456000000000001</v>
      </c>
      <c r="F825" s="8">
        <f t="shared" si="36"/>
        <v>2250</v>
      </c>
      <c r="G825" s="9">
        <f t="shared" si="37"/>
        <v>43896</v>
      </c>
      <c r="H825" s="10">
        <f t="shared" si="38"/>
        <v>2.8456000000000001</v>
      </c>
    </row>
    <row r="826" spans="1:8" x14ac:dyDescent="0.2">
      <c r="A826" s="1">
        <v>156</v>
      </c>
      <c r="B826" s="1" t="str">
        <v>2020-03-06</v>
      </c>
      <c r="C826" s="1">
        <v>3.3088000000000002</v>
      </c>
      <c r="F826" s="8">
        <f t="shared" si="36"/>
        <v>156</v>
      </c>
      <c r="G826" s="9">
        <f t="shared" si="37"/>
        <v>43896</v>
      </c>
      <c r="H826" s="10">
        <f t="shared" si="38"/>
        <v>3.3088000000000002</v>
      </c>
    </row>
    <row r="827" spans="1:8" x14ac:dyDescent="0.2">
      <c r="A827" s="1">
        <v>177</v>
      </c>
      <c r="B827" s="1" t="str">
        <v>2020-03-06</v>
      </c>
      <c r="C827" s="1">
        <v>3.3184999999999998</v>
      </c>
      <c r="F827" s="8">
        <f t="shared" si="36"/>
        <v>177</v>
      </c>
      <c r="G827" s="9">
        <f t="shared" si="37"/>
        <v>43896</v>
      </c>
      <c r="H827" s="10">
        <f t="shared" si="38"/>
        <v>3.3184999999999998</v>
      </c>
    </row>
    <row r="828" spans="1:8" x14ac:dyDescent="0.2">
      <c r="A828" s="1">
        <v>49</v>
      </c>
      <c r="B828" s="1" t="str">
        <v>2020-03-06</v>
      </c>
      <c r="C828" s="1">
        <v>2.8151000000000002</v>
      </c>
      <c r="F828" s="8">
        <f t="shared" si="36"/>
        <v>49</v>
      </c>
      <c r="G828" s="9">
        <f t="shared" si="37"/>
        <v>43896</v>
      </c>
      <c r="H828" s="10">
        <f t="shared" si="38"/>
        <v>2.8151000000000002</v>
      </c>
    </row>
    <row r="829" spans="1:8" x14ac:dyDescent="0.2">
      <c r="A829" s="1">
        <v>32583</v>
      </c>
      <c r="B829" s="1" t="str">
        <v>2020-03-06</v>
      </c>
      <c r="C829" s="1">
        <v>3.05</v>
      </c>
      <c r="F829" s="8">
        <f t="shared" si="36"/>
        <v>32583</v>
      </c>
      <c r="G829" s="9">
        <f t="shared" si="37"/>
        <v>43896</v>
      </c>
      <c r="H829" s="10">
        <f t="shared" si="38"/>
        <v>3.05</v>
      </c>
    </row>
    <row r="830" spans="1:8" x14ac:dyDescent="0.2">
      <c r="A830" s="1">
        <v>176</v>
      </c>
      <c r="B830" s="1" t="str">
        <v>2020-03-09</v>
      </c>
      <c r="C830" s="1">
        <v>3.1231</v>
      </c>
      <c r="F830" s="8">
        <f t="shared" si="36"/>
        <v>176</v>
      </c>
      <c r="G830" s="9">
        <f t="shared" si="37"/>
        <v>43899</v>
      </c>
      <c r="H830" s="10">
        <f t="shared" si="38"/>
        <v>3.1231</v>
      </c>
    </row>
    <row r="831" spans="1:8" x14ac:dyDescent="0.2">
      <c r="A831" s="1">
        <v>10</v>
      </c>
      <c r="B831" s="1" t="str">
        <v>2020-03-09</v>
      </c>
      <c r="C831" s="1">
        <v>3.2158000000000002</v>
      </c>
      <c r="F831" s="8">
        <f t="shared" si="36"/>
        <v>10</v>
      </c>
      <c r="G831" s="9">
        <f t="shared" si="37"/>
        <v>43899</v>
      </c>
      <c r="H831" s="10">
        <f t="shared" si="38"/>
        <v>3.2158000000000002</v>
      </c>
    </row>
    <row r="832" spans="1:8" x14ac:dyDescent="0.2">
      <c r="A832" s="1">
        <v>90</v>
      </c>
      <c r="B832" s="1" t="str">
        <v>2020-03-09</v>
      </c>
      <c r="C832" s="1">
        <v>3.298</v>
      </c>
      <c r="F832" s="8">
        <f t="shared" si="36"/>
        <v>90</v>
      </c>
      <c r="G832" s="9">
        <f t="shared" si="37"/>
        <v>43899</v>
      </c>
      <c r="H832" s="10">
        <f t="shared" si="38"/>
        <v>3.298</v>
      </c>
    </row>
    <row r="833" spans="1:8" x14ac:dyDescent="0.2">
      <c r="A833" s="1">
        <v>94</v>
      </c>
      <c r="B833" s="1" t="str">
        <v>2020-03-09</v>
      </c>
      <c r="C833" s="1">
        <v>3.35</v>
      </c>
      <c r="F833" s="8">
        <f t="shared" si="36"/>
        <v>94</v>
      </c>
      <c r="G833" s="9">
        <f t="shared" si="37"/>
        <v>43899</v>
      </c>
      <c r="H833" s="10">
        <f t="shared" si="38"/>
        <v>3.35</v>
      </c>
    </row>
    <row r="834" spans="1:8" x14ac:dyDescent="0.2">
      <c r="A834" s="1">
        <v>32360</v>
      </c>
      <c r="B834" s="1" t="str">
        <v>2020-03-09</v>
      </c>
      <c r="C834" s="1">
        <v>2.7534999999999998</v>
      </c>
      <c r="F834" s="8">
        <f t="shared" si="36"/>
        <v>32360</v>
      </c>
      <c r="G834" s="9">
        <f t="shared" si="37"/>
        <v>43899</v>
      </c>
      <c r="H834" s="10">
        <f t="shared" si="38"/>
        <v>2.7534999999999998</v>
      </c>
    </row>
    <row r="835" spans="1:8" x14ac:dyDescent="0.2">
      <c r="A835" s="1">
        <v>33023</v>
      </c>
      <c r="B835" s="1" t="str">
        <v>2020-03-09</v>
      </c>
      <c r="C835" s="1">
        <v>3</v>
      </c>
      <c r="F835" s="8">
        <f t="shared" si="36"/>
        <v>33023</v>
      </c>
      <c r="G835" s="9">
        <f t="shared" si="37"/>
        <v>43899</v>
      </c>
      <c r="H835" s="10">
        <f t="shared" si="38"/>
        <v>3</v>
      </c>
    </row>
    <row r="836" spans="1:8" x14ac:dyDescent="0.2">
      <c r="A836" s="1">
        <v>32724</v>
      </c>
      <c r="B836" s="1" t="str">
        <v>2020-03-09</v>
      </c>
      <c r="C836" s="1">
        <v>2.9178999999999999</v>
      </c>
      <c r="F836" s="8">
        <f t="shared" si="36"/>
        <v>32724</v>
      </c>
      <c r="G836" s="9">
        <f t="shared" si="37"/>
        <v>43899</v>
      </c>
      <c r="H836" s="10">
        <f t="shared" si="38"/>
        <v>2.9178999999999999</v>
      </c>
    </row>
    <row r="837" spans="1:8" x14ac:dyDescent="0.2">
      <c r="A837" s="1">
        <v>53</v>
      </c>
      <c r="B837" s="1" t="str">
        <v>2020-03-09</v>
      </c>
      <c r="C837" s="1">
        <v>3.1844999999999999</v>
      </c>
      <c r="F837" s="8">
        <f t="shared" si="36"/>
        <v>53</v>
      </c>
      <c r="G837" s="9">
        <f t="shared" si="37"/>
        <v>43899</v>
      </c>
      <c r="H837" s="10">
        <f t="shared" si="38"/>
        <v>3.1844999999999999</v>
      </c>
    </row>
    <row r="838" spans="1:8" x14ac:dyDescent="0.2">
      <c r="A838" s="1">
        <v>32421</v>
      </c>
      <c r="B838" s="1" t="str">
        <v>2020-03-09</v>
      </c>
      <c r="C838" s="1">
        <v>3.0293000000000001</v>
      </c>
      <c r="F838" s="8">
        <f t="shared" si="36"/>
        <v>32421</v>
      </c>
      <c r="G838" s="9">
        <f t="shared" si="37"/>
        <v>43899</v>
      </c>
      <c r="H838" s="10">
        <f t="shared" si="38"/>
        <v>3.0293000000000001</v>
      </c>
    </row>
    <row r="839" spans="1:8" x14ac:dyDescent="0.2">
      <c r="A839" s="1">
        <v>157</v>
      </c>
      <c r="B839" s="1" t="str">
        <v>2020-03-09</v>
      </c>
      <c r="C839" s="1">
        <v>3.3</v>
      </c>
      <c r="F839" s="8">
        <f t="shared" si="36"/>
        <v>157</v>
      </c>
      <c r="G839" s="9">
        <f t="shared" si="37"/>
        <v>43899</v>
      </c>
      <c r="H839" s="10">
        <f t="shared" si="38"/>
        <v>3.3</v>
      </c>
    </row>
    <row r="840" spans="1:8" x14ac:dyDescent="0.2">
      <c r="A840" s="1">
        <v>132</v>
      </c>
      <c r="B840" s="1" t="str">
        <v>2020-03-09</v>
      </c>
      <c r="C840" s="1">
        <v>2.6614</v>
      </c>
      <c r="F840" s="8">
        <f t="shared" si="36"/>
        <v>132</v>
      </c>
      <c r="G840" s="9">
        <f t="shared" si="37"/>
        <v>43899</v>
      </c>
      <c r="H840" s="10">
        <f t="shared" si="38"/>
        <v>2.6614</v>
      </c>
    </row>
    <row r="841" spans="1:8" x14ac:dyDescent="0.2">
      <c r="A841" s="1">
        <v>147</v>
      </c>
      <c r="B841" s="1" t="str">
        <v>2020-03-09</v>
      </c>
      <c r="C841" s="1">
        <v>2.4567000000000001</v>
      </c>
      <c r="F841" s="8">
        <f t="shared" ref="F841:F904" si="39">A841</f>
        <v>147</v>
      </c>
      <c r="G841" s="9">
        <f t="shared" ref="G841:G904" si="40">DATE(LEFT(B841,4),MID(B841,6,2),RIGHT(B841,2))</f>
        <v>43899</v>
      </c>
      <c r="H841" s="10">
        <f t="shared" ref="H841:H904" si="41">C841</f>
        <v>2.4567000000000001</v>
      </c>
    </row>
    <row r="842" spans="1:8" x14ac:dyDescent="0.2">
      <c r="A842" s="1">
        <v>33125</v>
      </c>
      <c r="B842" s="1" t="str">
        <v>2020-03-09</v>
      </c>
      <c r="C842" s="1">
        <v>2.5689000000000002</v>
      </c>
      <c r="F842" s="8">
        <f t="shared" si="39"/>
        <v>33125</v>
      </c>
      <c r="G842" s="9">
        <f t="shared" si="40"/>
        <v>43899</v>
      </c>
      <c r="H842" s="10">
        <f t="shared" si="41"/>
        <v>2.5689000000000002</v>
      </c>
    </row>
    <row r="843" spans="1:8" x14ac:dyDescent="0.2">
      <c r="A843" s="1">
        <v>32081</v>
      </c>
      <c r="B843" s="1" t="str">
        <v>2020-03-09</v>
      </c>
      <c r="C843" s="1">
        <v>2.4666999999999999</v>
      </c>
      <c r="F843" s="8">
        <f t="shared" si="39"/>
        <v>32081</v>
      </c>
      <c r="G843" s="9">
        <f t="shared" si="40"/>
        <v>43899</v>
      </c>
      <c r="H843" s="10">
        <f t="shared" si="41"/>
        <v>2.4666999999999999</v>
      </c>
    </row>
    <row r="844" spans="1:8" x14ac:dyDescent="0.2">
      <c r="A844" s="1">
        <v>32401</v>
      </c>
      <c r="B844" s="1" t="str">
        <v>2020-03-10</v>
      </c>
      <c r="C844" s="1">
        <v>3.5041000000000002</v>
      </c>
      <c r="F844" s="8">
        <f t="shared" si="39"/>
        <v>32401</v>
      </c>
      <c r="G844" s="9">
        <f t="shared" si="40"/>
        <v>43900</v>
      </c>
      <c r="H844" s="10">
        <f t="shared" si="41"/>
        <v>3.5041000000000002</v>
      </c>
    </row>
    <row r="845" spans="1:8" x14ac:dyDescent="0.2">
      <c r="A845" s="1">
        <v>2250</v>
      </c>
      <c r="B845" s="1" t="str">
        <v>2020-03-10</v>
      </c>
      <c r="C845" s="1">
        <v>2.5994000000000002</v>
      </c>
      <c r="F845" s="8">
        <f t="shared" si="39"/>
        <v>2250</v>
      </c>
      <c r="G845" s="9">
        <f t="shared" si="40"/>
        <v>43900</v>
      </c>
      <c r="H845" s="10">
        <f t="shared" si="41"/>
        <v>2.5994000000000002</v>
      </c>
    </row>
    <row r="846" spans="1:8" x14ac:dyDescent="0.2">
      <c r="A846" s="1">
        <v>178</v>
      </c>
      <c r="B846" s="1" t="str">
        <v>2020-03-10</v>
      </c>
      <c r="C846" s="1">
        <v>3.2644000000000002</v>
      </c>
      <c r="F846" s="8">
        <f t="shared" si="39"/>
        <v>178</v>
      </c>
      <c r="G846" s="9">
        <f t="shared" si="40"/>
        <v>43900</v>
      </c>
      <c r="H846" s="10">
        <f t="shared" si="41"/>
        <v>3.2644000000000002</v>
      </c>
    </row>
    <row r="847" spans="1:8" x14ac:dyDescent="0.2">
      <c r="A847" s="1">
        <v>32521</v>
      </c>
      <c r="B847" s="1" t="str">
        <v>2020-03-10</v>
      </c>
      <c r="C847" s="1">
        <v>3.7</v>
      </c>
      <c r="F847" s="8">
        <f t="shared" si="39"/>
        <v>32521</v>
      </c>
      <c r="G847" s="9">
        <f t="shared" si="40"/>
        <v>43900</v>
      </c>
      <c r="H847" s="10">
        <f t="shared" si="41"/>
        <v>3.7</v>
      </c>
    </row>
    <row r="848" spans="1:8" x14ac:dyDescent="0.2">
      <c r="A848" s="1">
        <v>49</v>
      </c>
      <c r="B848" s="1" t="str">
        <v>2020-03-10</v>
      </c>
      <c r="C848" s="1">
        <v>2.8151000000000002</v>
      </c>
      <c r="F848" s="8">
        <f t="shared" si="39"/>
        <v>49</v>
      </c>
      <c r="G848" s="9">
        <f t="shared" si="40"/>
        <v>43900</v>
      </c>
      <c r="H848" s="10">
        <f t="shared" si="41"/>
        <v>2.8151000000000002</v>
      </c>
    </row>
    <row r="849" spans="1:8" x14ac:dyDescent="0.2">
      <c r="A849" s="1">
        <v>32502</v>
      </c>
      <c r="B849" s="1" t="str">
        <v>2020-03-10</v>
      </c>
      <c r="C849" s="1">
        <v>3.0409999999999999</v>
      </c>
      <c r="F849" s="8">
        <f t="shared" si="39"/>
        <v>32502</v>
      </c>
      <c r="G849" s="9">
        <f t="shared" si="40"/>
        <v>43900</v>
      </c>
      <c r="H849" s="10">
        <f t="shared" si="41"/>
        <v>3.0409999999999999</v>
      </c>
    </row>
    <row r="850" spans="1:8" x14ac:dyDescent="0.2">
      <c r="A850" s="1">
        <v>32360</v>
      </c>
      <c r="B850" s="1" t="str">
        <v>2020-03-11</v>
      </c>
      <c r="C850" s="1">
        <v>2.5922000000000001</v>
      </c>
      <c r="F850" s="8">
        <f t="shared" si="39"/>
        <v>32360</v>
      </c>
      <c r="G850" s="9">
        <f t="shared" si="40"/>
        <v>43901</v>
      </c>
      <c r="H850" s="10">
        <f t="shared" si="41"/>
        <v>2.5922000000000001</v>
      </c>
    </row>
    <row r="851" spans="1:8" x14ac:dyDescent="0.2">
      <c r="A851" s="1">
        <v>139</v>
      </c>
      <c r="B851" s="1" t="str">
        <v>2020-03-11</v>
      </c>
      <c r="C851" s="1">
        <v>3.2052999999999998</v>
      </c>
      <c r="F851" s="8">
        <f t="shared" si="39"/>
        <v>139</v>
      </c>
      <c r="G851" s="9">
        <f t="shared" si="40"/>
        <v>43901</v>
      </c>
      <c r="H851" s="10">
        <f t="shared" si="41"/>
        <v>3.2052999999999998</v>
      </c>
    </row>
    <row r="852" spans="1:8" x14ac:dyDescent="0.2">
      <c r="A852" s="1">
        <v>132</v>
      </c>
      <c r="B852" s="1" t="str">
        <v>2020-03-11</v>
      </c>
      <c r="C852" s="1">
        <v>2.6922000000000001</v>
      </c>
      <c r="F852" s="8">
        <f t="shared" si="39"/>
        <v>132</v>
      </c>
      <c r="G852" s="9">
        <f t="shared" si="40"/>
        <v>43901</v>
      </c>
      <c r="H852" s="10">
        <f t="shared" si="41"/>
        <v>2.6922000000000001</v>
      </c>
    </row>
    <row r="853" spans="1:8" x14ac:dyDescent="0.2">
      <c r="A853" s="1">
        <v>32121</v>
      </c>
      <c r="B853" s="1" t="str">
        <v>2020-03-11</v>
      </c>
      <c r="C853" s="1">
        <v>2.7734999999999999</v>
      </c>
      <c r="F853" s="8">
        <f t="shared" si="39"/>
        <v>32121</v>
      </c>
      <c r="G853" s="9">
        <f t="shared" si="40"/>
        <v>43901</v>
      </c>
      <c r="H853" s="10">
        <f t="shared" si="41"/>
        <v>2.7734999999999999</v>
      </c>
    </row>
    <row r="854" spans="1:8" x14ac:dyDescent="0.2">
      <c r="A854" s="1">
        <v>32923</v>
      </c>
      <c r="B854" s="1" t="str">
        <v>2020-03-11</v>
      </c>
      <c r="C854" s="1">
        <v>3.794</v>
      </c>
      <c r="F854" s="8">
        <f t="shared" si="39"/>
        <v>32923</v>
      </c>
      <c r="G854" s="9">
        <f t="shared" si="40"/>
        <v>43901</v>
      </c>
      <c r="H854" s="10">
        <f t="shared" si="41"/>
        <v>3.794</v>
      </c>
    </row>
    <row r="855" spans="1:8" x14ac:dyDescent="0.2">
      <c r="A855" s="1">
        <v>23250</v>
      </c>
      <c r="B855" s="1" t="str">
        <v>2020-03-11</v>
      </c>
      <c r="C855" s="1">
        <v>2.9998999999999998</v>
      </c>
      <c r="F855" s="8">
        <f t="shared" si="39"/>
        <v>23250</v>
      </c>
      <c r="G855" s="9">
        <f t="shared" si="40"/>
        <v>43901</v>
      </c>
      <c r="H855" s="10">
        <f t="shared" si="41"/>
        <v>2.9998999999999998</v>
      </c>
    </row>
    <row r="856" spans="1:8" x14ac:dyDescent="0.2">
      <c r="A856" s="1">
        <v>33023</v>
      </c>
      <c r="B856" s="1" t="str">
        <v>2020-03-11</v>
      </c>
      <c r="C856" s="1">
        <v>3</v>
      </c>
      <c r="F856" s="8">
        <f t="shared" si="39"/>
        <v>33023</v>
      </c>
      <c r="G856" s="9">
        <f t="shared" si="40"/>
        <v>43901</v>
      </c>
      <c r="H856" s="10">
        <f t="shared" si="41"/>
        <v>3</v>
      </c>
    </row>
    <row r="857" spans="1:8" x14ac:dyDescent="0.2">
      <c r="A857" s="1">
        <v>32340</v>
      </c>
      <c r="B857" s="1" t="str">
        <v>2020-03-11</v>
      </c>
      <c r="C857" s="1">
        <v>3.0406</v>
      </c>
      <c r="F857" s="8">
        <f t="shared" si="39"/>
        <v>32340</v>
      </c>
      <c r="G857" s="9">
        <f t="shared" si="40"/>
        <v>43901</v>
      </c>
      <c r="H857" s="10">
        <f t="shared" si="41"/>
        <v>3.0406</v>
      </c>
    </row>
    <row r="858" spans="1:8" x14ac:dyDescent="0.2">
      <c r="A858" s="1">
        <v>32081</v>
      </c>
      <c r="B858" s="1" t="str">
        <v>2020-03-11</v>
      </c>
      <c r="C858" s="1">
        <v>2.4771000000000001</v>
      </c>
      <c r="F858" s="8">
        <f t="shared" si="39"/>
        <v>32081</v>
      </c>
      <c r="G858" s="9">
        <f t="shared" si="40"/>
        <v>43901</v>
      </c>
      <c r="H858" s="10">
        <f t="shared" si="41"/>
        <v>2.4771000000000001</v>
      </c>
    </row>
    <row r="859" spans="1:8" x14ac:dyDescent="0.2">
      <c r="A859" s="1">
        <v>147</v>
      </c>
      <c r="B859" s="1" t="str">
        <v>2020-03-11</v>
      </c>
      <c r="C859" s="1">
        <v>2.5589</v>
      </c>
      <c r="F859" s="8">
        <f t="shared" si="39"/>
        <v>147</v>
      </c>
      <c r="G859" s="9">
        <f t="shared" si="40"/>
        <v>43901</v>
      </c>
      <c r="H859" s="10">
        <f t="shared" si="41"/>
        <v>2.5589</v>
      </c>
    </row>
    <row r="860" spans="1:8" x14ac:dyDescent="0.2">
      <c r="A860" s="1">
        <v>32</v>
      </c>
      <c r="B860" s="1" t="str">
        <v>2020-03-11</v>
      </c>
      <c r="C860" s="1">
        <v>3.4788999999999999</v>
      </c>
      <c r="F860" s="8">
        <f t="shared" si="39"/>
        <v>32</v>
      </c>
      <c r="G860" s="9">
        <f t="shared" si="40"/>
        <v>43901</v>
      </c>
      <c r="H860" s="10">
        <f t="shared" si="41"/>
        <v>3.4788999999999999</v>
      </c>
    </row>
    <row r="861" spans="1:8" x14ac:dyDescent="0.2">
      <c r="A861" s="1">
        <v>32803</v>
      </c>
      <c r="B861" s="1" t="str">
        <v>2020-03-11</v>
      </c>
      <c r="C861" s="1">
        <v>2.7124999999999999</v>
      </c>
      <c r="F861" s="8">
        <f t="shared" si="39"/>
        <v>32803</v>
      </c>
      <c r="G861" s="9">
        <f t="shared" si="40"/>
        <v>43901</v>
      </c>
      <c r="H861" s="10">
        <f t="shared" si="41"/>
        <v>2.7124999999999999</v>
      </c>
    </row>
    <row r="862" spans="1:8" x14ac:dyDescent="0.2">
      <c r="A862" s="1">
        <v>72</v>
      </c>
      <c r="B862" s="1" t="str">
        <v>2020-03-11</v>
      </c>
      <c r="C862" s="1">
        <v>3.0306999999999999</v>
      </c>
      <c r="F862" s="8">
        <f t="shared" si="39"/>
        <v>72</v>
      </c>
      <c r="G862" s="9">
        <f t="shared" si="40"/>
        <v>43901</v>
      </c>
      <c r="H862" s="10">
        <f t="shared" si="41"/>
        <v>3.0306999999999999</v>
      </c>
    </row>
    <row r="863" spans="1:8" x14ac:dyDescent="0.2">
      <c r="A863" s="1">
        <v>33103</v>
      </c>
      <c r="B863" s="1" t="str">
        <v>2020-03-11</v>
      </c>
      <c r="C863" s="1">
        <v>3.9466999999999999</v>
      </c>
      <c r="F863" s="8">
        <f t="shared" si="39"/>
        <v>33103</v>
      </c>
      <c r="G863" s="9">
        <f t="shared" si="40"/>
        <v>43901</v>
      </c>
      <c r="H863" s="10">
        <f t="shared" si="41"/>
        <v>3.9466999999999999</v>
      </c>
    </row>
    <row r="864" spans="1:8" x14ac:dyDescent="0.2">
      <c r="A864" s="1">
        <v>32040</v>
      </c>
      <c r="B864" s="1" t="str">
        <v>2020-03-11</v>
      </c>
      <c r="C864" s="1">
        <v>3.0091000000000001</v>
      </c>
      <c r="F864" s="8">
        <f t="shared" si="39"/>
        <v>32040</v>
      </c>
      <c r="G864" s="9">
        <f t="shared" si="40"/>
        <v>43901</v>
      </c>
      <c r="H864" s="10">
        <f t="shared" si="41"/>
        <v>3.0091000000000001</v>
      </c>
    </row>
    <row r="865" spans="1:8" x14ac:dyDescent="0.2">
      <c r="A865" s="1">
        <v>49</v>
      </c>
      <c r="B865" s="1" t="str">
        <v>2020-03-11</v>
      </c>
      <c r="C865" s="1">
        <v>2.9590000000000001</v>
      </c>
      <c r="F865" s="8">
        <f t="shared" si="39"/>
        <v>49</v>
      </c>
      <c r="G865" s="9">
        <f t="shared" si="40"/>
        <v>43901</v>
      </c>
      <c r="H865" s="10">
        <f t="shared" si="41"/>
        <v>2.9590000000000001</v>
      </c>
    </row>
    <row r="866" spans="1:8" x14ac:dyDescent="0.2">
      <c r="A866" s="1">
        <v>187</v>
      </c>
      <c r="B866" s="1" t="str">
        <v>2020-03-11</v>
      </c>
      <c r="C866" s="1">
        <v>2.7635000000000001</v>
      </c>
      <c r="F866" s="8">
        <f t="shared" si="39"/>
        <v>187</v>
      </c>
      <c r="G866" s="9">
        <f t="shared" si="40"/>
        <v>43901</v>
      </c>
      <c r="H866" s="10">
        <f t="shared" si="41"/>
        <v>2.7635000000000001</v>
      </c>
    </row>
    <row r="867" spans="1:8" x14ac:dyDescent="0.2">
      <c r="A867" s="1">
        <v>8</v>
      </c>
      <c r="B867" s="1" t="str">
        <v>2020-03-11</v>
      </c>
      <c r="C867" s="1">
        <v>3.3189000000000002</v>
      </c>
      <c r="F867" s="8">
        <f t="shared" si="39"/>
        <v>8</v>
      </c>
      <c r="G867" s="9">
        <f t="shared" si="40"/>
        <v>43901</v>
      </c>
      <c r="H867" s="10">
        <f t="shared" si="41"/>
        <v>3.3189000000000002</v>
      </c>
    </row>
    <row r="868" spans="1:8" x14ac:dyDescent="0.2">
      <c r="A868" s="1">
        <v>32843</v>
      </c>
      <c r="B868" s="1" t="str">
        <v>2020-03-12</v>
      </c>
      <c r="C868" s="1">
        <v>2.9483999999999999</v>
      </c>
      <c r="F868" s="8">
        <f t="shared" si="39"/>
        <v>32843</v>
      </c>
      <c r="G868" s="9">
        <f t="shared" si="40"/>
        <v>43902</v>
      </c>
      <c r="H868" s="10">
        <f t="shared" si="41"/>
        <v>2.9483999999999999</v>
      </c>
    </row>
    <row r="869" spans="1:8" x14ac:dyDescent="0.2">
      <c r="A869" s="1">
        <v>90</v>
      </c>
      <c r="B869" s="1" t="str">
        <v>2020-03-12</v>
      </c>
      <c r="C869" s="1">
        <v>3.4117999999999999</v>
      </c>
      <c r="F869" s="8">
        <f t="shared" si="39"/>
        <v>90</v>
      </c>
      <c r="G869" s="9">
        <f t="shared" si="40"/>
        <v>43902</v>
      </c>
      <c r="H869" s="10">
        <f t="shared" si="41"/>
        <v>3.4117999999999999</v>
      </c>
    </row>
    <row r="870" spans="1:8" x14ac:dyDescent="0.2">
      <c r="A870" s="1">
        <v>67</v>
      </c>
      <c r="B870" s="1" t="str">
        <v>2020-03-12</v>
      </c>
      <c r="C870" s="1">
        <v>3.2980999999999998</v>
      </c>
      <c r="F870" s="8">
        <f t="shared" si="39"/>
        <v>67</v>
      </c>
      <c r="G870" s="9">
        <f t="shared" si="40"/>
        <v>43902</v>
      </c>
      <c r="H870" s="10">
        <f t="shared" si="41"/>
        <v>3.2980999999999998</v>
      </c>
    </row>
    <row r="871" spans="1:8" x14ac:dyDescent="0.2">
      <c r="A871" s="1">
        <v>30350</v>
      </c>
      <c r="B871" s="1" t="str">
        <v>2020-03-12</v>
      </c>
      <c r="C871" s="1">
        <v>3.4013</v>
      </c>
      <c r="F871" s="8">
        <f t="shared" si="39"/>
        <v>30350</v>
      </c>
      <c r="G871" s="9">
        <f t="shared" si="40"/>
        <v>43902</v>
      </c>
      <c r="H871" s="10">
        <f t="shared" si="41"/>
        <v>3.4013</v>
      </c>
    </row>
    <row r="872" spans="1:8" x14ac:dyDescent="0.2">
      <c r="A872" s="1">
        <v>191</v>
      </c>
      <c r="B872" s="1" t="str">
        <v>2020-03-12</v>
      </c>
      <c r="C872" s="1">
        <v>3.0918000000000001</v>
      </c>
      <c r="F872" s="8">
        <f t="shared" si="39"/>
        <v>191</v>
      </c>
      <c r="G872" s="9">
        <f t="shared" si="40"/>
        <v>43902</v>
      </c>
      <c r="H872" s="10">
        <f t="shared" si="41"/>
        <v>3.0918000000000001</v>
      </c>
    </row>
    <row r="873" spans="1:8" x14ac:dyDescent="0.2">
      <c r="A873" s="1">
        <v>30400</v>
      </c>
      <c r="B873" s="1" t="str">
        <v>2020-03-12</v>
      </c>
      <c r="C873" s="1">
        <v>3.2155999999999998</v>
      </c>
      <c r="F873" s="8">
        <f t="shared" si="39"/>
        <v>30400</v>
      </c>
      <c r="G873" s="9">
        <f t="shared" si="40"/>
        <v>43902</v>
      </c>
      <c r="H873" s="10">
        <f t="shared" si="41"/>
        <v>3.2155999999999998</v>
      </c>
    </row>
    <row r="874" spans="1:8" x14ac:dyDescent="0.2">
      <c r="A874" s="1">
        <v>250</v>
      </c>
      <c r="B874" s="1" t="str">
        <v>2020-03-12</v>
      </c>
      <c r="C874" s="1">
        <v>3.2778999999999998</v>
      </c>
      <c r="F874" s="8">
        <f t="shared" si="39"/>
        <v>250</v>
      </c>
      <c r="G874" s="9">
        <f t="shared" si="40"/>
        <v>43902</v>
      </c>
      <c r="H874" s="10">
        <f t="shared" si="41"/>
        <v>3.2778999999999998</v>
      </c>
    </row>
    <row r="875" spans="1:8" x14ac:dyDescent="0.2">
      <c r="A875" s="1">
        <v>32380</v>
      </c>
      <c r="B875" s="1" t="str">
        <v>2020-03-12</v>
      </c>
      <c r="C875" s="1">
        <v>3.2818999999999998</v>
      </c>
      <c r="F875" s="8">
        <f t="shared" si="39"/>
        <v>32380</v>
      </c>
      <c r="G875" s="9">
        <f t="shared" si="40"/>
        <v>43902</v>
      </c>
      <c r="H875" s="10">
        <f t="shared" si="41"/>
        <v>3.2818999999999998</v>
      </c>
    </row>
    <row r="876" spans="1:8" x14ac:dyDescent="0.2">
      <c r="A876" s="1">
        <v>32724</v>
      </c>
      <c r="B876" s="1" t="str">
        <v>2020-03-12</v>
      </c>
      <c r="C876" s="1">
        <v>3.0617999999999999</v>
      </c>
      <c r="F876" s="8">
        <f t="shared" si="39"/>
        <v>32724</v>
      </c>
      <c r="G876" s="9">
        <f t="shared" si="40"/>
        <v>43902</v>
      </c>
      <c r="H876" s="10">
        <f t="shared" si="41"/>
        <v>3.0617999999999999</v>
      </c>
    </row>
    <row r="877" spans="1:8" x14ac:dyDescent="0.2">
      <c r="A877" s="1">
        <v>83</v>
      </c>
      <c r="B877" s="1" t="str">
        <v>2020-03-12</v>
      </c>
      <c r="C877" s="1">
        <v>3.1027</v>
      </c>
      <c r="F877" s="8">
        <f t="shared" si="39"/>
        <v>83</v>
      </c>
      <c r="G877" s="9">
        <f t="shared" si="40"/>
        <v>43902</v>
      </c>
      <c r="H877" s="10">
        <f t="shared" si="41"/>
        <v>3.1027</v>
      </c>
    </row>
    <row r="878" spans="1:8" x14ac:dyDescent="0.2">
      <c r="A878" s="1">
        <v>32803</v>
      </c>
      <c r="B878" s="1" t="str">
        <v>2020-03-12</v>
      </c>
      <c r="C878" s="1">
        <v>2.5179999999999998</v>
      </c>
      <c r="F878" s="8">
        <f t="shared" si="39"/>
        <v>32803</v>
      </c>
      <c r="G878" s="9">
        <f t="shared" si="40"/>
        <v>43902</v>
      </c>
      <c r="H878" s="10">
        <f t="shared" si="41"/>
        <v>2.5179999999999998</v>
      </c>
    </row>
    <row r="879" spans="1:8" x14ac:dyDescent="0.2">
      <c r="A879" s="1">
        <v>30300</v>
      </c>
      <c r="B879" s="1" t="str">
        <v>2020-03-12</v>
      </c>
      <c r="C879" s="1">
        <v>3.3010999999999999</v>
      </c>
      <c r="F879" s="8">
        <f t="shared" si="39"/>
        <v>30300</v>
      </c>
      <c r="G879" s="9">
        <f t="shared" si="40"/>
        <v>43902</v>
      </c>
      <c r="H879" s="10">
        <f t="shared" si="41"/>
        <v>3.3010999999999999</v>
      </c>
    </row>
    <row r="880" spans="1:8" x14ac:dyDescent="0.2">
      <c r="A880" s="1">
        <v>176</v>
      </c>
      <c r="B880" s="1" t="str">
        <v>2020-03-13</v>
      </c>
      <c r="C880" s="1">
        <v>3.4220000000000002</v>
      </c>
      <c r="F880" s="8">
        <f t="shared" si="39"/>
        <v>176</v>
      </c>
      <c r="G880" s="9">
        <f t="shared" si="40"/>
        <v>43903</v>
      </c>
      <c r="H880" s="10">
        <f t="shared" si="41"/>
        <v>3.4220000000000002</v>
      </c>
    </row>
    <row r="881" spans="1:8" x14ac:dyDescent="0.2">
      <c r="A881" s="1">
        <v>32401</v>
      </c>
      <c r="B881" s="1" t="str">
        <v>2020-03-13</v>
      </c>
      <c r="C881" s="1">
        <v>3.5249000000000001</v>
      </c>
      <c r="F881" s="8">
        <f t="shared" si="39"/>
        <v>32401</v>
      </c>
      <c r="G881" s="9">
        <f t="shared" si="40"/>
        <v>43903</v>
      </c>
      <c r="H881" s="10">
        <f t="shared" si="41"/>
        <v>3.5249000000000001</v>
      </c>
    </row>
    <row r="882" spans="1:8" x14ac:dyDescent="0.2">
      <c r="A882" s="1">
        <v>187</v>
      </c>
      <c r="B882" s="1" t="str">
        <v>2020-03-13</v>
      </c>
      <c r="C882" s="1">
        <v>3.0102000000000002</v>
      </c>
      <c r="F882" s="8">
        <f t="shared" si="39"/>
        <v>187</v>
      </c>
      <c r="G882" s="9">
        <f t="shared" si="40"/>
        <v>43903</v>
      </c>
      <c r="H882" s="10">
        <f t="shared" si="41"/>
        <v>3.0102000000000002</v>
      </c>
    </row>
    <row r="883" spans="1:8" x14ac:dyDescent="0.2">
      <c r="A883" s="1">
        <v>30300</v>
      </c>
      <c r="B883" s="1" t="str">
        <v>2020-03-13</v>
      </c>
      <c r="C883" s="1">
        <v>3.226</v>
      </c>
      <c r="F883" s="8">
        <f t="shared" si="39"/>
        <v>30300</v>
      </c>
      <c r="G883" s="9">
        <f t="shared" si="40"/>
        <v>43903</v>
      </c>
      <c r="H883" s="10">
        <f t="shared" si="41"/>
        <v>3.226</v>
      </c>
    </row>
    <row r="884" spans="1:8" x14ac:dyDescent="0.2">
      <c r="A884" s="1">
        <v>32783</v>
      </c>
      <c r="B884" s="1" t="str">
        <v>2020-03-13</v>
      </c>
      <c r="C884" s="1">
        <v>3.3494999999999999</v>
      </c>
      <c r="F884" s="8">
        <f t="shared" si="39"/>
        <v>32783</v>
      </c>
      <c r="G884" s="9">
        <f t="shared" si="40"/>
        <v>43903</v>
      </c>
      <c r="H884" s="10">
        <f t="shared" si="41"/>
        <v>3.3494999999999999</v>
      </c>
    </row>
    <row r="885" spans="1:8" x14ac:dyDescent="0.2">
      <c r="A885" s="1">
        <v>171</v>
      </c>
      <c r="B885" s="1" t="str">
        <v>2020-03-13</v>
      </c>
      <c r="C885" s="1">
        <v>2.6305000000000001</v>
      </c>
      <c r="F885" s="8">
        <f t="shared" si="39"/>
        <v>171</v>
      </c>
      <c r="G885" s="9">
        <f t="shared" si="40"/>
        <v>43903</v>
      </c>
      <c r="H885" s="10">
        <f t="shared" si="41"/>
        <v>2.6305000000000001</v>
      </c>
    </row>
    <row r="886" spans="1:8" x14ac:dyDescent="0.2">
      <c r="A886" s="1">
        <v>67</v>
      </c>
      <c r="B886" s="1" t="str">
        <v>2020-03-13</v>
      </c>
      <c r="C886" s="1">
        <v>3.0507</v>
      </c>
      <c r="F886" s="8">
        <f t="shared" si="39"/>
        <v>67</v>
      </c>
      <c r="G886" s="9">
        <f t="shared" si="40"/>
        <v>43903</v>
      </c>
      <c r="H886" s="10">
        <f t="shared" si="41"/>
        <v>3.0507</v>
      </c>
    </row>
    <row r="887" spans="1:8" x14ac:dyDescent="0.2">
      <c r="A887" s="1">
        <v>16</v>
      </c>
      <c r="B887" s="1" t="str">
        <v>2020-03-13</v>
      </c>
      <c r="C887" s="1">
        <v>3.3393999999999999</v>
      </c>
      <c r="F887" s="8">
        <f t="shared" si="39"/>
        <v>16</v>
      </c>
      <c r="G887" s="9">
        <f t="shared" si="40"/>
        <v>43903</v>
      </c>
      <c r="H887" s="10">
        <f t="shared" si="41"/>
        <v>3.3393999999999999</v>
      </c>
    </row>
    <row r="888" spans="1:8" x14ac:dyDescent="0.2">
      <c r="A888" s="1">
        <v>1</v>
      </c>
      <c r="B888" s="1" t="str">
        <v>2020-03-13</v>
      </c>
      <c r="C888" s="1">
        <v>3.2056</v>
      </c>
      <c r="F888" s="8">
        <f t="shared" si="39"/>
        <v>1</v>
      </c>
      <c r="G888" s="9">
        <f t="shared" si="40"/>
        <v>43903</v>
      </c>
      <c r="H888" s="10">
        <f t="shared" si="41"/>
        <v>3.2056</v>
      </c>
    </row>
    <row r="889" spans="1:8" x14ac:dyDescent="0.2">
      <c r="A889" s="1">
        <v>13250</v>
      </c>
      <c r="B889" s="1" t="str">
        <v>2020-03-13</v>
      </c>
      <c r="C889" s="1">
        <v>2.5282</v>
      </c>
      <c r="F889" s="8">
        <f t="shared" si="39"/>
        <v>13250</v>
      </c>
      <c r="G889" s="9">
        <f t="shared" si="40"/>
        <v>43903</v>
      </c>
      <c r="H889" s="10">
        <f t="shared" si="41"/>
        <v>2.5282</v>
      </c>
    </row>
    <row r="890" spans="1:8" x14ac:dyDescent="0.2">
      <c r="A890" s="1">
        <v>72</v>
      </c>
      <c r="B890" s="1" t="str">
        <v>2020-03-13</v>
      </c>
      <c r="C890" s="1">
        <v>3.1027</v>
      </c>
      <c r="F890" s="8">
        <f t="shared" si="39"/>
        <v>72</v>
      </c>
      <c r="G890" s="9">
        <f t="shared" si="40"/>
        <v>43903</v>
      </c>
      <c r="H890" s="10">
        <f t="shared" si="41"/>
        <v>3.1027</v>
      </c>
    </row>
    <row r="891" spans="1:8" x14ac:dyDescent="0.2">
      <c r="A891" s="1">
        <v>55</v>
      </c>
      <c r="B891" s="1" t="str">
        <v>2020-03-13</v>
      </c>
      <c r="C891" s="1">
        <v>2.7845</v>
      </c>
      <c r="F891" s="8">
        <f t="shared" si="39"/>
        <v>55</v>
      </c>
      <c r="G891" s="9">
        <f t="shared" si="40"/>
        <v>43903</v>
      </c>
      <c r="H891" s="10">
        <f t="shared" si="41"/>
        <v>2.7845</v>
      </c>
    </row>
    <row r="892" spans="1:8" x14ac:dyDescent="0.2">
      <c r="A892" s="1">
        <v>196</v>
      </c>
      <c r="B892" s="1" t="str">
        <v>2020-03-13</v>
      </c>
      <c r="C892" s="1">
        <v>2.5895000000000001</v>
      </c>
      <c r="F892" s="8">
        <f t="shared" si="39"/>
        <v>196</v>
      </c>
      <c r="G892" s="9">
        <f t="shared" si="40"/>
        <v>43903</v>
      </c>
      <c r="H892" s="10">
        <f t="shared" si="41"/>
        <v>2.5895000000000001</v>
      </c>
    </row>
    <row r="893" spans="1:8" x14ac:dyDescent="0.2">
      <c r="A893" s="1">
        <v>150</v>
      </c>
      <c r="B893" s="1" t="str">
        <v>2020-03-13</v>
      </c>
      <c r="C893" s="1">
        <v>3.5943000000000001</v>
      </c>
      <c r="F893" s="8">
        <f t="shared" si="39"/>
        <v>150</v>
      </c>
      <c r="G893" s="9">
        <f t="shared" si="40"/>
        <v>43903</v>
      </c>
      <c r="H893" s="10">
        <f t="shared" si="41"/>
        <v>3.5943000000000001</v>
      </c>
    </row>
    <row r="894" spans="1:8" x14ac:dyDescent="0.2">
      <c r="A894" s="1">
        <v>37</v>
      </c>
      <c r="B894" s="1" t="str">
        <v>2020-03-13</v>
      </c>
      <c r="C894" s="1">
        <v>3.5972</v>
      </c>
      <c r="F894" s="8">
        <f t="shared" si="39"/>
        <v>37</v>
      </c>
      <c r="G894" s="9">
        <f t="shared" si="40"/>
        <v>43903</v>
      </c>
      <c r="H894" s="10">
        <f t="shared" si="41"/>
        <v>3.5972</v>
      </c>
    </row>
    <row r="895" spans="1:8" x14ac:dyDescent="0.2">
      <c r="A895" s="1">
        <v>33130</v>
      </c>
      <c r="B895" s="1" t="str">
        <v>2020-03-13</v>
      </c>
      <c r="C895" s="1">
        <v>2.7431999999999999</v>
      </c>
      <c r="F895" s="8">
        <f t="shared" si="39"/>
        <v>33130</v>
      </c>
      <c r="G895" s="9">
        <f t="shared" si="40"/>
        <v>43903</v>
      </c>
      <c r="H895" s="10">
        <f t="shared" si="41"/>
        <v>2.7431999999999999</v>
      </c>
    </row>
    <row r="896" spans="1:8" x14ac:dyDescent="0.2">
      <c r="A896" s="1">
        <v>33129</v>
      </c>
      <c r="B896" s="1" t="str">
        <v>2020-03-13</v>
      </c>
      <c r="C896" s="1">
        <v>2.6714000000000002</v>
      </c>
      <c r="F896" s="8">
        <f t="shared" si="39"/>
        <v>33129</v>
      </c>
      <c r="G896" s="9">
        <f t="shared" si="40"/>
        <v>43903</v>
      </c>
      <c r="H896" s="10">
        <f t="shared" si="41"/>
        <v>2.6714000000000002</v>
      </c>
    </row>
    <row r="897" spans="1:8" x14ac:dyDescent="0.2">
      <c r="A897" s="1">
        <v>109</v>
      </c>
      <c r="B897" s="1" t="str">
        <v>2020-03-13</v>
      </c>
      <c r="C897" s="1">
        <v>2.9693999999999998</v>
      </c>
      <c r="F897" s="8">
        <f t="shared" si="39"/>
        <v>109</v>
      </c>
      <c r="G897" s="9">
        <f t="shared" si="40"/>
        <v>43903</v>
      </c>
      <c r="H897" s="10">
        <f t="shared" si="41"/>
        <v>2.9693999999999998</v>
      </c>
    </row>
    <row r="898" spans="1:8" x14ac:dyDescent="0.2">
      <c r="A898" s="1">
        <v>32500</v>
      </c>
      <c r="B898" s="1" t="str">
        <v>2020-03-13</v>
      </c>
      <c r="C898" s="1">
        <v>2.8972000000000002</v>
      </c>
      <c r="F898" s="8">
        <f t="shared" si="39"/>
        <v>32500</v>
      </c>
      <c r="G898" s="9">
        <f t="shared" si="40"/>
        <v>43903</v>
      </c>
      <c r="H898" s="10">
        <f t="shared" si="41"/>
        <v>2.8972000000000002</v>
      </c>
    </row>
    <row r="899" spans="1:8" x14ac:dyDescent="0.2">
      <c r="A899" s="1">
        <v>9250</v>
      </c>
      <c r="B899" s="1" t="str">
        <v>2020-03-13</v>
      </c>
      <c r="C899" s="1">
        <v>3.04</v>
      </c>
      <c r="F899" s="8">
        <f t="shared" si="39"/>
        <v>9250</v>
      </c>
      <c r="G899" s="9">
        <f t="shared" si="40"/>
        <v>43903</v>
      </c>
      <c r="H899" s="10">
        <f t="shared" si="41"/>
        <v>3.04</v>
      </c>
    </row>
    <row r="900" spans="1:8" x14ac:dyDescent="0.2">
      <c r="A900" s="1">
        <v>99</v>
      </c>
      <c r="B900" s="1" t="str">
        <v>2020-03-13</v>
      </c>
      <c r="C900" s="1">
        <v>3.6080000000000001</v>
      </c>
      <c r="F900" s="8">
        <f t="shared" si="39"/>
        <v>99</v>
      </c>
      <c r="G900" s="9">
        <f t="shared" si="40"/>
        <v>43903</v>
      </c>
      <c r="H900" s="10">
        <f t="shared" si="41"/>
        <v>3.6080000000000001</v>
      </c>
    </row>
    <row r="901" spans="1:8" x14ac:dyDescent="0.2">
      <c r="A901" s="1">
        <v>24</v>
      </c>
      <c r="B901" s="1" t="str">
        <v>2020-03-13</v>
      </c>
      <c r="C901" s="1">
        <v>3.2471000000000001</v>
      </c>
      <c r="F901" s="8">
        <f t="shared" si="39"/>
        <v>24</v>
      </c>
      <c r="G901" s="9">
        <f t="shared" si="40"/>
        <v>43903</v>
      </c>
      <c r="H901" s="10">
        <f t="shared" si="41"/>
        <v>3.2471000000000001</v>
      </c>
    </row>
    <row r="902" spans="1:8" x14ac:dyDescent="0.2">
      <c r="A902" s="1">
        <v>24250</v>
      </c>
      <c r="B902" s="1" t="str">
        <v>2020-03-13</v>
      </c>
      <c r="C902" s="1">
        <v>3.0202</v>
      </c>
      <c r="F902" s="8">
        <f t="shared" si="39"/>
        <v>24250</v>
      </c>
      <c r="G902" s="9">
        <f t="shared" si="40"/>
        <v>43903</v>
      </c>
      <c r="H902" s="10">
        <f t="shared" si="41"/>
        <v>3.0202</v>
      </c>
    </row>
    <row r="903" spans="1:8" x14ac:dyDescent="0.2">
      <c r="A903" s="1">
        <v>32180</v>
      </c>
      <c r="B903" s="1" t="str">
        <v>2020-03-13</v>
      </c>
      <c r="C903" s="1">
        <v>2.3986999999999998</v>
      </c>
      <c r="F903" s="8">
        <f t="shared" si="39"/>
        <v>32180</v>
      </c>
      <c r="G903" s="9">
        <f t="shared" si="40"/>
        <v>43903</v>
      </c>
      <c r="H903" s="10">
        <f t="shared" si="41"/>
        <v>2.3986999999999998</v>
      </c>
    </row>
    <row r="904" spans="1:8" x14ac:dyDescent="0.2">
      <c r="A904" s="1">
        <v>34</v>
      </c>
      <c r="B904" s="1" t="str">
        <v>2020-03-13</v>
      </c>
      <c r="C904" s="1">
        <v>2.8767999999999998</v>
      </c>
      <c r="F904" s="8">
        <f t="shared" si="39"/>
        <v>34</v>
      </c>
      <c r="G904" s="9">
        <f t="shared" si="40"/>
        <v>43903</v>
      </c>
      <c r="H904" s="10">
        <f t="shared" si="41"/>
        <v>2.8767999999999998</v>
      </c>
    </row>
    <row r="905" spans="1:8" x14ac:dyDescent="0.2">
      <c r="A905" s="1">
        <v>102</v>
      </c>
      <c r="B905" s="1" t="str">
        <v>2020-03-13</v>
      </c>
      <c r="C905" s="1">
        <v>3.0716999999999999</v>
      </c>
      <c r="F905" s="8">
        <f t="shared" ref="F905:F968" si="42">A905</f>
        <v>102</v>
      </c>
      <c r="G905" s="9">
        <f t="shared" ref="G905:G968" si="43">DATE(LEFT(B905,4),MID(B905,6,2),RIGHT(B905,2))</f>
        <v>43903</v>
      </c>
      <c r="H905" s="10">
        <f t="shared" ref="H905:H968" si="44">C905</f>
        <v>3.0716999999999999</v>
      </c>
    </row>
    <row r="906" spans="1:8" x14ac:dyDescent="0.2">
      <c r="A906" s="1">
        <v>30400</v>
      </c>
      <c r="B906" s="1" t="str">
        <v>2020-03-13</v>
      </c>
      <c r="C906" s="1">
        <v>2.4872999999999998</v>
      </c>
      <c r="F906" s="8">
        <f t="shared" si="42"/>
        <v>30400</v>
      </c>
      <c r="G906" s="9">
        <f t="shared" si="43"/>
        <v>43903</v>
      </c>
      <c r="H906" s="10">
        <f t="shared" si="44"/>
        <v>2.4872999999999998</v>
      </c>
    </row>
    <row r="907" spans="1:8" x14ac:dyDescent="0.2">
      <c r="A907" s="1">
        <v>32360</v>
      </c>
      <c r="B907" s="1" t="str">
        <v>2020-03-13</v>
      </c>
      <c r="C907" s="1">
        <v>2.4121999999999999</v>
      </c>
      <c r="F907" s="8">
        <f t="shared" si="42"/>
        <v>32360</v>
      </c>
      <c r="G907" s="9">
        <f t="shared" si="43"/>
        <v>43903</v>
      </c>
      <c r="H907" s="10">
        <f t="shared" si="44"/>
        <v>2.4121999999999999</v>
      </c>
    </row>
    <row r="908" spans="1:8" x14ac:dyDescent="0.2">
      <c r="A908" s="1">
        <v>32883</v>
      </c>
      <c r="B908" s="1" t="str">
        <v>2020-03-13</v>
      </c>
      <c r="C908" s="1">
        <v>3.04</v>
      </c>
      <c r="F908" s="8">
        <f t="shared" si="42"/>
        <v>32883</v>
      </c>
      <c r="G908" s="9">
        <f t="shared" si="43"/>
        <v>43903</v>
      </c>
      <c r="H908" s="10">
        <f t="shared" si="44"/>
        <v>3.04</v>
      </c>
    </row>
    <row r="909" spans="1:8" x14ac:dyDescent="0.2">
      <c r="A909" s="1">
        <v>98</v>
      </c>
      <c r="B909" s="1" t="str">
        <v>2020-03-13</v>
      </c>
      <c r="C909" s="1">
        <v>3.2258</v>
      </c>
      <c r="F909" s="8">
        <f t="shared" si="42"/>
        <v>98</v>
      </c>
      <c r="G909" s="9">
        <f t="shared" si="43"/>
        <v>43903</v>
      </c>
      <c r="H909" s="10">
        <f t="shared" si="44"/>
        <v>3.2258</v>
      </c>
    </row>
    <row r="910" spans="1:8" x14ac:dyDescent="0.2">
      <c r="A910" s="1">
        <v>32260</v>
      </c>
      <c r="B910" s="1" t="str">
        <v>2020-03-13</v>
      </c>
      <c r="C910" s="1">
        <v>3.2978999999999998</v>
      </c>
      <c r="F910" s="8">
        <f t="shared" si="42"/>
        <v>32260</v>
      </c>
      <c r="G910" s="9">
        <f t="shared" si="43"/>
        <v>43903</v>
      </c>
      <c r="H910" s="10">
        <f t="shared" si="44"/>
        <v>3.2978999999999998</v>
      </c>
    </row>
    <row r="911" spans="1:8" x14ac:dyDescent="0.2">
      <c r="A911" s="1">
        <v>110</v>
      </c>
      <c r="B911" s="1" t="str">
        <v>2020-03-13</v>
      </c>
      <c r="C911" s="1">
        <v>3.1</v>
      </c>
      <c r="F911" s="8">
        <f t="shared" si="42"/>
        <v>110</v>
      </c>
      <c r="G911" s="9">
        <f t="shared" si="43"/>
        <v>43903</v>
      </c>
      <c r="H911" s="10">
        <f t="shared" si="44"/>
        <v>3.1</v>
      </c>
    </row>
    <row r="912" spans="1:8" x14ac:dyDescent="0.2">
      <c r="A912" s="1">
        <v>147</v>
      </c>
      <c r="B912" s="1" t="str">
        <v>2020-03-13</v>
      </c>
      <c r="C912" s="1">
        <v>2.9586000000000001</v>
      </c>
      <c r="F912" s="8">
        <f t="shared" si="42"/>
        <v>147</v>
      </c>
      <c r="G912" s="9">
        <f t="shared" si="43"/>
        <v>43903</v>
      </c>
      <c r="H912" s="10">
        <f t="shared" si="44"/>
        <v>2.9586000000000001</v>
      </c>
    </row>
    <row r="913" spans="1:8" x14ac:dyDescent="0.2">
      <c r="A913" s="1">
        <v>49</v>
      </c>
      <c r="B913" s="1" t="str">
        <v>2020-03-13</v>
      </c>
      <c r="C913" s="1">
        <v>2.9076</v>
      </c>
      <c r="F913" s="8">
        <f t="shared" si="42"/>
        <v>49</v>
      </c>
      <c r="G913" s="9">
        <f t="shared" si="43"/>
        <v>43903</v>
      </c>
      <c r="H913" s="10">
        <f t="shared" si="44"/>
        <v>2.9076</v>
      </c>
    </row>
    <row r="914" spans="1:8" x14ac:dyDescent="0.2">
      <c r="A914" s="1">
        <v>32583</v>
      </c>
      <c r="B914" s="1" t="str">
        <v>2020-03-13</v>
      </c>
      <c r="C914" s="1">
        <v>2.7</v>
      </c>
      <c r="F914" s="8">
        <f t="shared" si="42"/>
        <v>32583</v>
      </c>
      <c r="G914" s="9">
        <f t="shared" si="43"/>
        <v>43903</v>
      </c>
      <c r="H914" s="10">
        <f t="shared" si="44"/>
        <v>2.7</v>
      </c>
    </row>
    <row r="915" spans="1:8" x14ac:dyDescent="0.2">
      <c r="A915" s="1">
        <v>32863</v>
      </c>
      <c r="B915" s="1" t="str">
        <v>2020-03-13</v>
      </c>
      <c r="C915" s="1">
        <v>2.5377000000000001</v>
      </c>
      <c r="F915" s="8">
        <f t="shared" si="42"/>
        <v>32863</v>
      </c>
      <c r="G915" s="9">
        <f t="shared" si="43"/>
        <v>43903</v>
      </c>
      <c r="H915" s="10">
        <f t="shared" si="44"/>
        <v>2.5377000000000001</v>
      </c>
    </row>
    <row r="916" spans="1:8" x14ac:dyDescent="0.2">
      <c r="A916" s="1">
        <v>32603</v>
      </c>
      <c r="B916" s="1" t="str">
        <v>2020-03-13</v>
      </c>
      <c r="C916" s="1">
        <v>2.9382000000000001</v>
      </c>
      <c r="F916" s="8">
        <f t="shared" si="42"/>
        <v>32603</v>
      </c>
      <c r="G916" s="9">
        <f t="shared" si="43"/>
        <v>43903</v>
      </c>
      <c r="H916" s="10">
        <f t="shared" si="44"/>
        <v>2.9382000000000001</v>
      </c>
    </row>
    <row r="917" spans="1:8" x14ac:dyDescent="0.2">
      <c r="A917" s="1">
        <v>32340</v>
      </c>
      <c r="B917" s="1" t="str">
        <v>2020-03-13</v>
      </c>
      <c r="C917" s="1">
        <v>2.9891999999999999</v>
      </c>
      <c r="F917" s="8">
        <f t="shared" si="42"/>
        <v>32340</v>
      </c>
      <c r="G917" s="9">
        <f t="shared" si="43"/>
        <v>43903</v>
      </c>
      <c r="H917" s="10">
        <f t="shared" si="44"/>
        <v>2.9891999999999999</v>
      </c>
    </row>
    <row r="918" spans="1:8" x14ac:dyDescent="0.2">
      <c r="A918" s="1">
        <v>32121</v>
      </c>
      <c r="B918" s="1" t="str">
        <v>2020-03-13</v>
      </c>
      <c r="C918" s="1">
        <v>2.7530000000000001</v>
      </c>
      <c r="F918" s="8">
        <f t="shared" si="42"/>
        <v>32121</v>
      </c>
      <c r="G918" s="9">
        <f t="shared" si="43"/>
        <v>43903</v>
      </c>
      <c r="H918" s="10">
        <f t="shared" si="44"/>
        <v>2.7530000000000001</v>
      </c>
    </row>
    <row r="919" spans="1:8" x14ac:dyDescent="0.2">
      <c r="A919" s="1">
        <v>32560</v>
      </c>
      <c r="B919" s="1" t="str">
        <v>2020-03-13</v>
      </c>
      <c r="C919" s="1">
        <v>2.9586999999999999</v>
      </c>
      <c r="F919" s="8">
        <f t="shared" si="42"/>
        <v>32560</v>
      </c>
      <c r="G919" s="9">
        <f t="shared" si="43"/>
        <v>43903</v>
      </c>
      <c r="H919" s="10">
        <f t="shared" si="44"/>
        <v>2.9586999999999999</v>
      </c>
    </row>
    <row r="920" spans="1:8" x14ac:dyDescent="0.2">
      <c r="A920" s="1">
        <v>31</v>
      </c>
      <c r="B920" s="1" t="str">
        <v>2020-03-13</v>
      </c>
      <c r="C920" s="1">
        <v>2.9</v>
      </c>
      <c r="F920" s="8">
        <f t="shared" si="42"/>
        <v>31</v>
      </c>
      <c r="G920" s="9">
        <f t="shared" si="43"/>
        <v>43903</v>
      </c>
      <c r="H920" s="10">
        <f t="shared" si="44"/>
        <v>2.9</v>
      </c>
    </row>
    <row r="921" spans="1:8" x14ac:dyDescent="0.2">
      <c r="A921" s="1">
        <v>32081</v>
      </c>
      <c r="B921" s="1" t="str">
        <v>2020-03-13</v>
      </c>
      <c r="C921" s="1">
        <v>2.5998000000000001</v>
      </c>
      <c r="F921" s="8">
        <f t="shared" si="42"/>
        <v>32081</v>
      </c>
      <c r="G921" s="9">
        <f t="shared" si="43"/>
        <v>43903</v>
      </c>
      <c r="H921" s="10">
        <f t="shared" si="44"/>
        <v>2.5998000000000001</v>
      </c>
    </row>
    <row r="922" spans="1:8" x14ac:dyDescent="0.2">
      <c r="A922" s="1">
        <v>139</v>
      </c>
      <c r="B922" s="1" t="str">
        <v>2020-03-13</v>
      </c>
      <c r="C922" s="1">
        <v>3.2982</v>
      </c>
      <c r="F922" s="8">
        <f t="shared" si="42"/>
        <v>139</v>
      </c>
      <c r="G922" s="9">
        <f t="shared" si="43"/>
        <v>43903</v>
      </c>
      <c r="H922" s="10">
        <f t="shared" si="44"/>
        <v>3.2982</v>
      </c>
    </row>
    <row r="923" spans="1:8" x14ac:dyDescent="0.2">
      <c r="A923" s="1">
        <v>136</v>
      </c>
      <c r="B923" s="1" t="str">
        <v>2020-03-13</v>
      </c>
      <c r="C923" s="1">
        <v>2.9277000000000002</v>
      </c>
      <c r="F923" s="8">
        <f t="shared" si="42"/>
        <v>136</v>
      </c>
      <c r="G923" s="9">
        <f t="shared" si="43"/>
        <v>43903</v>
      </c>
      <c r="H923" s="10">
        <f t="shared" si="44"/>
        <v>2.9277000000000002</v>
      </c>
    </row>
    <row r="924" spans="1:8" x14ac:dyDescent="0.2">
      <c r="A924" s="1">
        <v>90</v>
      </c>
      <c r="B924" s="1" t="str">
        <v>2020-03-13</v>
      </c>
      <c r="C924" s="1">
        <v>3.4426999999999999</v>
      </c>
      <c r="F924" s="8">
        <f t="shared" si="42"/>
        <v>90</v>
      </c>
      <c r="G924" s="9">
        <f t="shared" si="43"/>
        <v>43903</v>
      </c>
      <c r="H924" s="10">
        <f t="shared" si="44"/>
        <v>3.4426999999999999</v>
      </c>
    </row>
    <row r="925" spans="1:8" x14ac:dyDescent="0.2">
      <c r="A925" s="1">
        <v>33125</v>
      </c>
      <c r="B925" s="1" t="str">
        <v>2020-03-13</v>
      </c>
      <c r="C925" s="1">
        <v>2.7429000000000001</v>
      </c>
      <c r="F925" s="8">
        <f t="shared" si="42"/>
        <v>33125</v>
      </c>
      <c r="G925" s="9">
        <f t="shared" si="43"/>
        <v>43903</v>
      </c>
      <c r="H925" s="10">
        <f t="shared" si="44"/>
        <v>2.7429000000000001</v>
      </c>
    </row>
    <row r="926" spans="1:8" x14ac:dyDescent="0.2">
      <c r="A926" s="1">
        <v>78</v>
      </c>
      <c r="B926" s="1" t="str">
        <v>2020-03-13</v>
      </c>
      <c r="C926" s="1">
        <v>3.113</v>
      </c>
      <c r="F926" s="8">
        <f t="shared" si="42"/>
        <v>78</v>
      </c>
      <c r="G926" s="9">
        <f t="shared" si="43"/>
        <v>43903</v>
      </c>
      <c r="H926" s="10">
        <f t="shared" si="44"/>
        <v>3.113</v>
      </c>
    </row>
    <row r="927" spans="1:8" x14ac:dyDescent="0.2">
      <c r="A927" s="1">
        <v>32</v>
      </c>
      <c r="B927" s="1" t="str">
        <v>2020-03-13</v>
      </c>
      <c r="C927" s="1">
        <v>3.4788999999999999</v>
      </c>
      <c r="F927" s="8">
        <f t="shared" si="42"/>
        <v>32</v>
      </c>
      <c r="G927" s="9">
        <f t="shared" si="43"/>
        <v>43903</v>
      </c>
      <c r="H927" s="10">
        <f t="shared" si="44"/>
        <v>3.4788999999999999</v>
      </c>
    </row>
    <row r="928" spans="1:8" x14ac:dyDescent="0.2">
      <c r="A928" s="1">
        <v>146</v>
      </c>
      <c r="B928" s="1" t="str">
        <v>2020-03-13</v>
      </c>
      <c r="C928" s="1">
        <v>2.9382999999999999</v>
      </c>
      <c r="F928" s="8">
        <f t="shared" si="42"/>
        <v>146</v>
      </c>
      <c r="G928" s="9">
        <f t="shared" si="43"/>
        <v>43903</v>
      </c>
      <c r="H928" s="10">
        <f t="shared" si="44"/>
        <v>2.9382999999999999</v>
      </c>
    </row>
    <row r="929" spans="1:8" x14ac:dyDescent="0.2">
      <c r="A929" s="1">
        <v>32582</v>
      </c>
      <c r="B929" s="1" t="str">
        <v>2020-03-13</v>
      </c>
      <c r="C929" s="1">
        <v>2.62</v>
      </c>
      <c r="F929" s="8">
        <f t="shared" si="42"/>
        <v>32582</v>
      </c>
      <c r="G929" s="9">
        <f t="shared" si="43"/>
        <v>43903</v>
      </c>
      <c r="H929" s="10">
        <f t="shared" si="44"/>
        <v>2.62</v>
      </c>
    </row>
    <row r="930" spans="1:8" x14ac:dyDescent="0.2">
      <c r="A930" s="1">
        <v>101</v>
      </c>
      <c r="B930" s="1" t="str">
        <v>2020-03-13</v>
      </c>
      <c r="C930" s="1">
        <v>3.0411000000000001</v>
      </c>
      <c r="F930" s="8">
        <f t="shared" si="42"/>
        <v>101</v>
      </c>
      <c r="G930" s="9">
        <f t="shared" si="43"/>
        <v>43903</v>
      </c>
      <c r="H930" s="10">
        <f t="shared" si="44"/>
        <v>3.0411000000000001</v>
      </c>
    </row>
    <row r="931" spans="1:8" x14ac:dyDescent="0.2">
      <c r="A931" s="1">
        <v>156</v>
      </c>
      <c r="B931" s="1" t="str">
        <v>2020-03-13</v>
      </c>
      <c r="C931" s="1">
        <v>3.2366999999999999</v>
      </c>
      <c r="F931" s="8">
        <f t="shared" si="42"/>
        <v>156</v>
      </c>
      <c r="G931" s="9">
        <f t="shared" si="43"/>
        <v>43903</v>
      </c>
      <c r="H931" s="10">
        <f t="shared" si="44"/>
        <v>3.2366999999999999</v>
      </c>
    </row>
    <row r="932" spans="1:8" x14ac:dyDescent="0.2">
      <c r="A932" s="1">
        <v>30250</v>
      </c>
      <c r="B932" s="1" t="str">
        <v>2020-03-13</v>
      </c>
      <c r="C932" s="1">
        <v>2.7738</v>
      </c>
      <c r="F932" s="8">
        <f t="shared" si="42"/>
        <v>30250</v>
      </c>
      <c r="G932" s="9">
        <f t="shared" si="43"/>
        <v>43903</v>
      </c>
      <c r="H932" s="10">
        <f t="shared" si="44"/>
        <v>2.7738</v>
      </c>
    </row>
    <row r="933" spans="1:8" x14ac:dyDescent="0.2">
      <c r="A933" s="1">
        <v>20</v>
      </c>
      <c r="B933" s="1" t="str">
        <v>2020-03-13</v>
      </c>
      <c r="C933" s="1">
        <v>3.2984</v>
      </c>
      <c r="F933" s="8">
        <f t="shared" si="42"/>
        <v>20</v>
      </c>
      <c r="G933" s="9">
        <f t="shared" si="43"/>
        <v>43903</v>
      </c>
      <c r="H933" s="10">
        <f t="shared" si="44"/>
        <v>3.2984</v>
      </c>
    </row>
    <row r="934" spans="1:8" x14ac:dyDescent="0.2">
      <c r="A934" s="1">
        <v>59</v>
      </c>
      <c r="B934" s="1" t="str">
        <v>2020-03-13</v>
      </c>
      <c r="C934" s="1">
        <v>2.8355000000000001</v>
      </c>
      <c r="F934" s="8">
        <f t="shared" si="42"/>
        <v>59</v>
      </c>
      <c r="G934" s="9">
        <f t="shared" si="43"/>
        <v>43903</v>
      </c>
      <c r="H934" s="10">
        <f t="shared" si="44"/>
        <v>2.8355000000000001</v>
      </c>
    </row>
    <row r="935" spans="1:8" x14ac:dyDescent="0.2">
      <c r="A935" s="1">
        <v>2250</v>
      </c>
      <c r="B935" s="1" t="str">
        <v>2020-03-13</v>
      </c>
      <c r="C935" s="1">
        <v>2.5891999999999999</v>
      </c>
      <c r="F935" s="8">
        <f t="shared" si="42"/>
        <v>2250</v>
      </c>
      <c r="G935" s="9">
        <f t="shared" si="43"/>
        <v>43903</v>
      </c>
      <c r="H935" s="10">
        <f t="shared" si="44"/>
        <v>2.5891999999999999</v>
      </c>
    </row>
    <row r="936" spans="1:8" x14ac:dyDescent="0.2">
      <c r="A936" s="1">
        <v>10</v>
      </c>
      <c r="B936" s="1" t="str">
        <v>2020-03-13</v>
      </c>
      <c r="C936" s="1">
        <v>3.1230000000000002</v>
      </c>
      <c r="F936" s="8">
        <f t="shared" si="42"/>
        <v>10</v>
      </c>
      <c r="G936" s="9">
        <f t="shared" si="43"/>
        <v>43903</v>
      </c>
      <c r="H936" s="10">
        <f t="shared" si="44"/>
        <v>3.1230000000000002</v>
      </c>
    </row>
    <row r="937" spans="1:8" x14ac:dyDescent="0.2">
      <c r="A937" s="1">
        <v>143</v>
      </c>
      <c r="B937" s="1" t="str">
        <v>2020-03-13</v>
      </c>
      <c r="C937" s="1">
        <v>2.589</v>
      </c>
      <c r="F937" s="8">
        <f t="shared" si="42"/>
        <v>143</v>
      </c>
      <c r="G937" s="9">
        <f t="shared" si="43"/>
        <v>43903</v>
      </c>
      <c r="H937" s="10">
        <f t="shared" si="44"/>
        <v>2.589</v>
      </c>
    </row>
    <row r="938" spans="1:8" x14ac:dyDescent="0.2">
      <c r="A938" s="1">
        <v>32502</v>
      </c>
      <c r="B938" s="1" t="str">
        <v>2020-03-13</v>
      </c>
      <c r="C938" s="1">
        <v>2.9279999999999999</v>
      </c>
      <c r="F938" s="8">
        <f t="shared" si="42"/>
        <v>32502</v>
      </c>
      <c r="G938" s="9">
        <f t="shared" si="43"/>
        <v>43903</v>
      </c>
      <c r="H938" s="10">
        <f t="shared" si="44"/>
        <v>2.9279999999999999</v>
      </c>
    </row>
    <row r="939" spans="1:8" x14ac:dyDescent="0.2">
      <c r="A939" s="1">
        <v>53</v>
      </c>
      <c r="B939" s="1" t="str">
        <v>2020-03-16</v>
      </c>
      <c r="C939" s="1">
        <v>2.7738</v>
      </c>
      <c r="F939" s="8">
        <f t="shared" si="42"/>
        <v>53</v>
      </c>
      <c r="G939" s="9">
        <f t="shared" si="43"/>
        <v>43906</v>
      </c>
      <c r="H939" s="10">
        <f t="shared" si="44"/>
        <v>2.7738</v>
      </c>
    </row>
    <row r="940" spans="1:8" x14ac:dyDescent="0.2">
      <c r="A940" s="1">
        <v>32863</v>
      </c>
      <c r="B940" s="1" t="str">
        <v>2020-03-16</v>
      </c>
      <c r="C940" s="1">
        <v>2.4455</v>
      </c>
      <c r="F940" s="8">
        <f t="shared" si="42"/>
        <v>32863</v>
      </c>
      <c r="G940" s="9">
        <f t="shared" si="43"/>
        <v>43906</v>
      </c>
      <c r="H940" s="10">
        <f t="shared" si="44"/>
        <v>2.4455</v>
      </c>
    </row>
    <row r="941" spans="1:8" x14ac:dyDescent="0.2">
      <c r="A941" s="1">
        <v>81</v>
      </c>
      <c r="B941" s="1" t="str">
        <v>2020-03-16</v>
      </c>
      <c r="C941" s="1">
        <v>3.2467999999999999</v>
      </c>
      <c r="F941" s="8">
        <f t="shared" si="42"/>
        <v>81</v>
      </c>
      <c r="G941" s="9">
        <f t="shared" si="43"/>
        <v>43906</v>
      </c>
      <c r="H941" s="10">
        <f t="shared" si="44"/>
        <v>3.2467999999999999</v>
      </c>
    </row>
    <row r="942" spans="1:8" x14ac:dyDescent="0.2">
      <c r="A942" s="1">
        <v>32724</v>
      </c>
      <c r="B942" s="1" t="str">
        <v>2020-03-16</v>
      </c>
      <c r="C942" s="1">
        <v>3.2057000000000002</v>
      </c>
      <c r="F942" s="8">
        <f t="shared" si="42"/>
        <v>32724</v>
      </c>
      <c r="G942" s="9">
        <f t="shared" si="43"/>
        <v>43906</v>
      </c>
      <c r="H942" s="10">
        <f t="shared" si="44"/>
        <v>3.2057000000000002</v>
      </c>
    </row>
    <row r="943" spans="1:8" x14ac:dyDescent="0.2">
      <c r="A943" s="1">
        <v>150</v>
      </c>
      <c r="B943" s="1" t="str">
        <v>2020-03-16</v>
      </c>
      <c r="C943" s="1">
        <v>3.5943000000000001</v>
      </c>
      <c r="F943" s="8">
        <f t="shared" si="42"/>
        <v>150</v>
      </c>
      <c r="G943" s="9">
        <f t="shared" si="43"/>
        <v>43906</v>
      </c>
      <c r="H943" s="10">
        <f t="shared" si="44"/>
        <v>3.5943000000000001</v>
      </c>
    </row>
    <row r="944" spans="1:8" x14ac:dyDescent="0.2">
      <c r="A944" s="1">
        <v>32480</v>
      </c>
      <c r="B944" s="1" t="str">
        <v>2020-03-16</v>
      </c>
      <c r="C944" s="1">
        <v>2.6821000000000002</v>
      </c>
      <c r="F944" s="8">
        <f t="shared" si="42"/>
        <v>32480</v>
      </c>
      <c r="G944" s="9">
        <f t="shared" si="43"/>
        <v>43906</v>
      </c>
      <c r="H944" s="10">
        <f t="shared" si="44"/>
        <v>2.6821000000000002</v>
      </c>
    </row>
    <row r="945" spans="1:8" x14ac:dyDescent="0.2">
      <c r="A945" s="1">
        <v>178</v>
      </c>
      <c r="B945" s="1" t="str">
        <v>2020-03-16</v>
      </c>
      <c r="C945" s="1">
        <v>3.1753</v>
      </c>
      <c r="F945" s="8">
        <f t="shared" si="42"/>
        <v>178</v>
      </c>
      <c r="G945" s="9">
        <f t="shared" si="43"/>
        <v>43906</v>
      </c>
      <c r="H945" s="10">
        <f t="shared" si="44"/>
        <v>3.1753</v>
      </c>
    </row>
    <row r="946" spans="1:8" x14ac:dyDescent="0.2">
      <c r="A946" s="1">
        <v>32040</v>
      </c>
      <c r="B946" s="1" t="str">
        <v>2020-03-17</v>
      </c>
      <c r="C946" s="1">
        <v>2.9519000000000002</v>
      </c>
      <c r="F946" s="8">
        <f t="shared" si="42"/>
        <v>32040</v>
      </c>
      <c r="G946" s="9">
        <f t="shared" si="43"/>
        <v>43907</v>
      </c>
      <c r="H946" s="10">
        <f t="shared" si="44"/>
        <v>2.9519000000000002</v>
      </c>
    </row>
    <row r="947" spans="1:8" x14ac:dyDescent="0.2">
      <c r="A947" s="1">
        <v>32421</v>
      </c>
      <c r="B947" s="1" t="str">
        <v>2020-03-17</v>
      </c>
      <c r="C947" s="1">
        <v>2.9658000000000002</v>
      </c>
      <c r="F947" s="8">
        <f t="shared" si="42"/>
        <v>32421</v>
      </c>
      <c r="G947" s="9">
        <f t="shared" si="43"/>
        <v>43907</v>
      </c>
      <c r="H947" s="10">
        <f t="shared" si="44"/>
        <v>2.9658000000000002</v>
      </c>
    </row>
    <row r="948" spans="1:8" x14ac:dyDescent="0.2">
      <c r="A948" s="1">
        <v>32360</v>
      </c>
      <c r="B948" s="1" t="str">
        <v>2020-03-17</v>
      </c>
      <c r="C948" s="1">
        <v>2.4121999999999999</v>
      </c>
      <c r="F948" s="8">
        <f t="shared" si="42"/>
        <v>32360</v>
      </c>
      <c r="G948" s="9">
        <f t="shared" si="43"/>
        <v>43907</v>
      </c>
      <c r="H948" s="10">
        <f t="shared" si="44"/>
        <v>2.4121999999999999</v>
      </c>
    </row>
    <row r="949" spans="1:8" x14ac:dyDescent="0.2">
      <c r="A949" s="1">
        <v>49</v>
      </c>
      <c r="B949" s="1" t="str">
        <v>2020-03-17</v>
      </c>
      <c r="C949" s="1">
        <v>2.6406000000000001</v>
      </c>
      <c r="F949" s="8">
        <f t="shared" si="42"/>
        <v>49</v>
      </c>
      <c r="G949" s="9">
        <f t="shared" si="43"/>
        <v>43907</v>
      </c>
      <c r="H949" s="10">
        <f t="shared" si="44"/>
        <v>2.6406000000000001</v>
      </c>
    </row>
    <row r="950" spans="1:8" x14ac:dyDescent="0.2">
      <c r="A950" s="1">
        <v>115</v>
      </c>
      <c r="B950" s="1" t="str">
        <v>2020-03-17</v>
      </c>
      <c r="C950" s="1">
        <v>3.4630999999999998</v>
      </c>
      <c r="F950" s="8">
        <f t="shared" si="42"/>
        <v>115</v>
      </c>
      <c r="G950" s="9">
        <f t="shared" si="43"/>
        <v>43907</v>
      </c>
      <c r="H950" s="10">
        <f t="shared" si="44"/>
        <v>3.4630999999999998</v>
      </c>
    </row>
    <row r="951" spans="1:8" x14ac:dyDescent="0.2">
      <c r="A951" s="1">
        <v>32803</v>
      </c>
      <c r="B951" s="1" t="str">
        <v>2020-03-18</v>
      </c>
      <c r="C951" s="1">
        <v>2.2827999999999999</v>
      </c>
      <c r="F951" s="8">
        <f t="shared" si="42"/>
        <v>32803</v>
      </c>
      <c r="G951" s="9">
        <f t="shared" si="43"/>
        <v>43908</v>
      </c>
      <c r="H951" s="10">
        <f t="shared" si="44"/>
        <v>2.2827999999999999</v>
      </c>
    </row>
    <row r="952" spans="1:8" x14ac:dyDescent="0.2">
      <c r="A952" s="1">
        <v>32360</v>
      </c>
      <c r="B952" s="1" t="str">
        <v>2020-03-18</v>
      </c>
      <c r="C952" s="1">
        <v>2.4121999999999999</v>
      </c>
      <c r="F952" s="8">
        <f t="shared" si="42"/>
        <v>32360</v>
      </c>
      <c r="G952" s="9">
        <f t="shared" si="43"/>
        <v>43908</v>
      </c>
      <c r="H952" s="10">
        <f t="shared" si="44"/>
        <v>2.4121999999999999</v>
      </c>
    </row>
    <row r="953" spans="1:8" x14ac:dyDescent="0.2">
      <c r="A953" s="1">
        <v>77</v>
      </c>
      <c r="B953" s="1" t="str">
        <v>2020-03-18</v>
      </c>
      <c r="C953" s="1">
        <v>3.0615999999999999</v>
      </c>
      <c r="F953" s="8">
        <f t="shared" si="42"/>
        <v>77</v>
      </c>
      <c r="G953" s="9">
        <f t="shared" si="43"/>
        <v>43908</v>
      </c>
      <c r="H953" s="10">
        <f t="shared" si="44"/>
        <v>3.0615999999999999</v>
      </c>
    </row>
    <row r="954" spans="1:8" x14ac:dyDescent="0.2">
      <c r="A954" s="1">
        <v>83</v>
      </c>
      <c r="B954" s="1" t="str">
        <v>2020-03-18</v>
      </c>
      <c r="C954" s="1">
        <v>2.7021999999999999</v>
      </c>
      <c r="F954" s="8">
        <f t="shared" si="42"/>
        <v>83</v>
      </c>
      <c r="G954" s="9">
        <f t="shared" si="43"/>
        <v>43908</v>
      </c>
      <c r="H954" s="10">
        <f t="shared" si="44"/>
        <v>2.7021999999999999</v>
      </c>
    </row>
    <row r="955" spans="1:8" x14ac:dyDescent="0.2">
      <c r="A955" s="1">
        <v>33103</v>
      </c>
      <c r="B955" s="1" t="str">
        <v>2020-03-18</v>
      </c>
      <c r="C955" s="1">
        <v>3.9466999999999999</v>
      </c>
      <c r="F955" s="8">
        <f t="shared" si="42"/>
        <v>33103</v>
      </c>
      <c r="G955" s="9">
        <f t="shared" si="43"/>
        <v>43908</v>
      </c>
      <c r="H955" s="10">
        <f t="shared" si="44"/>
        <v>3.9466999999999999</v>
      </c>
    </row>
    <row r="956" spans="1:8" x14ac:dyDescent="0.2">
      <c r="A956" s="1">
        <v>32863</v>
      </c>
      <c r="B956" s="1" t="str">
        <v>2020-03-19</v>
      </c>
      <c r="C956" s="1">
        <v>2.4142999999999999</v>
      </c>
      <c r="F956" s="8">
        <f t="shared" si="42"/>
        <v>32863</v>
      </c>
      <c r="G956" s="9">
        <f t="shared" si="43"/>
        <v>43909</v>
      </c>
      <c r="H956" s="10">
        <f t="shared" si="44"/>
        <v>2.4142999999999999</v>
      </c>
    </row>
    <row r="957" spans="1:8" x14ac:dyDescent="0.2">
      <c r="A957" s="1">
        <v>33023</v>
      </c>
      <c r="B957" s="1" t="str">
        <v>2020-03-19</v>
      </c>
      <c r="C957" s="1">
        <v>2.8</v>
      </c>
      <c r="F957" s="8">
        <f t="shared" si="42"/>
        <v>33023</v>
      </c>
      <c r="G957" s="9">
        <f t="shared" si="43"/>
        <v>43909</v>
      </c>
      <c r="H957" s="10">
        <f t="shared" si="44"/>
        <v>2.8</v>
      </c>
    </row>
    <row r="958" spans="1:8" x14ac:dyDescent="0.2">
      <c r="A958" s="1">
        <v>32380</v>
      </c>
      <c r="B958" s="1" t="str">
        <v>2020-03-19</v>
      </c>
      <c r="C958" s="1">
        <v>3.2818999999999998</v>
      </c>
      <c r="F958" s="8">
        <f t="shared" si="42"/>
        <v>32380</v>
      </c>
      <c r="G958" s="9">
        <f t="shared" si="43"/>
        <v>43909</v>
      </c>
      <c r="H958" s="10">
        <f t="shared" si="44"/>
        <v>3.2818999999999998</v>
      </c>
    </row>
    <row r="959" spans="1:8" x14ac:dyDescent="0.2">
      <c r="A959" s="1">
        <v>250</v>
      </c>
      <c r="B959" s="1" t="str">
        <v>2020-03-19</v>
      </c>
      <c r="C959" s="1">
        <v>2.9929000000000001</v>
      </c>
      <c r="F959" s="8">
        <f t="shared" si="42"/>
        <v>250</v>
      </c>
      <c r="G959" s="9">
        <f t="shared" si="43"/>
        <v>43909</v>
      </c>
      <c r="H959" s="10">
        <f t="shared" si="44"/>
        <v>2.9929000000000001</v>
      </c>
    </row>
    <row r="960" spans="1:8" x14ac:dyDescent="0.2">
      <c r="A960" s="1">
        <v>101</v>
      </c>
      <c r="B960" s="1" t="str">
        <v>2020-03-20</v>
      </c>
      <c r="C960" s="1">
        <v>2.5078999999999998</v>
      </c>
      <c r="F960" s="8">
        <f t="shared" si="42"/>
        <v>101</v>
      </c>
      <c r="G960" s="9">
        <f t="shared" si="43"/>
        <v>43910</v>
      </c>
      <c r="H960" s="10">
        <f t="shared" si="44"/>
        <v>2.5078999999999998</v>
      </c>
    </row>
    <row r="961" spans="1:8" x14ac:dyDescent="0.2">
      <c r="A961" s="1">
        <v>191</v>
      </c>
      <c r="B961" s="1" t="str">
        <v>2020-03-20</v>
      </c>
      <c r="C961" s="1">
        <v>2.8140000000000001</v>
      </c>
      <c r="F961" s="8">
        <f t="shared" si="42"/>
        <v>191</v>
      </c>
      <c r="G961" s="9">
        <f t="shared" si="43"/>
        <v>43910</v>
      </c>
      <c r="H961" s="10">
        <f t="shared" si="44"/>
        <v>2.8140000000000001</v>
      </c>
    </row>
    <row r="962" spans="1:8" x14ac:dyDescent="0.2">
      <c r="A962" s="1">
        <v>1</v>
      </c>
      <c r="B962" s="1" t="str">
        <v>2020-03-20</v>
      </c>
      <c r="C962" s="1">
        <v>3</v>
      </c>
      <c r="F962" s="8">
        <f t="shared" si="42"/>
        <v>1</v>
      </c>
      <c r="G962" s="9">
        <f t="shared" si="43"/>
        <v>43910</v>
      </c>
      <c r="H962" s="10">
        <f t="shared" si="44"/>
        <v>3</v>
      </c>
    </row>
    <row r="963" spans="1:8" x14ac:dyDescent="0.2">
      <c r="A963" s="1">
        <v>32783</v>
      </c>
      <c r="B963" s="1" t="str">
        <v>2020-03-20</v>
      </c>
      <c r="C963" s="1">
        <v>3.0407999999999999</v>
      </c>
      <c r="F963" s="8">
        <f t="shared" si="42"/>
        <v>32783</v>
      </c>
      <c r="G963" s="9">
        <f t="shared" si="43"/>
        <v>43910</v>
      </c>
      <c r="H963" s="10">
        <f t="shared" si="44"/>
        <v>3.0407999999999999</v>
      </c>
    </row>
    <row r="964" spans="1:8" x14ac:dyDescent="0.2">
      <c r="A964" s="1">
        <v>55</v>
      </c>
      <c r="B964" s="1" t="str">
        <v>2020-03-20</v>
      </c>
      <c r="C964" s="1">
        <v>2.6092</v>
      </c>
      <c r="F964" s="8">
        <f t="shared" si="42"/>
        <v>55</v>
      </c>
      <c r="G964" s="9">
        <f t="shared" si="43"/>
        <v>43910</v>
      </c>
      <c r="H964" s="10">
        <f t="shared" si="44"/>
        <v>2.6092</v>
      </c>
    </row>
    <row r="965" spans="1:8" x14ac:dyDescent="0.2">
      <c r="A965" s="1">
        <v>99</v>
      </c>
      <c r="B965" s="1" t="str">
        <v>2020-03-20</v>
      </c>
      <c r="C965" s="1">
        <v>3.3088000000000002</v>
      </c>
      <c r="F965" s="8">
        <f t="shared" si="42"/>
        <v>99</v>
      </c>
      <c r="G965" s="9">
        <f t="shared" si="43"/>
        <v>43910</v>
      </c>
      <c r="H965" s="10">
        <f t="shared" si="44"/>
        <v>3.3088000000000002</v>
      </c>
    </row>
    <row r="966" spans="1:8" x14ac:dyDescent="0.2">
      <c r="A966" s="1">
        <v>250</v>
      </c>
      <c r="B966" s="1" t="str">
        <v>2020-03-20</v>
      </c>
      <c r="C966" s="1">
        <v>2.4977999999999998</v>
      </c>
      <c r="F966" s="8">
        <f t="shared" si="42"/>
        <v>250</v>
      </c>
      <c r="G966" s="9">
        <f t="shared" si="43"/>
        <v>43910</v>
      </c>
      <c r="H966" s="10">
        <f t="shared" si="44"/>
        <v>2.4977999999999998</v>
      </c>
    </row>
    <row r="967" spans="1:8" x14ac:dyDescent="0.2">
      <c r="A967" s="1">
        <v>32340</v>
      </c>
      <c r="B967" s="1" t="str">
        <v>2020-03-20</v>
      </c>
      <c r="C967" s="1">
        <v>2.5787</v>
      </c>
      <c r="F967" s="8">
        <f t="shared" si="42"/>
        <v>32340</v>
      </c>
      <c r="G967" s="9">
        <f t="shared" si="43"/>
        <v>43910</v>
      </c>
      <c r="H967" s="10">
        <f t="shared" si="44"/>
        <v>2.5787</v>
      </c>
    </row>
    <row r="968" spans="1:8" x14ac:dyDescent="0.2">
      <c r="A968" s="1">
        <v>59</v>
      </c>
      <c r="B968" s="1" t="str">
        <v>2020-03-20</v>
      </c>
      <c r="C968" s="1">
        <v>2.8355000000000001</v>
      </c>
      <c r="F968" s="8">
        <f t="shared" si="42"/>
        <v>59</v>
      </c>
      <c r="G968" s="9">
        <f t="shared" si="43"/>
        <v>43910</v>
      </c>
      <c r="H968" s="10">
        <f t="shared" si="44"/>
        <v>2.8355000000000001</v>
      </c>
    </row>
    <row r="969" spans="1:8" x14ac:dyDescent="0.2">
      <c r="A969" s="1">
        <v>102</v>
      </c>
      <c r="B969" s="1" t="str">
        <v>2020-03-20</v>
      </c>
      <c r="C969" s="1">
        <v>2.8458999999999999</v>
      </c>
      <c r="F969" s="8">
        <f t="shared" ref="F969:F1032" si="45">A969</f>
        <v>102</v>
      </c>
      <c r="G969" s="9">
        <f t="shared" ref="G969:G1032" si="46">DATE(LEFT(B969,4),MID(B969,6,2),RIGHT(B969,2))</f>
        <v>43910</v>
      </c>
      <c r="H969" s="10">
        <f t="shared" ref="H969:H1032" si="47">C969</f>
        <v>2.8458999999999999</v>
      </c>
    </row>
    <row r="970" spans="1:8" x14ac:dyDescent="0.2">
      <c r="A970" s="1">
        <v>156</v>
      </c>
      <c r="B970" s="1" t="str">
        <v>2020-03-20</v>
      </c>
      <c r="C970" s="1">
        <v>3.2366999999999999</v>
      </c>
      <c r="F970" s="8">
        <f t="shared" si="45"/>
        <v>156</v>
      </c>
      <c r="G970" s="9">
        <f t="shared" si="46"/>
        <v>43910</v>
      </c>
      <c r="H970" s="10">
        <f t="shared" si="47"/>
        <v>3.2366999999999999</v>
      </c>
    </row>
    <row r="971" spans="1:8" x14ac:dyDescent="0.2">
      <c r="A971" s="1">
        <v>67</v>
      </c>
      <c r="B971" s="1" t="str">
        <v>2020-03-20</v>
      </c>
      <c r="C971" s="1">
        <v>2.9377</v>
      </c>
      <c r="F971" s="8">
        <f t="shared" si="45"/>
        <v>67</v>
      </c>
      <c r="G971" s="9">
        <f t="shared" si="46"/>
        <v>43910</v>
      </c>
      <c r="H971" s="10">
        <f t="shared" si="47"/>
        <v>2.9377</v>
      </c>
    </row>
    <row r="972" spans="1:8" x14ac:dyDescent="0.2">
      <c r="A972" s="1">
        <v>33129</v>
      </c>
      <c r="B972" s="1" t="str">
        <v>2020-03-20</v>
      </c>
      <c r="C972" s="1">
        <v>2.4359000000000002</v>
      </c>
      <c r="F972" s="8">
        <f t="shared" si="45"/>
        <v>33129</v>
      </c>
      <c r="G972" s="9">
        <f t="shared" si="46"/>
        <v>43910</v>
      </c>
      <c r="H972" s="10">
        <f t="shared" si="47"/>
        <v>2.4359000000000002</v>
      </c>
    </row>
    <row r="973" spans="1:8" x14ac:dyDescent="0.2">
      <c r="A973" s="1">
        <v>32724</v>
      </c>
      <c r="B973" s="1" t="str">
        <v>2020-03-20</v>
      </c>
      <c r="C973" s="1">
        <v>2.3338999999999999</v>
      </c>
      <c r="F973" s="8">
        <f t="shared" si="45"/>
        <v>32724</v>
      </c>
      <c r="G973" s="9">
        <f t="shared" si="46"/>
        <v>43910</v>
      </c>
      <c r="H973" s="10">
        <f t="shared" si="47"/>
        <v>2.3338999999999999</v>
      </c>
    </row>
    <row r="974" spans="1:8" x14ac:dyDescent="0.2">
      <c r="A974" s="1">
        <v>33103</v>
      </c>
      <c r="B974" s="1" t="str">
        <v>2020-03-20</v>
      </c>
      <c r="C974" s="1">
        <v>3.9466999999999999</v>
      </c>
      <c r="F974" s="8">
        <f t="shared" si="45"/>
        <v>33103</v>
      </c>
      <c r="G974" s="9">
        <f t="shared" si="46"/>
        <v>43910</v>
      </c>
      <c r="H974" s="10">
        <f t="shared" si="47"/>
        <v>3.9466999999999999</v>
      </c>
    </row>
    <row r="975" spans="1:8" x14ac:dyDescent="0.2">
      <c r="A975" s="1">
        <v>81</v>
      </c>
      <c r="B975" s="1" t="str">
        <v>2020-03-20</v>
      </c>
      <c r="C975" s="1">
        <v>3.2467999999999999</v>
      </c>
      <c r="F975" s="8">
        <f t="shared" si="45"/>
        <v>81</v>
      </c>
      <c r="G975" s="9">
        <f t="shared" si="46"/>
        <v>43910</v>
      </c>
      <c r="H975" s="10">
        <f t="shared" si="47"/>
        <v>3.2467999999999999</v>
      </c>
    </row>
    <row r="976" spans="1:8" x14ac:dyDescent="0.2">
      <c r="A976" s="1">
        <v>2250</v>
      </c>
      <c r="B976" s="1" t="str">
        <v>2020-03-20</v>
      </c>
      <c r="C976" s="1">
        <v>1.9967999999999999</v>
      </c>
      <c r="F976" s="8">
        <f t="shared" si="45"/>
        <v>2250</v>
      </c>
      <c r="G976" s="9">
        <f t="shared" si="46"/>
        <v>43910</v>
      </c>
      <c r="H976" s="10">
        <f t="shared" si="47"/>
        <v>1.9967999999999999</v>
      </c>
    </row>
    <row r="977" spans="1:8" x14ac:dyDescent="0.2">
      <c r="A977" s="1">
        <v>32420</v>
      </c>
      <c r="B977" s="1" t="str">
        <v>2020-03-20</v>
      </c>
      <c r="C977" s="1">
        <v>3.2121</v>
      </c>
      <c r="F977" s="8">
        <f t="shared" si="45"/>
        <v>32420</v>
      </c>
      <c r="G977" s="9">
        <f t="shared" si="46"/>
        <v>43910</v>
      </c>
      <c r="H977" s="10">
        <f t="shared" si="47"/>
        <v>3.2121</v>
      </c>
    </row>
    <row r="978" spans="1:8" x14ac:dyDescent="0.2">
      <c r="A978" s="1">
        <v>187</v>
      </c>
      <c r="B978" s="1" t="str">
        <v>2020-03-20</v>
      </c>
      <c r="C978" s="1">
        <v>2.9070999999999998</v>
      </c>
      <c r="F978" s="8">
        <f t="shared" si="45"/>
        <v>187</v>
      </c>
      <c r="G978" s="9">
        <f t="shared" si="46"/>
        <v>43910</v>
      </c>
      <c r="H978" s="10">
        <f t="shared" si="47"/>
        <v>2.9070999999999998</v>
      </c>
    </row>
    <row r="979" spans="1:8" x14ac:dyDescent="0.2">
      <c r="A979" s="1">
        <v>33125</v>
      </c>
      <c r="B979" s="1" t="str">
        <v>2020-03-20</v>
      </c>
      <c r="C979" s="1">
        <v>2.4253</v>
      </c>
      <c r="F979" s="8">
        <f t="shared" si="45"/>
        <v>33125</v>
      </c>
      <c r="G979" s="9">
        <f t="shared" si="46"/>
        <v>43910</v>
      </c>
      <c r="H979" s="10">
        <f t="shared" si="47"/>
        <v>2.4253</v>
      </c>
    </row>
    <row r="980" spans="1:8" x14ac:dyDescent="0.2">
      <c r="A980" s="1">
        <v>115</v>
      </c>
      <c r="B980" s="1" t="str">
        <v>2020-03-20</v>
      </c>
      <c r="C980" s="1">
        <v>3.1642999999999999</v>
      </c>
      <c r="F980" s="8">
        <f t="shared" si="45"/>
        <v>115</v>
      </c>
      <c r="G980" s="9">
        <f t="shared" si="46"/>
        <v>43910</v>
      </c>
      <c r="H980" s="10">
        <f t="shared" si="47"/>
        <v>3.1642999999999999</v>
      </c>
    </row>
    <row r="981" spans="1:8" x14ac:dyDescent="0.2">
      <c r="A981" s="1">
        <v>34</v>
      </c>
      <c r="B981" s="1" t="str">
        <v>2020-03-20</v>
      </c>
      <c r="C981" s="1">
        <v>2.5688</v>
      </c>
      <c r="F981" s="8">
        <f t="shared" si="45"/>
        <v>34</v>
      </c>
      <c r="G981" s="9">
        <f t="shared" si="46"/>
        <v>43910</v>
      </c>
      <c r="H981" s="10">
        <f t="shared" si="47"/>
        <v>2.5688</v>
      </c>
    </row>
    <row r="982" spans="1:8" x14ac:dyDescent="0.2">
      <c r="A982" s="1">
        <v>101</v>
      </c>
      <c r="B982" s="1" t="str">
        <v>2020-03-23</v>
      </c>
      <c r="C982" s="1">
        <v>2.5179999999999998</v>
      </c>
      <c r="F982" s="8">
        <f t="shared" si="45"/>
        <v>101</v>
      </c>
      <c r="G982" s="9">
        <f t="shared" si="46"/>
        <v>43913</v>
      </c>
      <c r="H982" s="10">
        <f t="shared" si="47"/>
        <v>2.5179999999999998</v>
      </c>
    </row>
    <row r="983" spans="1:8" x14ac:dyDescent="0.2">
      <c r="A983" s="1">
        <v>33130</v>
      </c>
      <c r="B983" s="1" t="str">
        <v>2020-03-23</v>
      </c>
      <c r="C983" s="1">
        <v>2.4357000000000002</v>
      </c>
      <c r="F983" s="8">
        <f t="shared" si="45"/>
        <v>33130</v>
      </c>
      <c r="G983" s="9">
        <f t="shared" si="46"/>
        <v>43913</v>
      </c>
      <c r="H983" s="10">
        <f t="shared" si="47"/>
        <v>2.4357000000000002</v>
      </c>
    </row>
    <row r="984" spans="1:8" x14ac:dyDescent="0.2">
      <c r="A984" s="1">
        <v>32963</v>
      </c>
      <c r="B984" s="1" t="str">
        <v>2020-03-23</v>
      </c>
      <c r="C984" s="1">
        <v>2.9885000000000002</v>
      </c>
      <c r="F984" s="8">
        <f t="shared" si="45"/>
        <v>32963</v>
      </c>
      <c r="G984" s="9">
        <f t="shared" si="46"/>
        <v>43913</v>
      </c>
      <c r="H984" s="10">
        <f t="shared" si="47"/>
        <v>2.9885000000000002</v>
      </c>
    </row>
    <row r="985" spans="1:8" x14ac:dyDescent="0.2">
      <c r="A985" s="1">
        <v>1</v>
      </c>
      <c r="B985" s="1" t="str">
        <v>2020-03-23</v>
      </c>
      <c r="C985" s="1">
        <v>2.8048000000000002</v>
      </c>
      <c r="F985" s="8">
        <f t="shared" si="45"/>
        <v>1</v>
      </c>
      <c r="G985" s="9">
        <f t="shared" si="46"/>
        <v>43913</v>
      </c>
      <c r="H985" s="10">
        <f t="shared" si="47"/>
        <v>2.8048000000000002</v>
      </c>
    </row>
    <row r="986" spans="1:8" x14ac:dyDescent="0.2">
      <c r="A986" s="1">
        <v>34</v>
      </c>
      <c r="B986" s="1" t="str">
        <v>2020-03-23</v>
      </c>
      <c r="C986" s="1">
        <v>2.5688</v>
      </c>
      <c r="F986" s="8">
        <f t="shared" si="45"/>
        <v>34</v>
      </c>
      <c r="G986" s="9">
        <f t="shared" si="46"/>
        <v>43913</v>
      </c>
      <c r="H986" s="10">
        <f t="shared" si="47"/>
        <v>2.5688</v>
      </c>
    </row>
    <row r="987" spans="1:8" x14ac:dyDescent="0.2">
      <c r="A987" s="1">
        <v>32983</v>
      </c>
      <c r="B987" s="1" t="str">
        <v>2020-03-23</v>
      </c>
      <c r="C987" s="1">
        <v>2.8557999999999999</v>
      </c>
      <c r="F987" s="8">
        <f t="shared" si="45"/>
        <v>32983</v>
      </c>
      <c r="G987" s="9">
        <f t="shared" si="46"/>
        <v>43913</v>
      </c>
      <c r="H987" s="10">
        <f t="shared" si="47"/>
        <v>2.8557999999999999</v>
      </c>
    </row>
    <row r="988" spans="1:8" x14ac:dyDescent="0.2">
      <c r="A988" s="1">
        <v>32724</v>
      </c>
      <c r="B988" s="1" t="str">
        <v>2020-03-23</v>
      </c>
      <c r="C988" s="1">
        <v>2.3953000000000002</v>
      </c>
      <c r="F988" s="8">
        <f t="shared" si="45"/>
        <v>32724</v>
      </c>
      <c r="G988" s="9">
        <f t="shared" si="46"/>
        <v>43913</v>
      </c>
      <c r="H988" s="10">
        <f t="shared" si="47"/>
        <v>2.3953000000000002</v>
      </c>
    </row>
    <row r="989" spans="1:8" x14ac:dyDescent="0.2">
      <c r="A989" s="1">
        <v>94</v>
      </c>
      <c r="B989" s="1" t="str">
        <v>2020-03-23</v>
      </c>
      <c r="C989" s="1">
        <v>3.1</v>
      </c>
      <c r="F989" s="8">
        <f t="shared" si="45"/>
        <v>94</v>
      </c>
      <c r="G989" s="9">
        <f t="shared" si="46"/>
        <v>43913</v>
      </c>
      <c r="H989" s="10">
        <f t="shared" si="47"/>
        <v>3.1</v>
      </c>
    </row>
    <row r="990" spans="1:8" x14ac:dyDescent="0.2">
      <c r="A990" s="1">
        <v>32421</v>
      </c>
      <c r="B990" s="1" t="str">
        <v>2020-03-23</v>
      </c>
      <c r="C990" s="1">
        <v>2.7130000000000001</v>
      </c>
      <c r="F990" s="8">
        <f t="shared" si="45"/>
        <v>32421</v>
      </c>
      <c r="G990" s="9">
        <f t="shared" si="46"/>
        <v>43913</v>
      </c>
      <c r="H990" s="10">
        <f t="shared" si="47"/>
        <v>2.7130000000000001</v>
      </c>
    </row>
    <row r="991" spans="1:8" x14ac:dyDescent="0.2">
      <c r="A991" s="1">
        <v>178</v>
      </c>
      <c r="B991" s="1" t="str">
        <v>2020-03-23</v>
      </c>
      <c r="C991" s="1">
        <v>3.0785</v>
      </c>
      <c r="F991" s="8">
        <f t="shared" si="45"/>
        <v>178</v>
      </c>
      <c r="G991" s="9">
        <f t="shared" si="46"/>
        <v>43913</v>
      </c>
      <c r="H991" s="10">
        <f t="shared" si="47"/>
        <v>3.0785</v>
      </c>
    </row>
    <row r="992" spans="1:8" x14ac:dyDescent="0.2">
      <c r="A992" s="1">
        <v>32200</v>
      </c>
      <c r="B992" s="1" t="str">
        <v>2020-03-24</v>
      </c>
      <c r="C992" s="1">
        <v>1.5689</v>
      </c>
      <c r="F992" s="8">
        <f t="shared" si="45"/>
        <v>32200</v>
      </c>
      <c r="G992" s="9">
        <f t="shared" si="46"/>
        <v>43914</v>
      </c>
      <c r="H992" s="10">
        <f t="shared" si="47"/>
        <v>1.5689</v>
      </c>
    </row>
    <row r="993" spans="1:8" x14ac:dyDescent="0.2">
      <c r="A993" s="1">
        <v>32803</v>
      </c>
      <c r="B993" s="1" t="str">
        <v>2020-03-24</v>
      </c>
      <c r="C993" s="1">
        <v>1.1739999999999999</v>
      </c>
      <c r="F993" s="8">
        <f t="shared" si="45"/>
        <v>32803</v>
      </c>
      <c r="G993" s="9">
        <f t="shared" si="46"/>
        <v>43914</v>
      </c>
      <c r="H993" s="10">
        <f t="shared" si="47"/>
        <v>1.1739999999999999</v>
      </c>
    </row>
    <row r="994" spans="1:8" x14ac:dyDescent="0.2">
      <c r="A994" s="1">
        <v>133</v>
      </c>
      <c r="B994" s="1" t="str">
        <v>2020-03-24</v>
      </c>
      <c r="C994" s="1">
        <v>2.6707000000000001</v>
      </c>
      <c r="F994" s="8">
        <f t="shared" si="45"/>
        <v>133</v>
      </c>
      <c r="G994" s="9">
        <f t="shared" si="46"/>
        <v>43914</v>
      </c>
      <c r="H994" s="10">
        <f t="shared" si="47"/>
        <v>2.6707000000000001</v>
      </c>
    </row>
    <row r="995" spans="1:8" x14ac:dyDescent="0.2">
      <c r="A995" s="1">
        <v>187</v>
      </c>
      <c r="B995" s="1" t="str">
        <v>2020-03-24</v>
      </c>
      <c r="C995" s="1">
        <v>2.7219000000000002</v>
      </c>
      <c r="F995" s="8">
        <f t="shared" si="45"/>
        <v>187</v>
      </c>
      <c r="G995" s="9">
        <f t="shared" si="46"/>
        <v>43914</v>
      </c>
      <c r="H995" s="10">
        <f t="shared" si="47"/>
        <v>2.7219000000000002</v>
      </c>
    </row>
    <row r="996" spans="1:8" x14ac:dyDescent="0.2">
      <c r="A996" s="1">
        <v>23250</v>
      </c>
      <c r="B996" s="1" t="str">
        <v>2020-03-24</v>
      </c>
      <c r="C996" s="1">
        <v>2.7742</v>
      </c>
      <c r="F996" s="8">
        <f t="shared" si="45"/>
        <v>23250</v>
      </c>
      <c r="G996" s="9">
        <f t="shared" si="46"/>
        <v>43914</v>
      </c>
      <c r="H996" s="10">
        <f t="shared" si="47"/>
        <v>2.7742</v>
      </c>
    </row>
    <row r="997" spans="1:8" x14ac:dyDescent="0.2">
      <c r="A997" s="1">
        <v>32783</v>
      </c>
      <c r="B997" s="1" t="str">
        <v>2020-03-24</v>
      </c>
      <c r="C997" s="1">
        <v>2.9588000000000001</v>
      </c>
      <c r="F997" s="8">
        <f t="shared" si="45"/>
        <v>32783</v>
      </c>
      <c r="G997" s="9">
        <f t="shared" si="46"/>
        <v>43914</v>
      </c>
      <c r="H997" s="10">
        <f t="shared" si="47"/>
        <v>2.9588000000000001</v>
      </c>
    </row>
    <row r="998" spans="1:8" x14ac:dyDescent="0.2">
      <c r="A998" s="1">
        <v>32400</v>
      </c>
      <c r="B998" s="1" t="str">
        <v>2020-03-24</v>
      </c>
      <c r="C998" s="1">
        <v>2.2000000000000002</v>
      </c>
      <c r="F998" s="8">
        <f t="shared" si="45"/>
        <v>32400</v>
      </c>
      <c r="G998" s="9">
        <f t="shared" si="46"/>
        <v>43914</v>
      </c>
      <c r="H998" s="10">
        <f t="shared" si="47"/>
        <v>2.2000000000000002</v>
      </c>
    </row>
    <row r="999" spans="1:8" x14ac:dyDescent="0.2">
      <c r="A999" s="1">
        <v>30250</v>
      </c>
      <c r="B999" s="1" t="str">
        <v>2020-03-25</v>
      </c>
      <c r="C999" s="1">
        <v>1.8439000000000001</v>
      </c>
      <c r="F999" s="8">
        <f t="shared" si="45"/>
        <v>30250</v>
      </c>
      <c r="G999" s="9">
        <f t="shared" si="46"/>
        <v>43915</v>
      </c>
      <c r="H999" s="10">
        <f t="shared" si="47"/>
        <v>1.8439000000000001</v>
      </c>
    </row>
    <row r="1000" spans="1:8" x14ac:dyDescent="0.2">
      <c r="A1000" s="1">
        <v>49</v>
      </c>
      <c r="B1000" s="1" t="str">
        <v>2020-03-25</v>
      </c>
      <c r="C1000" s="1">
        <v>2.6715</v>
      </c>
      <c r="F1000" s="8">
        <f t="shared" si="45"/>
        <v>49</v>
      </c>
      <c r="G1000" s="9">
        <f t="shared" si="46"/>
        <v>43915</v>
      </c>
      <c r="H1000" s="10">
        <f t="shared" si="47"/>
        <v>2.6715</v>
      </c>
    </row>
    <row r="1001" spans="1:8" x14ac:dyDescent="0.2">
      <c r="A1001" s="1">
        <v>23250</v>
      </c>
      <c r="B1001" s="1" t="str">
        <v>2020-03-25</v>
      </c>
      <c r="C1001" s="1">
        <v>2.3538999999999999</v>
      </c>
      <c r="F1001" s="8">
        <f t="shared" si="45"/>
        <v>23250</v>
      </c>
      <c r="G1001" s="9">
        <f t="shared" si="46"/>
        <v>43915</v>
      </c>
      <c r="H1001" s="10">
        <f t="shared" si="47"/>
        <v>2.3538999999999999</v>
      </c>
    </row>
    <row r="1002" spans="1:8" x14ac:dyDescent="0.2">
      <c r="A1002" s="1">
        <v>176</v>
      </c>
      <c r="B1002" s="1" t="str">
        <v>2020-03-25</v>
      </c>
      <c r="C1002" s="1">
        <v>2.8353999999999999</v>
      </c>
      <c r="F1002" s="8">
        <f t="shared" si="45"/>
        <v>176</v>
      </c>
      <c r="G1002" s="9">
        <f t="shared" si="46"/>
        <v>43915</v>
      </c>
      <c r="H1002" s="10">
        <f t="shared" si="47"/>
        <v>2.8353999999999999</v>
      </c>
    </row>
    <row r="1003" spans="1:8" x14ac:dyDescent="0.2">
      <c r="A1003" s="1">
        <v>99</v>
      </c>
      <c r="B1003" s="1" t="str">
        <v>2020-03-25</v>
      </c>
      <c r="C1003" s="1">
        <v>3.3089</v>
      </c>
      <c r="F1003" s="8">
        <f t="shared" si="45"/>
        <v>99</v>
      </c>
      <c r="G1003" s="9">
        <f t="shared" si="46"/>
        <v>43915</v>
      </c>
      <c r="H1003" s="10">
        <f t="shared" si="47"/>
        <v>3.3089</v>
      </c>
    </row>
    <row r="1004" spans="1:8" x14ac:dyDescent="0.2">
      <c r="A1004" s="1">
        <v>32222</v>
      </c>
      <c r="B1004" s="1" t="str">
        <v>2020-03-26</v>
      </c>
      <c r="C1004" s="1">
        <v>1.3140000000000001</v>
      </c>
      <c r="F1004" s="8">
        <f t="shared" si="45"/>
        <v>32222</v>
      </c>
      <c r="G1004" s="9">
        <f t="shared" si="46"/>
        <v>43916</v>
      </c>
      <c r="H1004" s="10">
        <f t="shared" si="47"/>
        <v>1.3140000000000001</v>
      </c>
    </row>
    <row r="1005" spans="1:8" x14ac:dyDescent="0.2">
      <c r="A1005" s="1">
        <v>1</v>
      </c>
      <c r="B1005" s="1" t="str">
        <v>2020-03-26</v>
      </c>
      <c r="C1005" s="1">
        <v>2.7633999999999999</v>
      </c>
      <c r="F1005" s="8">
        <f t="shared" si="45"/>
        <v>1</v>
      </c>
      <c r="G1005" s="9">
        <f t="shared" si="46"/>
        <v>43916</v>
      </c>
      <c r="H1005" s="10">
        <f t="shared" si="47"/>
        <v>2.7633999999999999</v>
      </c>
    </row>
    <row r="1006" spans="1:8" x14ac:dyDescent="0.2">
      <c r="A1006" s="1">
        <v>32883</v>
      </c>
      <c r="B1006" s="1" t="str">
        <v>2020-03-26</v>
      </c>
      <c r="C1006" s="1">
        <v>2.7216</v>
      </c>
      <c r="F1006" s="8">
        <f t="shared" si="45"/>
        <v>32883</v>
      </c>
      <c r="G1006" s="9">
        <f t="shared" si="46"/>
        <v>43916</v>
      </c>
      <c r="H1006" s="10">
        <f t="shared" si="47"/>
        <v>2.7216</v>
      </c>
    </row>
    <row r="1007" spans="1:8" x14ac:dyDescent="0.2">
      <c r="A1007" s="1">
        <v>153</v>
      </c>
      <c r="B1007" s="1" t="str">
        <v>2020-03-26</v>
      </c>
      <c r="C1007" s="1">
        <v>2.5385</v>
      </c>
      <c r="F1007" s="8">
        <f t="shared" si="45"/>
        <v>153</v>
      </c>
      <c r="G1007" s="9">
        <f t="shared" si="46"/>
        <v>43916</v>
      </c>
      <c r="H1007" s="10">
        <f t="shared" si="47"/>
        <v>2.5385</v>
      </c>
    </row>
    <row r="1008" spans="1:8" x14ac:dyDescent="0.2">
      <c r="A1008" s="1">
        <v>20</v>
      </c>
      <c r="B1008" s="1" t="str">
        <v>2020-03-26</v>
      </c>
      <c r="C1008" s="1">
        <v>3</v>
      </c>
      <c r="F1008" s="8">
        <f t="shared" si="45"/>
        <v>20</v>
      </c>
      <c r="G1008" s="9">
        <f t="shared" si="46"/>
        <v>43916</v>
      </c>
      <c r="H1008" s="10">
        <f t="shared" si="47"/>
        <v>3</v>
      </c>
    </row>
    <row r="1009" spans="1:8" x14ac:dyDescent="0.2">
      <c r="A1009" s="1">
        <v>30400</v>
      </c>
      <c r="B1009" s="1" t="str">
        <v>2020-03-27</v>
      </c>
      <c r="C1009" s="1">
        <v>1.6095999999999999</v>
      </c>
      <c r="F1009" s="8">
        <f t="shared" si="45"/>
        <v>30400</v>
      </c>
      <c r="G1009" s="9">
        <f t="shared" si="46"/>
        <v>43917</v>
      </c>
      <c r="H1009" s="10">
        <f t="shared" si="47"/>
        <v>1.6095999999999999</v>
      </c>
    </row>
    <row r="1010" spans="1:8" x14ac:dyDescent="0.2">
      <c r="A1010" s="1">
        <v>33129</v>
      </c>
      <c r="B1010" s="1" t="str">
        <v>2020-03-27</v>
      </c>
      <c r="C1010" s="1">
        <v>1.7527999999999999</v>
      </c>
      <c r="F1010" s="8">
        <f t="shared" si="45"/>
        <v>33129</v>
      </c>
      <c r="G1010" s="9">
        <f t="shared" si="46"/>
        <v>43917</v>
      </c>
      <c r="H1010" s="10">
        <f t="shared" si="47"/>
        <v>1.7527999999999999</v>
      </c>
    </row>
    <row r="1011" spans="1:8" x14ac:dyDescent="0.2">
      <c r="A1011" s="1">
        <v>102</v>
      </c>
      <c r="B1011" s="1" t="str">
        <v>2020-03-27</v>
      </c>
      <c r="C1011" s="1">
        <v>2.3338000000000001</v>
      </c>
      <c r="F1011" s="8">
        <f t="shared" si="45"/>
        <v>102</v>
      </c>
      <c r="G1011" s="9">
        <f t="shared" si="46"/>
        <v>43917</v>
      </c>
      <c r="H1011" s="10">
        <f t="shared" si="47"/>
        <v>2.3338000000000001</v>
      </c>
    </row>
    <row r="1012" spans="1:8" x14ac:dyDescent="0.2">
      <c r="A1012" s="1">
        <v>37</v>
      </c>
      <c r="B1012" s="1" t="str">
        <v>2020-03-27</v>
      </c>
      <c r="C1012" s="1">
        <v>3.1749999999999998</v>
      </c>
      <c r="F1012" s="8">
        <f t="shared" si="45"/>
        <v>37</v>
      </c>
      <c r="G1012" s="9">
        <f t="shared" si="46"/>
        <v>43917</v>
      </c>
      <c r="H1012" s="10">
        <f t="shared" si="47"/>
        <v>3.1749999999999998</v>
      </c>
    </row>
    <row r="1013" spans="1:8" x14ac:dyDescent="0.2">
      <c r="A1013" s="1">
        <v>24</v>
      </c>
      <c r="B1013" s="1" t="str">
        <v>2020-03-27</v>
      </c>
      <c r="C1013" s="1">
        <v>2.9085999999999999</v>
      </c>
      <c r="F1013" s="8">
        <f t="shared" si="45"/>
        <v>24</v>
      </c>
      <c r="G1013" s="9">
        <f t="shared" si="46"/>
        <v>43917</v>
      </c>
      <c r="H1013" s="10">
        <f t="shared" si="47"/>
        <v>2.9085999999999999</v>
      </c>
    </row>
    <row r="1014" spans="1:8" x14ac:dyDescent="0.2">
      <c r="A1014" s="1">
        <v>31</v>
      </c>
      <c r="B1014" s="1" t="str">
        <v>2020-03-27</v>
      </c>
      <c r="C1014" s="1">
        <v>2.9</v>
      </c>
      <c r="F1014" s="8">
        <f t="shared" si="45"/>
        <v>31</v>
      </c>
      <c r="G1014" s="9">
        <f t="shared" si="46"/>
        <v>43917</v>
      </c>
      <c r="H1014" s="10">
        <f t="shared" si="47"/>
        <v>2.9</v>
      </c>
    </row>
    <row r="1015" spans="1:8" x14ac:dyDescent="0.2">
      <c r="A1015" s="1">
        <v>146</v>
      </c>
      <c r="B1015" s="1" t="str">
        <v>2020-03-27</v>
      </c>
      <c r="C1015" s="1">
        <v>2.5282</v>
      </c>
      <c r="F1015" s="8">
        <f t="shared" si="45"/>
        <v>146</v>
      </c>
      <c r="G1015" s="9">
        <f t="shared" si="46"/>
        <v>43917</v>
      </c>
      <c r="H1015" s="10">
        <f t="shared" si="47"/>
        <v>2.5282</v>
      </c>
    </row>
    <row r="1016" spans="1:8" x14ac:dyDescent="0.2">
      <c r="A1016" s="1">
        <v>33125</v>
      </c>
      <c r="B1016" s="1" t="str">
        <v>2020-03-27</v>
      </c>
      <c r="C1016" s="1">
        <v>1.9241999999999999</v>
      </c>
      <c r="F1016" s="8">
        <f t="shared" si="45"/>
        <v>33125</v>
      </c>
      <c r="G1016" s="9">
        <f t="shared" si="46"/>
        <v>43917</v>
      </c>
      <c r="H1016" s="10">
        <f t="shared" si="47"/>
        <v>1.9241999999999999</v>
      </c>
    </row>
    <row r="1017" spans="1:8" x14ac:dyDescent="0.2">
      <c r="A1017" s="1">
        <v>187</v>
      </c>
      <c r="B1017" s="1" t="str">
        <v>2020-03-27</v>
      </c>
      <c r="C1017" s="1">
        <v>2.5369999999999999</v>
      </c>
      <c r="F1017" s="8">
        <f t="shared" si="45"/>
        <v>187</v>
      </c>
      <c r="G1017" s="9">
        <f t="shared" si="46"/>
        <v>43917</v>
      </c>
      <c r="H1017" s="10">
        <f t="shared" si="47"/>
        <v>2.5369999999999999</v>
      </c>
    </row>
    <row r="1018" spans="1:8" x14ac:dyDescent="0.2">
      <c r="A1018" s="1">
        <v>32380</v>
      </c>
      <c r="B1018" s="1" t="str">
        <v>2020-03-27</v>
      </c>
      <c r="C1018" s="1">
        <v>2.9257</v>
      </c>
      <c r="F1018" s="8">
        <f t="shared" si="45"/>
        <v>32380</v>
      </c>
      <c r="G1018" s="9">
        <f t="shared" si="46"/>
        <v>43917</v>
      </c>
      <c r="H1018" s="10">
        <f t="shared" si="47"/>
        <v>2.9257</v>
      </c>
    </row>
    <row r="1019" spans="1:8" x14ac:dyDescent="0.2">
      <c r="A1019" s="1">
        <v>32582</v>
      </c>
      <c r="B1019" s="1" t="str">
        <v>2020-03-27</v>
      </c>
      <c r="C1019" s="1">
        <v>1.9452</v>
      </c>
      <c r="F1019" s="8">
        <f t="shared" si="45"/>
        <v>32582</v>
      </c>
      <c r="G1019" s="9">
        <f t="shared" si="46"/>
        <v>43917</v>
      </c>
      <c r="H1019" s="10">
        <f t="shared" si="47"/>
        <v>1.9452</v>
      </c>
    </row>
    <row r="1020" spans="1:8" x14ac:dyDescent="0.2">
      <c r="A1020" s="1">
        <v>24250</v>
      </c>
      <c r="B1020" s="1" t="str">
        <v>2020-03-27</v>
      </c>
      <c r="C1020" s="1">
        <v>2.3134000000000001</v>
      </c>
      <c r="F1020" s="8">
        <f t="shared" si="45"/>
        <v>24250</v>
      </c>
      <c r="G1020" s="9">
        <f t="shared" si="46"/>
        <v>43917</v>
      </c>
      <c r="H1020" s="10">
        <f t="shared" si="47"/>
        <v>2.3134000000000001</v>
      </c>
    </row>
    <row r="1021" spans="1:8" x14ac:dyDescent="0.2">
      <c r="A1021" s="1">
        <v>32340</v>
      </c>
      <c r="B1021" s="1" t="str">
        <v>2020-03-27</v>
      </c>
      <c r="C1021" s="1">
        <v>2.4039000000000001</v>
      </c>
      <c r="F1021" s="8">
        <f t="shared" si="45"/>
        <v>32340</v>
      </c>
      <c r="G1021" s="9">
        <f t="shared" si="46"/>
        <v>43917</v>
      </c>
      <c r="H1021" s="10">
        <f t="shared" si="47"/>
        <v>2.4039000000000001</v>
      </c>
    </row>
    <row r="1022" spans="1:8" x14ac:dyDescent="0.2">
      <c r="A1022" s="1">
        <v>16</v>
      </c>
      <c r="B1022" s="1" t="str">
        <v>2020-03-27</v>
      </c>
      <c r="C1022" s="1">
        <v>3.3393999999999999</v>
      </c>
      <c r="F1022" s="8">
        <f t="shared" si="45"/>
        <v>16</v>
      </c>
      <c r="G1022" s="9">
        <f t="shared" si="46"/>
        <v>43917</v>
      </c>
      <c r="H1022" s="10">
        <f t="shared" si="47"/>
        <v>3.3393999999999999</v>
      </c>
    </row>
    <row r="1023" spans="1:8" x14ac:dyDescent="0.2">
      <c r="A1023" s="1">
        <v>32583</v>
      </c>
      <c r="B1023" s="1" t="str">
        <v>2020-03-27</v>
      </c>
      <c r="C1023" s="1">
        <v>2.2000000000000002</v>
      </c>
      <c r="F1023" s="8">
        <f t="shared" si="45"/>
        <v>32583</v>
      </c>
      <c r="G1023" s="9">
        <f t="shared" si="46"/>
        <v>43917</v>
      </c>
      <c r="H1023" s="10">
        <f t="shared" si="47"/>
        <v>2.2000000000000002</v>
      </c>
    </row>
    <row r="1024" spans="1:8" x14ac:dyDescent="0.2">
      <c r="A1024" s="1">
        <v>13250</v>
      </c>
      <c r="B1024" s="1" t="str">
        <v>2020-03-27</v>
      </c>
      <c r="C1024" s="1">
        <v>1.4447000000000001</v>
      </c>
      <c r="F1024" s="8">
        <f t="shared" si="45"/>
        <v>13250</v>
      </c>
      <c r="G1024" s="9">
        <f t="shared" si="46"/>
        <v>43917</v>
      </c>
      <c r="H1024" s="10">
        <f t="shared" si="47"/>
        <v>1.4447000000000001</v>
      </c>
    </row>
    <row r="1025" spans="1:8" x14ac:dyDescent="0.2">
      <c r="A1025" s="1">
        <v>1</v>
      </c>
      <c r="B1025" s="1" t="str">
        <v>2020-03-27</v>
      </c>
      <c r="C1025" s="1">
        <v>2.7019000000000002</v>
      </c>
      <c r="F1025" s="8">
        <f t="shared" si="45"/>
        <v>1</v>
      </c>
      <c r="G1025" s="9">
        <f t="shared" si="46"/>
        <v>43917</v>
      </c>
      <c r="H1025" s="10">
        <f t="shared" si="47"/>
        <v>2.7019000000000002</v>
      </c>
    </row>
    <row r="1026" spans="1:8" x14ac:dyDescent="0.2">
      <c r="A1026" s="1">
        <v>2250</v>
      </c>
      <c r="B1026" s="1" t="str">
        <v>2020-03-27</v>
      </c>
      <c r="C1026" s="1">
        <v>1.4883999999999999</v>
      </c>
      <c r="F1026" s="8">
        <f t="shared" si="45"/>
        <v>2250</v>
      </c>
      <c r="G1026" s="9">
        <f t="shared" si="46"/>
        <v>43917</v>
      </c>
      <c r="H1026" s="10">
        <f t="shared" si="47"/>
        <v>1.4883999999999999</v>
      </c>
    </row>
    <row r="1027" spans="1:8" x14ac:dyDescent="0.2">
      <c r="A1027" s="1">
        <v>32420</v>
      </c>
      <c r="B1027" s="1" t="str">
        <v>2020-03-27</v>
      </c>
      <c r="C1027" s="1">
        <v>2.9937999999999998</v>
      </c>
      <c r="F1027" s="8">
        <f t="shared" si="45"/>
        <v>32420</v>
      </c>
      <c r="G1027" s="9">
        <f t="shared" si="46"/>
        <v>43917</v>
      </c>
      <c r="H1027" s="10">
        <f t="shared" si="47"/>
        <v>2.9937999999999998</v>
      </c>
    </row>
    <row r="1028" spans="1:8" x14ac:dyDescent="0.2">
      <c r="A1028" s="1">
        <v>81</v>
      </c>
      <c r="B1028" s="1" t="str">
        <v>2020-03-27</v>
      </c>
      <c r="C1028" s="1">
        <v>3.1642999999999999</v>
      </c>
      <c r="F1028" s="8">
        <f t="shared" si="45"/>
        <v>81</v>
      </c>
      <c r="G1028" s="9">
        <f t="shared" si="46"/>
        <v>43917</v>
      </c>
      <c r="H1028" s="10">
        <f t="shared" si="47"/>
        <v>3.1642999999999999</v>
      </c>
    </row>
    <row r="1029" spans="1:8" x14ac:dyDescent="0.2">
      <c r="A1029" s="1">
        <v>156</v>
      </c>
      <c r="B1029" s="1" t="str">
        <v>2020-03-27</v>
      </c>
      <c r="C1029" s="1">
        <v>3.1436999999999999</v>
      </c>
      <c r="F1029" s="8">
        <f t="shared" si="45"/>
        <v>156</v>
      </c>
      <c r="G1029" s="9">
        <f t="shared" si="46"/>
        <v>43917</v>
      </c>
      <c r="H1029" s="10">
        <f t="shared" si="47"/>
        <v>3.1436999999999999</v>
      </c>
    </row>
    <row r="1030" spans="1:8" x14ac:dyDescent="0.2">
      <c r="A1030" s="1">
        <v>109</v>
      </c>
      <c r="B1030" s="1" t="str">
        <v>2020-03-27</v>
      </c>
      <c r="C1030" s="1">
        <v>2.7948</v>
      </c>
      <c r="F1030" s="8">
        <f t="shared" si="45"/>
        <v>109</v>
      </c>
      <c r="G1030" s="9">
        <f t="shared" si="46"/>
        <v>43917</v>
      </c>
      <c r="H1030" s="10">
        <f t="shared" si="47"/>
        <v>2.7948</v>
      </c>
    </row>
    <row r="1031" spans="1:8" x14ac:dyDescent="0.2">
      <c r="A1031" s="1">
        <v>10</v>
      </c>
      <c r="B1031" s="1" t="str">
        <v>2020-03-30</v>
      </c>
      <c r="C1031" s="1">
        <v>2.3224999999999998</v>
      </c>
      <c r="F1031" s="8">
        <f t="shared" si="45"/>
        <v>10</v>
      </c>
      <c r="G1031" s="9">
        <f t="shared" si="46"/>
        <v>43920</v>
      </c>
      <c r="H1031" s="10">
        <f t="shared" si="47"/>
        <v>2.3224999999999998</v>
      </c>
    </row>
    <row r="1032" spans="1:8" x14ac:dyDescent="0.2">
      <c r="A1032" s="1">
        <v>33083</v>
      </c>
      <c r="B1032" s="1" t="str">
        <v>2020-03-30</v>
      </c>
      <c r="C1032" s="1">
        <v>2.8485</v>
      </c>
      <c r="F1032" s="8">
        <f t="shared" si="45"/>
        <v>33083</v>
      </c>
      <c r="G1032" s="9">
        <f t="shared" si="46"/>
        <v>43920</v>
      </c>
      <c r="H1032" s="10">
        <f t="shared" si="47"/>
        <v>2.8485</v>
      </c>
    </row>
    <row r="1033" spans="1:8" x14ac:dyDescent="0.2">
      <c r="A1033" s="1">
        <v>32</v>
      </c>
      <c r="B1033" s="1" t="str">
        <v>2020-03-30</v>
      </c>
      <c r="C1033" s="1">
        <v>2.4605999999999999</v>
      </c>
      <c r="F1033" s="8">
        <f t="shared" ref="F1033:F1096" si="48">A1033</f>
        <v>32</v>
      </c>
      <c r="G1033" s="9">
        <f t="shared" ref="G1033:G1096" si="49">DATE(LEFT(B1033,4),MID(B1033,6,2),RIGHT(B1033,2))</f>
        <v>43920</v>
      </c>
      <c r="H1033" s="10">
        <f t="shared" ref="H1033:H1096" si="50">C1033</f>
        <v>2.4605999999999999</v>
      </c>
    </row>
    <row r="1034" spans="1:8" x14ac:dyDescent="0.2">
      <c r="A1034" s="1">
        <v>32360</v>
      </c>
      <c r="B1034" s="1" t="str">
        <v>2020-03-30</v>
      </c>
      <c r="C1034" s="1">
        <v>2.4121999999999999</v>
      </c>
      <c r="F1034" s="8">
        <f t="shared" si="48"/>
        <v>32360</v>
      </c>
      <c r="G1034" s="9">
        <f t="shared" si="49"/>
        <v>43920</v>
      </c>
      <c r="H1034" s="10">
        <f t="shared" si="50"/>
        <v>2.4121999999999999</v>
      </c>
    </row>
    <row r="1035" spans="1:8" x14ac:dyDescent="0.2">
      <c r="A1035" s="1">
        <v>49</v>
      </c>
      <c r="B1035" s="1" t="str">
        <v>2020-03-30</v>
      </c>
      <c r="C1035" s="1">
        <v>2.7227000000000001</v>
      </c>
      <c r="F1035" s="8">
        <f t="shared" si="48"/>
        <v>49</v>
      </c>
      <c r="G1035" s="9">
        <f t="shared" si="49"/>
        <v>43920</v>
      </c>
      <c r="H1035" s="10">
        <f t="shared" si="50"/>
        <v>2.7227000000000001</v>
      </c>
    </row>
    <row r="1036" spans="1:8" x14ac:dyDescent="0.2">
      <c r="A1036" s="1">
        <v>32121</v>
      </c>
      <c r="B1036" s="1" t="str">
        <v>2020-03-30</v>
      </c>
      <c r="C1036" s="1">
        <v>2.7530000000000001</v>
      </c>
      <c r="F1036" s="8">
        <f t="shared" si="48"/>
        <v>32121</v>
      </c>
      <c r="G1036" s="9">
        <f t="shared" si="49"/>
        <v>43920</v>
      </c>
      <c r="H1036" s="10">
        <f t="shared" si="50"/>
        <v>2.7530000000000001</v>
      </c>
    </row>
    <row r="1037" spans="1:8" x14ac:dyDescent="0.2">
      <c r="A1037" s="1">
        <v>99</v>
      </c>
      <c r="B1037" s="1" t="str">
        <v>2020-03-30</v>
      </c>
      <c r="C1037" s="1">
        <v>3.3089</v>
      </c>
      <c r="F1037" s="8">
        <f t="shared" si="48"/>
        <v>99</v>
      </c>
      <c r="G1037" s="9">
        <f t="shared" si="49"/>
        <v>43920</v>
      </c>
      <c r="H1037" s="10">
        <f t="shared" si="50"/>
        <v>3.3089</v>
      </c>
    </row>
    <row r="1038" spans="1:8" x14ac:dyDescent="0.2">
      <c r="A1038" s="1">
        <v>32280</v>
      </c>
      <c r="B1038" s="1" t="str">
        <v>2020-03-30</v>
      </c>
      <c r="C1038" s="1">
        <v>1.8527</v>
      </c>
      <c r="F1038" s="8">
        <f t="shared" si="48"/>
        <v>32280</v>
      </c>
      <c r="G1038" s="9">
        <f t="shared" si="49"/>
        <v>43920</v>
      </c>
      <c r="H1038" s="10">
        <f t="shared" si="50"/>
        <v>1.8527</v>
      </c>
    </row>
    <row r="1039" spans="1:8" x14ac:dyDescent="0.2">
      <c r="A1039" s="1">
        <v>34</v>
      </c>
      <c r="B1039" s="1" t="str">
        <v>2020-03-30</v>
      </c>
      <c r="C1039" s="1">
        <v>2.2513000000000001</v>
      </c>
      <c r="F1039" s="8">
        <f t="shared" si="48"/>
        <v>34</v>
      </c>
      <c r="G1039" s="9">
        <f t="shared" si="49"/>
        <v>43920</v>
      </c>
      <c r="H1039" s="10">
        <f t="shared" si="50"/>
        <v>2.2513000000000001</v>
      </c>
    </row>
    <row r="1040" spans="1:8" x14ac:dyDescent="0.2">
      <c r="A1040" s="1">
        <v>28</v>
      </c>
      <c r="B1040" s="1" t="str">
        <v>2020-03-30</v>
      </c>
      <c r="C1040" s="1">
        <v>2.8144999999999998</v>
      </c>
      <c r="F1040" s="8">
        <f t="shared" si="48"/>
        <v>28</v>
      </c>
      <c r="G1040" s="9">
        <f t="shared" si="49"/>
        <v>43920</v>
      </c>
      <c r="H1040" s="10">
        <f t="shared" si="50"/>
        <v>2.8144999999999998</v>
      </c>
    </row>
    <row r="1041" spans="1:8" x14ac:dyDescent="0.2">
      <c r="A1041" s="1">
        <v>181</v>
      </c>
      <c r="B1041" s="1" t="str">
        <v>2020-03-30</v>
      </c>
      <c r="C1041" s="1">
        <v>2.1696</v>
      </c>
      <c r="F1041" s="8">
        <f t="shared" si="48"/>
        <v>181</v>
      </c>
      <c r="G1041" s="9">
        <f t="shared" si="49"/>
        <v>43920</v>
      </c>
      <c r="H1041" s="10">
        <f t="shared" si="50"/>
        <v>2.1696</v>
      </c>
    </row>
    <row r="1042" spans="1:8" x14ac:dyDescent="0.2">
      <c r="A1042" s="1">
        <v>33164</v>
      </c>
      <c r="B1042" s="1" t="str">
        <v>2020-03-30</v>
      </c>
      <c r="C1042" s="1">
        <v>2.7019000000000002</v>
      </c>
      <c r="F1042" s="8">
        <f t="shared" si="48"/>
        <v>33164</v>
      </c>
      <c r="G1042" s="9">
        <f t="shared" si="49"/>
        <v>43920</v>
      </c>
      <c r="H1042" s="10">
        <f t="shared" si="50"/>
        <v>2.7019000000000002</v>
      </c>
    </row>
    <row r="1043" spans="1:8" x14ac:dyDescent="0.2">
      <c r="A1043" s="1">
        <v>178</v>
      </c>
      <c r="B1043" s="1" t="str">
        <v>2020-03-30</v>
      </c>
      <c r="C1043" s="1">
        <v>2.7294999999999998</v>
      </c>
      <c r="F1043" s="8">
        <f t="shared" si="48"/>
        <v>178</v>
      </c>
      <c r="G1043" s="9">
        <f t="shared" si="49"/>
        <v>43920</v>
      </c>
      <c r="H1043" s="10">
        <f t="shared" si="50"/>
        <v>2.7294999999999998</v>
      </c>
    </row>
    <row r="1044" spans="1:8" x14ac:dyDescent="0.2">
      <c r="A1044" s="1">
        <v>32040</v>
      </c>
      <c r="B1044" s="1" t="str">
        <v>2020-03-31</v>
      </c>
      <c r="C1044" s="1">
        <v>2.4908000000000001</v>
      </c>
      <c r="F1044" s="8">
        <f t="shared" si="48"/>
        <v>32040</v>
      </c>
      <c r="G1044" s="9">
        <f t="shared" si="49"/>
        <v>43921</v>
      </c>
      <c r="H1044" s="10">
        <f t="shared" si="50"/>
        <v>2.4908000000000001</v>
      </c>
    </row>
    <row r="1045" spans="1:8" x14ac:dyDescent="0.2">
      <c r="A1045" s="1">
        <v>32480</v>
      </c>
      <c r="B1045" s="1" t="str">
        <v>2020-03-31</v>
      </c>
      <c r="C1045" s="1">
        <v>1.9968999999999999</v>
      </c>
      <c r="F1045" s="8">
        <f t="shared" si="48"/>
        <v>32480</v>
      </c>
      <c r="G1045" s="9">
        <f t="shared" si="49"/>
        <v>43921</v>
      </c>
      <c r="H1045" s="10">
        <f t="shared" si="50"/>
        <v>1.9968999999999999</v>
      </c>
    </row>
    <row r="1046" spans="1:8" x14ac:dyDescent="0.2">
      <c r="A1046" s="1">
        <v>55</v>
      </c>
      <c r="B1046" s="1" t="str">
        <v>2020-03-31</v>
      </c>
      <c r="C1046" s="1">
        <v>2.1084999999999998</v>
      </c>
      <c r="F1046" s="8">
        <f t="shared" si="48"/>
        <v>55</v>
      </c>
      <c r="G1046" s="9">
        <f t="shared" si="49"/>
        <v>43921</v>
      </c>
      <c r="H1046" s="10">
        <f t="shared" si="50"/>
        <v>2.1084999999999998</v>
      </c>
    </row>
    <row r="1047" spans="1:8" x14ac:dyDescent="0.2">
      <c r="A1047" s="1">
        <v>250</v>
      </c>
      <c r="B1047" s="1" t="str">
        <v>2020-04-02</v>
      </c>
      <c r="C1047" s="1">
        <v>2.4977999999999998</v>
      </c>
      <c r="F1047" s="8">
        <f t="shared" si="48"/>
        <v>250</v>
      </c>
      <c r="G1047" s="9">
        <f t="shared" si="49"/>
        <v>43923</v>
      </c>
      <c r="H1047" s="10">
        <f t="shared" si="50"/>
        <v>2.4977999999999998</v>
      </c>
    </row>
    <row r="1048" spans="1:8" x14ac:dyDescent="0.2">
      <c r="A1048" s="1">
        <v>33103</v>
      </c>
      <c r="B1048" s="1" t="str">
        <v>2020-04-02</v>
      </c>
      <c r="C1048" s="1">
        <v>3.7122000000000002</v>
      </c>
      <c r="F1048" s="8">
        <f t="shared" si="48"/>
        <v>33103</v>
      </c>
      <c r="G1048" s="9">
        <f t="shared" si="49"/>
        <v>43923</v>
      </c>
      <c r="H1048" s="10">
        <f t="shared" si="50"/>
        <v>3.7122000000000002</v>
      </c>
    </row>
    <row r="1049" spans="1:8" x14ac:dyDescent="0.2">
      <c r="A1049" s="1">
        <v>115</v>
      </c>
      <c r="B1049" s="1" t="str">
        <v>2020-04-02</v>
      </c>
      <c r="C1049" s="1">
        <v>2.5981000000000001</v>
      </c>
      <c r="F1049" s="8">
        <f t="shared" si="48"/>
        <v>115</v>
      </c>
      <c r="G1049" s="9">
        <f t="shared" si="49"/>
        <v>43923</v>
      </c>
      <c r="H1049" s="10">
        <f t="shared" si="50"/>
        <v>2.5981000000000001</v>
      </c>
    </row>
    <row r="1050" spans="1:8" x14ac:dyDescent="0.2">
      <c r="A1050" s="1">
        <v>32560</v>
      </c>
      <c r="B1050" s="1" t="str">
        <v>2020-04-02</v>
      </c>
      <c r="C1050" s="1">
        <v>2.5992999999999999</v>
      </c>
      <c r="F1050" s="8">
        <f t="shared" si="48"/>
        <v>32560</v>
      </c>
      <c r="G1050" s="9">
        <f t="shared" si="49"/>
        <v>43923</v>
      </c>
      <c r="H1050" s="10">
        <f t="shared" si="50"/>
        <v>2.5992999999999999</v>
      </c>
    </row>
    <row r="1051" spans="1:8" x14ac:dyDescent="0.2">
      <c r="A1051" s="1">
        <v>1</v>
      </c>
      <c r="B1051" s="1" t="str">
        <v>2020-04-03</v>
      </c>
      <c r="C1051" s="1">
        <v>2.5577999999999999</v>
      </c>
      <c r="F1051" s="8">
        <f t="shared" si="48"/>
        <v>1</v>
      </c>
      <c r="G1051" s="9">
        <f t="shared" si="49"/>
        <v>43924</v>
      </c>
      <c r="H1051" s="10">
        <f t="shared" si="50"/>
        <v>2.5577999999999999</v>
      </c>
    </row>
    <row r="1052" spans="1:8" x14ac:dyDescent="0.2">
      <c r="A1052" s="1">
        <v>32320</v>
      </c>
      <c r="B1052" s="1" t="str">
        <v>2020-04-03</v>
      </c>
      <c r="C1052" s="1">
        <v>1.9665999999999999</v>
      </c>
      <c r="F1052" s="8">
        <f t="shared" si="48"/>
        <v>32320</v>
      </c>
      <c r="G1052" s="9">
        <f t="shared" si="49"/>
        <v>43924</v>
      </c>
      <c r="H1052" s="10">
        <f t="shared" si="50"/>
        <v>1.9665999999999999</v>
      </c>
    </row>
    <row r="1053" spans="1:8" x14ac:dyDescent="0.2">
      <c r="A1053" s="1">
        <v>13250</v>
      </c>
      <c r="B1053" s="1" t="str">
        <v>2020-04-03</v>
      </c>
      <c r="C1053" s="1">
        <v>1.8340000000000001</v>
      </c>
      <c r="F1053" s="8">
        <f t="shared" si="48"/>
        <v>13250</v>
      </c>
      <c r="G1053" s="9">
        <f t="shared" si="49"/>
        <v>43924</v>
      </c>
      <c r="H1053" s="10">
        <f t="shared" si="50"/>
        <v>1.8340000000000001</v>
      </c>
    </row>
    <row r="1054" spans="1:8" x14ac:dyDescent="0.2">
      <c r="A1054" s="1">
        <v>132</v>
      </c>
      <c r="B1054" s="1" t="str">
        <v>2020-04-03</v>
      </c>
      <c r="C1054" s="1">
        <v>1.7229000000000001</v>
      </c>
      <c r="F1054" s="8">
        <f t="shared" si="48"/>
        <v>132</v>
      </c>
      <c r="G1054" s="9">
        <f t="shared" si="49"/>
        <v>43924</v>
      </c>
      <c r="H1054" s="10">
        <f t="shared" si="50"/>
        <v>1.7229000000000001</v>
      </c>
    </row>
    <row r="1055" spans="1:8" x14ac:dyDescent="0.2">
      <c r="A1055" s="1">
        <v>32421</v>
      </c>
      <c r="B1055" s="1" t="str">
        <v>2020-04-03</v>
      </c>
      <c r="C1055" s="1">
        <v>2.4060999999999999</v>
      </c>
      <c r="F1055" s="8">
        <f t="shared" si="48"/>
        <v>32421</v>
      </c>
      <c r="G1055" s="9">
        <f t="shared" si="49"/>
        <v>43924</v>
      </c>
      <c r="H1055" s="10">
        <f t="shared" si="50"/>
        <v>2.4060999999999999</v>
      </c>
    </row>
    <row r="1056" spans="1:8" x14ac:dyDescent="0.2">
      <c r="A1056" s="1">
        <v>33023</v>
      </c>
      <c r="B1056" s="1" t="str">
        <v>2020-04-03</v>
      </c>
      <c r="C1056" s="1">
        <v>2.8</v>
      </c>
      <c r="F1056" s="8">
        <f t="shared" si="48"/>
        <v>33023</v>
      </c>
      <c r="G1056" s="9">
        <f t="shared" si="49"/>
        <v>43924</v>
      </c>
      <c r="H1056" s="10">
        <f t="shared" si="50"/>
        <v>2.8</v>
      </c>
    </row>
    <row r="1057" spans="1:8" x14ac:dyDescent="0.2">
      <c r="A1057" s="1">
        <v>81</v>
      </c>
      <c r="B1057" s="1" t="str">
        <v>2020-04-03</v>
      </c>
      <c r="C1057" s="1">
        <v>2.4655</v>
      </c>
      <c r="F1057" s="8">
        <f t="shared" si="48"/>
        <v>81</v>
      </c>
      <c r="G1057" s="9">
        <f t="shared" si="49"/>
        <v>43924</v>
      </c>
      <c r="H1057" s="10">
        <f t="shared" si="50"/>
        <v>2.4655</v>
      </c>
    </row>
    <row r="1058" spans="1:8" x14ac:dyDescent="0.2">
      <c r="A1058" s="1">
        <v>32843</v>
      </c>
      <c r="B1058" s="1" t="str">
        <v>2020-04-03</v>
      </c>
      <c r="C1058" s="1">
        <v>2.2416</v>
      </c>
      <c r="F1058" s="8">
        <f t="shared" si="48"/>
        <v>32843</v>
      </c>
      <c r="G1058" s="9">
        <f t="shared" si="49"/>
        <v>43924</v>
      </c>
      <c r="H1058" s="10">
        <f t="shared" si="50"/>
        <v>2.2416</v>
      </c>
    </row>
    <row r="1059" spans="1:8" x14ac:dyDescent="0.2">
      <c r="A1059" s="1">
        <v>32260</v>
      </c>
      <c r="B1059" s="1" t="str">
        <v>2020-04-03</v>
      </c>
      <c r="C1059" s="1">
        <v>2.5369999999999999</v>
      </c>
      <c r="F1059" s="8">
        <f t="shared" si="48"/>
        <v>32260</v>
      </c>
      <c r="G1059" s="9">
        <f t="shared" si="49"/>
        <v>43924</v>
      </c>
      <c r="H1059" s="10">
        <f t="shared" si="50"/>
        <v>2.5369999999999999</v>
      </c>
    </row>
    <row r="1060" spans="1:8" x14ac:dyDescent="0.2">
      <c r="A1060" s="1">
        <v>101</v>
      </c>
      <c r="B1060" s="1" t="str">
        <v>2020-04-03</v>
      </c>
      <c r="C1060" s="1">
        <v>2.1800999999999999</v>
      </c>
      <c r="F1060" s="8">
        <f t="shared" si="48"/>
        <v>101</v>
      </c>
      <c r="G1060" s="9">
        <f t="shared" si="49"/>
        <v>43924</v>
      </c>
      <c r="H1060" s="10">
        <f t="shared" si="50"/>
        <v>2.1800999999999999</v>
      </c>
    </row>
    <row r="1061" spans="1:8" x14ac:dyDescent="0.2">
      <c r="A1061" s="1">
        <v>32180</v>
      </c>
      <c r="B1061" s="1" t="str">
        <v>2020-04-03</v>
      </c>
      <c r="C1061" s="1">
        <v>1.8204</v>
      </c>
      <c r="F1061" s="8">
        <f t="shared" si="48"/>
        <v>32180</v>
      </c>
      <c r="G1061" s="9">
        <f t="shared" si="49"/>
        <v>43924</v>
      </c>
      <c r="H1061" s="10">
        <f t="shared" si="50"/>
        <v>1.8204</v>
      </c>
    </row>
    <row r="1062" spans="1:8" x14ac:dyDescent="0.2">
      <c r="A1062" s="1">
        <v>30300</v>
      </c>
      <c r="B1062" s="1" t="str">
        <v>2020-04-03</v>
      </c>
      <c r="C1062" s="1">
        <v>2.3126000000000002</v>
      </c>
      <c r="F1062" s="8">
        <f t="shared" si="48"/>
        <v>30300</v>
      </c>
      <c r="G1062" s="9">
        <f t="shared" si="49"/>
        <v>43924</v>
      </c>
      <c r="H1062" s="10">
        <f t="shared" si="50"/>
        <v>2.3126000000000002</v>
      </c>
    </row>
    <row r="1063" spans="1:8" x14ac:dyDescent="0.2">
      <c r="A1063" s="1">
        <v>99</v>
      </c>
      <c r="B1063" s="1" t="str">
        <v>2020-04-03</v>
      </c>
      <c r="C1063" s="1">
        <v>2.9485000000000001</v>
      </c>
      <c r="F1063" s="8">
        <f t="shared" si="48"/>
        <v>99</v>
      </c>
      <c r="G1063" s="9">
        <f t="shared" si="49"/>
        <v>43924</v>
      </c>
      <c r="H1063" s="10">
        <f t="shared" si="50"/>
        <v>2.9485000000000001</v>
      </c>
    </row>
    <row r="1064" spans="1:8" x14ac:dyDescent="0.2">
      <c r="A1064" s="1">
        <v>32340</v>
      </c>
      <c r="B1064" s="1" t="str">
        <v>2020-04-03</v>
      </c>
      <c r="C1064" s="1">
        <v>2.3730000000000002</v>
      </c>
      <c r="F1064" s="8">
        <f t="shared" si="48"/>
        <v>32340</v>
      </c>
      <c r="G1064" s="9">
        <f t="shared" si="49"/>
        <v>43924</v>
      </c>
      <c r="H1064" s="10">
        <f t="shared" si="50"/>
        <v>2.3730000000000002</v>
      </c>
    </row>
    <row r="1065" spans="1:8" x14ac:dyDescent="0.2">
      <c r="A1065" s="1">
        <v>187</v>
      </c>
      <c r="B1065" s="1" t="str">
        <v>2020-04-03</v>
      </c>
      <c r="C1065" s="1">
        <v>2.5369999999999999</v>
      </c>
      <c r="F1065" s="8">
        <f t="shared" si="48"/>
        <v>187</v>
      </c>
      <c r="G1065" s="9">
        <f t="shared" si="49"/>
        <v>43924</v>
      </c>
      <c r="H1065" s="10">
        <f t="shared" si="50"/>
        <v>2.5369999999999999</v>
      </c>
    </row>
    <row r="1066" spans="1:8" x14ac:dyDescent="0.2">
      <c r="A1066" s="1">
        <v>32883</v>
      </c>
      <c r="B1066" s="1" t="str">
        <v>2020-04-03</v>
      </c>
      <c r="C1066" s="1">
        <v>2.3125</v>
      </c>
      <c r="F1066" s="8">
        <f t="shared" si="48"/>
        <v>32883</v>
      </c>
      <c r="G1066" s="9">
        <f t="shared" si="49"/>
        <v>43924</v>
      </c>
      <c r="H1066" s="10">
        <f t="shared" si="50"/>
        <v>2.3125</v>
      </c>
    </row>
    <row r="1067" spans="1:8" x14ac:dyDescent="0.2">
      <c r="A1067" s="1">
        <v>102</v>
      </c>
      <c r="B1067" s="1" t="str">
        <v>2020-04-03</v>
      </c>
      <c r="C1067" s="1">
        <v>2.2416</v>
      </c>
      <c r="F1067" s="8">
        <f t="shared" si="48"/>
        <v>102</v>
      </c>
      <c r="G1067" s="9">
        <f t="shared" si="49"/>
        <v>43924</v>
      </c>
      <c r="H1067" s="10">
        <f t="shared" si="50"/>
        <v>2.2416</v>
      </c>
    </row>
    <row r="1068" spans="1:8" x14ac:dyDescent="0.2">
      <c r="A1068" s="1">
        <v>49</v>
      </c>
      <c r="B1068" s="1" t="str">
        <v>2020-04-03</v>
      </c>
      <c r="C1068" s="1">
        <v>2.3340000000000001</v>
      </c>
      <c r="F1068" s="8">
        <f t="shared" si="48"/>
        <v>49</v>
      </c>
      <c r="G1068" s="9">
        <f t="shared" si="49"/>
        <v>43924</v>
      </c>
      <c r="H1068" s="10">
        <f t="shared" si="50"/>
        <v>2.3340000000000001</v>
      </c>
    </row>
    <row r="1069" spans="1:8" x14ac:dyDescent="0.2">
      <c r="A1069" s="1">
        <v>32420</v>
      </c>
      <c r="B1069" s="1" t="str">
        <v>2020-04-03</v>
      </c>
      <c r="C1069" s="1">
        <v>3.2570000000000001</v>
      </c>
      <c r="F1069" s="8">
        <f t="shared" si="48"/>
        <v>32420</v>
      </c>
      <c r="G1069" s="9">
        <f t="shared" si="49"/>
        <v>43924</v>
      </c>
      <c r="H1069" s="10">
        <f t="shared" si="50"/>
        <v>3.2570000000000001</v>
      </c>
    </row>
    <row r="1070" spans="1:8" x14ac:dyDescent="0.2">
      <c r="A1070" s="1">
        <v>32964</v>
      </c>
      <c r="B1070" s="1" t="str">
        <v>2020-04-03</v>
      </c>
      <c r="C1070" s="1">
        <v>2.3500999999999999</v>
      </c>
      <c r="F1070" s="8">
        <f t="shared" si="48"/>
        <v>32964</v>
      </c>
      <c r="G1070" s="9">
        <f t="shared" si="49"/>
        <v>43924</v>
      </c>
      <c r="H1070" s="10">
        <f t="shared" si="50"/>
        <v>2.3500999999999999</v>
      </c>
    </row>
    <row r="1071" spans="1:8" x14ac:dyDescent="0.2">
      <c r="A1071" s="1">
        <v>32502</v>
      </c>
      <c r="B1071" s="1" t="str">
        <v>2020-04-03</v>
      </c>
      <c r="C1071" s="1">
        <v>2.4965999999999999</v>
      </c>
      <c r="F1071" s="8">
        <f t="shared" si="48"/>
        <v>32502</v>
      </c>
      <c r="G1071" s="9">
        <f t="shared" si="49"/>
        <v>43924</v>
      </c>
      <c r="H1071" s="10">
        <f t="shared" si="50"/>
        <v>2.4965999999999999</v>
      </c>
    </row>
    <row r="1072" spans="1:8" x14ac:dyDescent="0.2">
      <c r="A1072" s="1">
        <v>2250</v>
      </c>
      <c r="B1072" s="1" t="str">
        <v>2020-04-03</v>
      </c>
      <c r="C1072" s="1">
        <v>1.5085999999999999</v>
      </c>
      <c r="F1072" s="8">
        <f t="shared" si="48"/>
        <v>2250</v>
      </c>
      <c r="G1072" s="9">
        <f t="shared" si="49"/>
        <v>43924</v>
      </c>
      <c r="H1072" s="10">
        <f t="shared" si="50"/>
        <v>1.5085999999999999</v>
      </c>
    </row>
    <row r="1073" spans="1:8" x14ac:dyDescent="0.2">
      <c r="A1073" s="1">
        <v>33130</v>
      </c>
      <c r="B1073" s="1" t="str">
        <v>2020-04-03</v>
      </c>
      <c r="C1073" s="1">
        <v>1.9556</v>
      </c>
      <c r="F1073" s="8">
        <f t="shared" si="48"/>
        <v>33130</v>
      </c>
      <c r="G1073" s="9">
        <f t="shared" si="49"/>
        <v>43924</v>
      </c>
      <c r="H1073" s="10">
        <f t="shared" si="50"/>
        <v>1.9556</v>
      </c>
    </row>
    <row r="1074" spans="1:8" x14ac:dyDescent="0.2">
      <c r="A1074" s="1">
        <v>33125</v>
      </c>
      <c r="B1074" s="1" t="str">
        <v>2020-04-08</v>
      </c>
      <c r="C1074" s="1">
        <v>1.7008000000000001</v>
      </c>
      <c r="F1074" s="8">
        <f t="shared" si="48"/>
        <v>33125</v>
      </c>
      <c r="G1074" s="9">
        <f t="shared" si="49"/>
        <v>43929</v>
      </c>
      <c r="H1074" s="10">
        <f t="shared" si="50"/>
        <v>1.7008000000000001</v>
      </c>
    </row>
    <row r="1075" spans="1:8" x14ac:dyDescent="0.2">
      <c r="A1075" s="1">
        <v>150</v>
      </c>
      <c r="B1075" s="1" t="str">
        <v>2020-04-08</v>
      </c>
      <c r="C1075" s="1">
        <v>3.5943000000000001</v>
      </c>
      <c r="F1075" s="8">
        <f t="shared" si="48"/>
        <v>150</v>
      </c>
      <c r="G1075" s="9">
        <f t="shared" si="49"/>
        <v>43929</v>
      </c>
      <c r="H1075" s="10">
        <f t="shared" si="50"/>
        <v>3.5943000000000001</v>
      </c>
    </row>
    <row r="1076" spans="1:8" x14ac:dyDescent="0.2">
      <c r="A1076" s="1">
        <v>67</v>
      </c>
      <c r="B1076" s="1" t="str">
        <v>2020-04-08</v>
      </c>
      <c r="C1076" s="1">
        <v>2.6598999999999999</v>
      </c>
      <c r="F1076" s="8">
        <f t="shared" si="48"/>
        <v>67</v>
      </c>
      <c r="G1076" s="9">
        <f t="shared" si="49"/>
        <v>43929</v>
      </c>
      <c r="H1076" s="10">
        <f t="shared" si="50"/>
        <v>2.6598999999999999</v>
      </c>
    </row>
    <row r="1077" spans="1:8" x14ac:dyDescent="0.2">
      <c r="A1077" s="1">
        <v>147</v>
      </c>
      <c r="B1077" s="1" t="str">
        <v>2020-04-08</v>
      </c>
      <c r="C1077" s="1">
        <v>1.8130999999999999</v>
      </c>
      <c r="F1077" s="8">
        <f t="shared" si="48"/>
        <v>147</v>
      </c>
      <c r="G1077" s="9">
        <f t="shared" si="49"/>
        <v>43929</v>
      </c>
      <c r="H1077" s="10">
        <f t="shared" si="50"/>
        <v>1.8130999999999999</v>
      </c>
    </row>
    <row r="1078" spans="1:8" x14ac:dyDescent="0.2">
      <c r="A1078" s="1">
        <v>32400</v>
      </c>
      <c r="B1078" s="1" t="str">
        <v>2020-04-07</v>
      </c>
      <c r="C1078" s="1">
        <v>2.2000000000000002</v>
      </c>
      <c r="F1078" s="8">
        <f t="shared" si="48"/>
        <v>32400</v>
      </c>
      <c r="G1078" s="9">
        <f t="shared" si="49"/>
        <v>43928</v>
      </c>
      <c r="H1078" s="10">
        <f t="shared" si="50"/>
        <v>2.2000000000000002</v>
      </c>
    </row>
    <row r="1079" spans="1:8" x14ac:dyDescent="0.2">
      <c r="A1079" s="1">
        <v>181</v>
      </c>
      <c r="B1079" s="1" t="str">
        <v>2020-04-07</v>
      </c>
      <c r="C1079" s="1">
        <v>2.3188</v>
      </c>
      <c r="F1079" s="8">
        <f t="shared" si="48"/>
        <v>181</v>
      </c>
      <c r="G1079" s="9">
        <f t="shared" si="49"/>
        <v>43928</v>
      </c>
      <c r="H1079" s="10">
        <f t="shared" si="50"/>
        <v>2.3188</v>
      </c>
    </row>
    <row r="1080" spans="1:8" x14ac:dyDescent="0.2">
      <c r="A1080" s="1">
        <v>16</v>
      </c>
      <c r="B1080" s="1" t="str">
        <v>2020-04-07</v>
      </c>
      <c r="C1080" s="1">
        <v>2.8149000000000002</v>
      </c>
      <c r="F1080" s="8">
        <f t="shared" si="48"/>
        <v>16</v>
      </c>
      <c r="G1080" s="9">
        <f t="shared" si="49"/>
        <v>43928</v>
      </c>
      <c r="H1080" s="10">
        <f t="shared" si="50"/>
        <v>2.8149000000000002</v>
      </c>
    </row>
    <row r="1081" spans="1:8" x14ac:dyDescent="0.2">
      <c r="A1081" s="1">
        <v>53</v>
      </c>
      <c r="B1081" s="1" t="str">
        <v>2020-04-07</v>
      </c>
      <c r="C1081" s="1">
        <v>1.528</v>
      </c>
      <c r="F1081" s="8">
        <f t="shared" si="48"/>
        <v>53</v>
      </c>
      <c r="G1081" s="9">
        <f t="shared" si="49"/>
        <v>43928</v>
      </c>
      <c r="H1081" s="10">
        <f t="shared" si="50"/>
        <v>1.528</v>
      </c>
    </row>
    <row r="1082" spans="1:8" x14ac:dyDescent="0.2">
      <c r="A1082" s="1">
        <v>32280</v>
      </c>
      <c r="B1082" s="1" t="str">
        <v>2020-04-07</v>
      </c>
      <c r="C1082" s="1">
        <v>1.6093999999999999</v>
      </c>
      <c r="F1082" s="8">
        <f t="shared" si="48"/>
        <v>32280</v>
      </c>
      <c r="G1082" s="9">
        <f t="shared" si="49"/>
        <v>43928</v>
      </c>
      <c r="H1082" s="10">
        <f t="shared" si="50"/>
        <v>1.6093999999999999</v>
      </c>
    </row>
    <row r="1083" spans="1:8" x14ac:dyDescent="0.2">
      <c r="A1083" s="1">
        <v>176</v>
      </c>
      <c r="B1083" s="1" t="str">
        <v>2020-04-07</v>
      </c>
      <c r="C1083" s="1">
        <v>2.6817000000000002</v>
      </c>
      <c r="F1083" s="8">
        <f t="shared" si="48"/>
        <v>176</v>
      </c>
      <c r="G1083" s="9">
        <f t="shared" si="49"/>
        <v>43928</v>
      </c>
      <c r="H1083" s="10">
        <f t="shared" si="50"/>
        <v>2.6817000000000002</v>
      </c>
    </row>
    <row r="1084" spans="1:8" x14ac:dyDescent="0.2">
      <c r="A1084" s="1">
        <v>115</v>
      </c>
      <c r="B1084" s="1" t="str">
        <v>2020-04-07</v>
      </c>
      <c r="C1084" s="1">
        <v>2.5167000000000002</v>
      </c>
      <c r="F1084" s="8">
        <f t="shared" si="48"/>
        <v>115</v>
      </c>
      <c r="G1084" s="9">
        <f t="shared" si="49"/>
        <v>43928</v>
      </c>
      <c r="H1084" s="10">
        <f t="shared" si="50"/>
        <v>2.5167000000000002</v>
      </c>
    </row>
    <row r="1085" spans="1:8" x14ac:dyDescent="0.2">
      <c r="A1085" s="1">
        <v>32603</v>
      </c>
      <c r="B1085" s="1" t="str">
        <v>2020-04-07</v>
      </c>
      <c r="C1085" s="1">
        <v>2.9485000000000001</v>
      </c>
      <c r="F1085" s="8">
        <f t="shared" si="48"/>
        <v>32603</v>
      </c>
      <c r="G1085" s="9">
        <f t="shared" si="49"/>
        <v>43928</v>
      </c>
      <c r="H1085" s="10">
        <f t="shared" si="50"/>
        <v>2.9485000000000001</v>
      </c>
    </row>
    <row r="1086" spans="1:8" x14ac:dyDescent="0.2">
      <c r="A1086" s="1">
        <v>32521</v>
      </c>
      <c r="B1086" s="1" t="str">
        <v>2020-04-07</v>
      </c>
      <c r="C1086" s="1">
        <v>3</v>
      </c>
      <c r="F1086" s="8">
        <f t="shared" si="48"/>
        <v>32521</v>
      </c>
      <c r="G1086" s="9">
        <f t="shared" si="49"/>
        <v>43928</v>
      </c>
      <c r="H1086" s="10">
        <f t="shared" si="50"/>
        <v>3</v>
      </c>
    </row>
    <row r="1087" spans="1:8" x14ac:dyDescent="0.2">
      <c r="A1087" s="1">
        <v>32663</v>
      </c>
      <c r="B1087" s="1" t="str">
        <v>2020-04-06</v>
      </c>
      <c r="C1087" s="1">
        <v>3.0310999999999999</v>
      </c>
      <c r="F1087" s="8">
        <f t="shared" si="48"/>
        <v>32663</v>
      </c>
      <c r="G1087" s="9">
        <f t="shared" si="49"/>
        <v>43927</v>
      </c>
      <c r="H1087" s="10">
        <f t="shared" si="50"/>
        <v>3.0310999999999999</v>
      </c>
    </row>
    <row r="1088" spans="1:8" x14ac:dyDescent="0.2">
      <c r="A1088" s="1">
        <v>139</v>
      </c>
      <c r="B1088" s="1" t="str">
        <v>2020-04-06</v>
      </c>
      <c r="C1088" s="1">
        <v>2.0379</v>
      </c>
      <c r="F1088" s="8">
        <f t="shared" si="48"/>
        <v>139</v>
      </c>
      <c r="G1088" s="9">
        <f t="shared" si="49"/>
        <v>43927</v>
      </c>
      <c r="H1088" s="10">
        <f t="shared" si="50"/>
        <v>2.0379</v>
      </c>
    </row>
    <row r="1089" spans="1:8" x14ac:dyDescent="0.2">
      <c r="A1089" s="1">
        <v>53</v>
      </c>
      <c r="B1089" s="1" t="str">
        <v>2020-04-06</v>
      </c>
      <c r="C1089" s="1">
        <v>2.4146999999999998</v>
      </c>
      <c r="F1089" s="8">
        <f t="shared" si="48"/>
        <v>53</v>
      </c>
      <c r="G1089" s="9">
        <f t="shared" si="49"/>
        <v>43927</v>
      </c>
      <c r="H1089" s="10">
        <f t="shared" si="50"/>
        <v>2.4146999999999998</v>
      </c>
    </row>
    <row r="1090" spans="1:8" x14ac:dyDescent="0.2">
      <c r="A1090" s="1">
        <v>157</v>
      </c>
      <c r="B1090" s="1" t="str">
        <v>2020-04-06</v>
      </c>
      <c r="C1090" s="1">
        <v>3.1</v>
      </c>
      <c r="F1090" s="8">
        <f t="shared" si="48"/>
        <v>157</v>
      </c>
      <c r="G1090" s="9">
        <f t="shared" si="49"/>
        <v>43927</v>
      </c>
      <c r="H1090" s="10">
        <f t="shared" si="50"/>
        <v>3.1</v>
      </c>
    </row>
    <row r="1091" spans="1:8" x14ac:dyDescent="0.2">
      <c r="A1091" s="1">
        <v>182</v>
      </c>
      <c r="B1091" s="1" t="str">
        <v>2020-04-06</v>
      </c>
      <c r="C1091" s="1">
        <v>3.0306000000000002</v>
      </c>
      <c r="F1091" s="8">
        <f t="shared" si="48"/>
        <v>182</v>
      </c>
      <c r="G1091" s="9">
        <f t="shared" si="49"/>
        <v>43927</v>
      </c>
      <c r="H1091" s="10">
        <f t="shared" si="50"/>
        <v>3.0306000000000002</v>
      </c>
    </row>
    <row r="1092" spans="1:8" x14ac:dyDescent="0.2">
      <c r="A1092" s="1">
        <v>32724</v>
      </c>
      <c r="B1092" s="1" t="str">
        <v>2020-04-06</v>
      </c>
      <c r="C1092" s="1">
        <v>2.3439999999999999</v>
      </c>
      <c r="F1092" s="8">
        <f t="shared" si="48"/>
        <v>32724</v>
      </c>
      <c r="G1092" s="9">
        <f t="shared" si="49"/>
        <v>43927</v>
      </c>
      <c r="H1092" s="10">
        <f t="shared" si="50"/>
        <v>2.3439999999999999</v>
      </c>
    </row>
    <row r="1093" spans="1:8" x14ac:dyDescent="0.2">
      <c r="A1093" s="1">
        <v>33143</v>
      </c>
      <c r="B1093" s="1" t="str">
        <v>2020-04-06</v>
      </c>
      <c r="C1093" s="1">
        <v>3</v>
      </c>
      <c r="F1093" s="8">
        <f t="shared" si="48"/>
        <v>33143</v>
      </c>
      <c r="G1093" s="9">
        <f t="shared" si="49"/>
        <v>43927</v>
      </c>
      <c r="H1093" s="10">
        <f t="shared" si="50"/>
        <v>3</v>
      </c>
    </row>
    <row r="1094" spans="1:8" x14ac:dyDescent="0.2">
      <c r="A1094" s="1">
        <v>32421</v>
      </c>
      <c r="B1094" s="1" t="str">
        <v>2020-04-06</v>
      </c>
      <c r="C1094" s="1">
        <v>2.3056999999999999</v>
      </c>
      <c r="F1094" s="8">
        <f t="shared" si="48"/>
        <v>32421</v>
      </c>
      <c r="G1094" s="9">
        <f t="shared" si="49"/>
        <v>43927</v>
      </c>
      <c r="H1094" s="10">
        <f t="shared" si="50"/>
        <v>2.3056999999999999</v>
      </c>
    </row>
    <row r="1095" spans="1:8" x14ac:dyDescent="0.2">
      <c r="A1095" s="1">
        <v>24</v>
      </c>
      <c r="B1095" s="1" t="str">
        <v>2020-04-06</v>
      </c>
      <c r="C1095" s="1">
        <v>2.9691999999999998</v>
      </c>
      <c r="F1095" s="8">
        <f t="shared" si="48"/>
        <v>24</v>
      </c>
      <c r="G1095" s="9">
        <f t="shared" si="49"/>
        <v>43927</v>
      </c>
      <c r="H1095" s="10">
        <f t="shared" si="50"/>
        <v>2.9691999999999998</v>
      </c>
    </row>
    <row r="1096" spans="1:8" x14ac:dyDescent="0.2">
      <c r="A1096" s="1">
        <v>178</v>
      </c>
      <c r="B1096" s="1" t="str">
        <v>2020-04-06</v>
      </c>
      <c r="C1096" s="1">
        <v>2.7202000000000002</v>
      </c>
      <c r="F1096" s="8">
        <f t="shared" si="48"/>
        <v>178</v>
      </c>
      <c r="G1096" s="9">
        <f t="shared" si="49"/>
        <v>43927</v>
      </c>
      <c r="H1096" s="10">
        <f t="shared" si="50"/>
        <v>2.7202000000000002</v>
      </c>
    </row>
    <row r="1097" spans="1:8" x14ac:dyDescent="0.2">
      <c r="A1097" s="1">
        <v>77</v>
      </c>
      <c r="B1097" s="1" t="str">
        <v>2020-04-06</v>
      </c>
      <c r="C1097" s="1">
        <v>2.3136999999999999</v>
      </c>
      <c r="F1097" s="8">
        <f t="shared" ref="F1097:F1160" si="51">A1097</f>
        <v>77</v>
      </c>
      <c r="G1097" s="9">
        <f t="shared" ref="G1097:G1160" si="52">DATE(LEFT(B1097,4),MID(B1097,6,2),RIGHT(B1097,2))</f>
        <v>43927</v>
      </c>
      <c r="H1097" s="10">
        <f t="shared" ref="H1097:H1160" si="53">C1097</f>
        <v>2.3136999999999999</v>
      </c>
    </row>
    <row r="1098" spans="1:8" x14ac:dyDescent="0.2">
      <c r="A1098" s="1">
        <v>33023</v>
      </c>
      <c r="B1098" s="1" t="str">
        <v>2020-04-09</v>
      </c>
      <c r="C1098" s="1">
        <v>2.5</v>
      </c>
      <c r="F1098" s="8">
        <f t="shared" si="51"/>
        <v>33023</v>
      </c>
      <c r="G1098" s="9">
        <f t="shared" si="52"/>
        <v>43930</v>
      </c>
      <c r="H1098" s="10">
        <f t="shared" si="53"/>
        <v>2.5</v>
      </c>
    </row>
    <row r="1099" spans="1:8" x14ac:dyDescent="0.2">
      <c r="A1099" s="1">
        <v>32500</v>
      </c>
      <c r="B1099" s="1" t="str">
        <v>2020-04-09</v>
      </c>
      <c r="C1099" s="1">
        <v>1.6006</v>
      </c>
      <c r="F1099" s="8">
        <f t="shared" si="51"/>
        <v>32500</v>
      </c>
      <c r="G1099" s="9">
        <f t="shared" si="52"/>
        <v>43930</v>
      </c>
      <c r="H1099" s="10">
        <f t="shared" si="53"/>
        <v>1.6006</v>
      </c>
    </row>
    <row r="1100" spans="1:8" x14ac:dyDescent="0.2">
      <c r="A1100" s="1">
        <v>102</v>
      </c>
      <c r="B1100" s="1" t="str">
        <v>2020-04-09</v>
      </c>
      <c r="C1100" s="1">
        <v>2.0375999999999999</v>
      </c>
      <c r="F1100" s="8">
        <f t="shared" si="51"/>
        <v>102</v>
      </c>
      <c r="G1100" s="9">
        <f t="shared" si="52"/>
        <v>43930</v>
      </c>
      <c r="H1100" s="10">
        <f t="shared" si="53"/>
        <v>2.0375999999999999</v>
      </c>
    </row>
    <row r="1101" spans="1:8" x14ac:dyDescent="0.2">
      <c r="A1101" s="1">
        <v>32803</v>
      </c>
      <c r="B1101" s="1" t="str">
        <v>2020-04-09</v>
      </c>
      <c r="C1101" s="1">
        <v>1.0727</v>
      </c>
      <c r="F1101" s="8">
        <f t="shared" si="51"/>
        <v>32803</v>
      </c>
      <c r="G1101" s="9">
        <f t="shared" si="52"/>
        <v>43930</v>
      </c>
      <c r="H1101" s="10">
        <f t="shared" si="53"/>
        <v>1.0727</v>
      </c>
    </row>
    <row r="1102" spans="1:8" x14ac:dyDescent="0.2">
      <c r="A1102" s="1">
        <v>171</v>
      </c>
      <c r="B1102" s="1" t="str">
        <v>2020-04-09</v>
      </c>
      <c r="C1102" s="1">
        <v>1.6901999999999999</v>
      </c>
      <c r="F1102" s="8">
        <f t="shared" si="51"/>
        <v>171</v>
      </c>
      <c r="G1102" s="9">
        <f t="shared" si="52"/>
        <v>43930</v>
      </c>
      <c r="H1102" s="10">
        <f t="shared" si="53"/>
        <v>1.6901999999999999</v>
      </c>
    </row>
    <row r="1103" spans="1:8" x14ac:dyDescent="0.2">
      <c r="A1103" s="1">
        <v>33103</v>
      </c>
      <c r="B1103" s="1" t="str">
        <v>2020-04-09</v>
      </c>
      <c r="C1103" s="1">
        <v>3.7088000000000001</v>
      </c>
      <c r="F1103" s="8">
        <f t="shared" si="51"/>
        <v>33103</v>
      </c>
      <c r="G1103" s="9">
        <f t="shared" si="52"/>
        <v>43930</v>
      </c>
      <c r="H1103" s="10">
        <f t="shared" si="53"/>
        <v>3.7088000000000001</v>
      </c>
    </row>
    <row r="1104" spans="1:8" x14ac:dyDescent="0.2">
      <c r="A1104" s="1">
        <v>55</v>
      </c>
      <c r="B1104" s="1" t="str">
        <v>2020-04-09</v>
      </c>
      <c r="C1104" s="1">
        <v>2.0876999999999999</v>
      </c>
      <c r="F1104" s="8">
        <f t="shared" si="51"/>
        <v>55</v>
      </c>
      <c r="G1104" s="9">
        <f t="shared" si="52"/>
        <v>43930</v>
      </c>
      <c r="H1104" s="10">
        <f t="shared" si="53"/>
        <v>2.0876999999999999</v>
      </c>
    </row>
    <row r="1105" spans="1:8" x14ac:dyDescent="0.2">
      <c r="A1105" s="1">
        <v>1</v>
      </c>
      <c r="B1105" s="1" t="str">
        <v>2020-04-09</v>
      </c>
      <c r="C1105" s="1">
        <v>2.3531</v>
      </c>
      <c r="F1105" s="8">
        <f t="shared" si="51"/>
        <v>1</v>
      </c>
      <c r="G1105" s="9">
        <f t="shared" si="52"/>
        <v>43930</v>
      </c>
      <c r="H1105" s="10">
        <f t="shared" si="53"/>
        <v>2.3531</v>
      </c>
    </row>
    <row r="1106" spans="1:8" x14ac:dyDescent="0.2">
      <c r="A1106" s="1">
        <v>177</v>
      </c>
      <c r="B1106" s="1" t="str">
        <v>2020-04-09</v>
      </c>
      <c r="C1106" s="1">
        <v>2.9055</v>
      </c>
      <c r="F1106" s="8">
        <f t="shared" si="51"/>
        <v>177</v>
      </c>
      <c r="G1106" s="9">
        <f t="shared" si="52"/>
        <v>43930</v>
      </c>
      <c r="H1106" s="10">
        <f t="shared" si="53"/>
        <v>2.9055</v>
      </c>
    </row>
    <row r="1107" spans="1:8" x14ac:dyDescent="0.2">
      <c r="A1107" s="1">
        <v>143</v>
      </c>
      <c r="B1107" s="1" t="str">
        <v>2020-04-09</v>
      </c>
      <c r="C1107" s="1">
        <v>1.9746999999999999</v>
      </c>
      <c r="F1107" s="8">
        <f t="shared" si="51"/>
        <v>143</v>
      </c>
      <c r="G1107" s="9">
        <f t="shared" si="52"/>
        <v>43930</v>
      </c>
      <c r="H1107" s="10">
        <f t="shared" si="53"/>
        <v>1.9746999999999999</v>
      </c>
    </row>
    <row r="1108" spans="1:8" x14ac:dyDescent="0.2">
      <c r="A1108" s="1">
        <v>32783</v>
      </c>
      <c r="B1108" s="1" t="str">
        <v>2020-04-09</v>
      </c>
      <c r="C1108" s="1">
        <v>2.7216</v>
      </c>
      <c r="F1108" s="8">
        <f t="shared" si="51"/>
        <v>32783</v>
      </c>
      <c r="G1108" s="9">
        <f t="shared" si="52"/>
        <v>43930</v>
      </c>
      <c r="H1108" s="10">
        <f t="shared" si="53"/>
        <v>2.7216</v>
      </c>
    </row>
    <row r="1109" spans="1:8" x14ac:dyDescent="0.2">
      <c r="A1109" s="1">
        <v>99</v>
      </c>
      <c r="B1109" s="1" t="str">
        <v>2020-04-09</v>
      </c>
      <c r="C1109" s="1">
        <v>2.9380999999999999</v>
      </c>
      <c r="F1109" s="8">
        <f t="shared" si="51"/>
        <v>99</v>
      </c>
      <c r="G1109" s="9">
        <f t="shared" si="52"/>
        <v>43930</v>
      </c>
      <c r="H1109" s="10">
        <f t="shared" si="53"/>
        <v>2.9380999999999999</v>
      </c>
    </row>
    <row r="1110" spans="1:8" x14ac:dyDescent="0.2">
      <c r="A1110" s="1">
        <v>32040</v>
      </c>
      <c r="B1110" s="1" t="str">
        <v>2020-04-09</v>
      </c>
      <c r="C1110" s="1">
        <v>2.1566000000000001</v>
      </c>
      <c r="F1110" s="8">
        <f t="shared" si="51"/>
        <v>32040</v>
      </c>
      <c r="G1110" s="9">
        <f t="shared" si="52"/>
        <v>43930</v>
      </c>
      <c r="H1110" s="10">
        <f t="shared" si="53"/>
        <v>2.1566000000000001</v>
      </c>
    </row>
    <row r="1111" spans="1:8" x14ac:dyDescent="0.2">
      <c r="A1111" s="1">
        <v>2250</v>
      </c>
      <c r="B1111" s="1" t="str">
        <v>2020-04-09</v>
      </c>
      <c r="C1111" s="1">
        <v>1.468</v>
      </c>
      <c r="F1111" s="8">
        <f t="shared" si="51"/>
        <v>2250</v>
      </c>
      <c r="G1111" s="9">
        <f t="shared" si="52"/>
        <v>43930</v>
      </c>
      <c r="H1111" s="10">
        <f t="shared" si="53"/>
        <v>1.468</v>
      </c>
    </row>
    <row r="1112" spans="1:8" x14ac:dyDescent="0.2">
      <c r="A1112" s="1">
        <v>33125</v>
      </c>
      <c r="B1112" s="1" t="str">
        <v>2020-04-09</v>
      </c>
      <c r="C1112" s="1">
        <v>1.7009000000000001</v>
      </c>
      <c r="F1112" s="8">
        <f t="shared" si="51"/>
        <v>33125</v>
      </c>
      <c r="G1112" s="9">
        <f t="shared" si="52"/>
        <v>43930</v>
      </c>
      <c r="H1112" s="10">
        <f t="shared" si="53"/>
        <v>1.7009000000000001</v>
      </c>
    </row>
    <row r="1113" spans="1:8" x14ac:dyDescent="0.2">
      <c r="A1113" s="1">
        <v>49</v>
      </c>
      <c r="B1113" s="1" t="str">
        <v>2020-04-09</v>
      </c>
      <c r="C1113" s="1">
        <v>1.8846000000000001</v>
      </c>
      <c r="F1113" s="8">
        <f t="shared" si="51"/>
        <v>49</v>
      </c>
      <c r="G1113" s="9">
        <f t="shared" si="52"/>
        <v>43930</v>
      </c>
      <c r="H1113" s="10">
        <f t="shared" si="53"/>
        <v>1.8846000000000001</v>
      </c>
    </row>
    <row r="1114" spans="1:8" x14ac:dyDescent="0.2">
      <c r="A1114" s="1">
        <v>30350</v>
      </c>
      <c r="B1114" s="1" t="str">
        <v>2020-04-13</v>
      </c>
      <c r="C1114" s="1">
        <v>3.0613000000000001</v>
      </c>
      <c r="F1114" s="8">
        <f t="shared" si="51"/>
        <v>30350</v>
      </c>
      <c r="G1114" s="9">
        <f t="shared" si="52"/>
        <v>43934</v>
      </c>
      <c r="H1114" s="10">
        <f t="shared" si="53"/>
        <v>3.0613000000000001</v>
      </c>
    </row>
    <row r="1115" spans="1:8" x14ac:dyDescent="0.2">
      <c r="A1115" s="1">
        <v>10</v>
      </c>
      <c r="B1115" s="1" t="str">
        <v>2020-04-13</v>
      </c>
      <c r="C1115" s="1">
        <v>1.8541000000000001</v>
      </c>
      <c r="F1115" s="8">
        <f t="shared" si="51"/>
        <v>10</v>
      </c>
      <c r="G1115" s="9">
        <f t="shared" si="52"/>
        <v>43934</v>
      </c>
      <c r="H1115" s="10">
        <f t="shared" si="53"/>
        <v>1.8541000000000001</v>
      </c>
    </row>
    <row r="1116" spans="1:8" x14ac:dyDescent="0.2">
      <c r="A1116" s="1">
        <v>81</v>
      </c>
      <c r="B1116" s="1" t="str">
        <v>2020-04-13</v>
      </c>
      <c r="C1116" s="1">
        <v>2.4552</v>
      </c>
      <c r="F1116" s="8">
        <f t="shared" si="51"/>
        <v>81</v>
      </c>
      <c r="G1116" s="9">
        <f t="shared" si="52"/>
        <v>43934</v>
      </c>
      <c r="H1116" s="10">
        <f t="shared" si="53"/>
        <v>2.4552</v>
      </c>
    </row>
    <row r="1117" spans="1:8" x14ac:dyDescent="0.2">
      <c r="A1117" s="1">
        <v>187</v>
      </c>
      <c r="B1117" s="1" t="str">
        <v>2020-04-13</v>
      </c>
      <c r="C1117" s="1">
        <v>2.4716999999999998</v>
      </c>
      <c r="F1117" s="8">
        <f t="shared" si="51"/>
        <v>187</v>
      </c>
      <c r="G1117" s="9">
        <f t="shared" si="52"/>
        <v>43934</v>
      </c>
      <c r="H1117" s="10">
        <f t="shared" si="53"/>
        <v>2.4716999999999998</v>
      </c>
    </row>
    <row r="1118" spans="1:8" x14ac:dyDescent="0.2">
      <c r="A1118" s="1">
        <v>33023</v>
      </c>
      <c r="B1118" s="1" t="str">
        <v>2020-04-13</v>
      </c>
      <c r="C1118" s="1">
        <v>2.1</v>
      </c>
      <c r="F1118" s="8">
        <f t="shared" si="51"/>
        <v>33023</v>
      </c>
      <c r="G1118" s="9">
        <f t="shared" si="52"/>
        <v>43934</v>
      </c>
      <c r="H1118" s="10">
        <f t="shared" si="53"/>
        <v>2.1</v>
      </c>
    </row>
    <row r="1119" spans="1:8" x14ac:dyDescent="0.2">
      <c r="A1119" s="1">
        <v>83</v>
      </c>
      <c r="B1119" s="1" t="str">
        <v>2020-04-13</v>
      </c>
      <c r="C1119" s="1">
        <v>2.5064000000000002</v>
      </c>
      <c r="F1119" s="8">
        <f t="shared" si="51"/>
        <v>83</v>
      </c>
      <c r="G1119" s="9">
        <f t="shared" si="52"/>
        <v>43934</v>
      </c>
      <c r="H1119" s="10">
        <f t="shared" si="53"/>
        <v>2.5064000000000002</v>
      </c>
    </row>
    <row r="1120" spans="1:8" x14ac:dyDescent="0.2">
      <c r="A1120" s="1">
        <v>32724</v>
      </c>
      <c r="B1120" s="1" t="str">
        <v>2020-04-13</v>
      </c>
      <c r="C1120" s="1">
        <v>2.1293000000000002</v>
      </c>
      <c r="F1120" s="8">
        <f t="shared" si="51"/>
        <v>32724</v>
      </c>
      <c r="G1120" s="9">
        <f t="shared" si="52"/>
        <v>43934</v>
      </c>
      <c r="H1120" s="10">
        <f t="shared" si="53"/>
        <v>2.1293000000000002</v>
      </c>
    </row>
    <row r="1121" spans="1:8" x14ac:dyDescent="0.2">
      <c r="A1121" s="1">
        <v>32421</v>
      </c>
      <c r="B1121" s="1" t="str">
        <v>2020-04-13</v>
      </c>
      <c r="C1121" s="1">
        <v>2.3018999999999998</v>
      </c>
      <c r="F1121" s="8">
        <f t="shared" si="51"/>
        <v>32421</v>
      </c>
      <c r="G1121" s="9">
        <f t="shared" si="52"/>
        <v>43934</v>
      </c>
      <c r="H1121" s="10">
        <f t="shared" si="53"/>
        <v>2.3018999999999998</v>
      </c>
    </row>
    <row r="1122" spans="1:8" x14ac:dyDescent="0.2">
      <c r="A1122" s="1">
        <v>32440</v>
      </c>
      <c r="B1122" s="1" t="str">
        <v>2020-04-13</v>
      </c>
      <c r="C1122" s="1">
        <v>2.9998999999999998</v>
      </c>
      <c r="F1122" s="8">
        <f t="shared" si="51"/>
        <v>32440</v>
      </c>
      <c r="G1122" s="9">
        <f t="shared" si="52"/>
        <v>43934</v>
      </c>
      <c r="H1122" s="10">
        <f t="shared" si="53"/>
        <v>2.9998999999999998</v>
      </c>
    </row>
    <row r="1123" spans="1:8" x14ac:dyDescent="0.2">
      <c r="A1123" s="1">
        <v>32401</v>
      </c>
      <c r="B1123" s="1" t="str">
        <v>2020-04-14</v>
      </c>
      <c r="C1123" s="1">
        <v>2.4866000000000001</v>
      </c>
      <c r="F1123" s="8">
        <f t="shared" si="51"/>
        <v>32401</v>
      </c>
      <c r="G1123" s="9">
        <f t="shared" si="52"/>
        <v>43935</v>
      </c>
      <c r="H1123" s="10">
        <f t="shared" si="53"/>
        <v>2.4866000000000001</v>
      </c>
    </row>
    <row r="1124" spans="1:8" x14ac:dyDescent="0.2">
      <c r="A1124" s="1">
        <v>178</v>
      </c>
      <c r="B1124" s="1" t="str">
        <v>2020-04-14</v>
      </c>
      <c r="C1124" s="1">
        <v>2.33</v>
      </c>
      <c r="F1124" s="8">
        <f t="shared" si="51"/>
        <v>178</v>
      </c>
      <c r="G1124" s="9">
        <f t="shared" si="52"/>
        <v>43935</v>
      </c>
      <c r="H1124" s="10">
        <f t="shared" si="53"/>
        <v>2.33</v>
      </c>
    </row>
    <row r="1125" spans="1:8" x14ac:dyDescent="0.2">
      <c r="A1125" s="1">
        <v>23250</v>
      </c>
      <c r="B1125" s="1" t="str">
        <v>2020-04-14</v>
      </c>
      <c r="C1125" s="1">
        <v>2.2107000000000001</v>
      </c>
      <c r="F1125" s="8">
        <f t="shared" si="51"/>
        <v>23250</v>
      </c>
      <c r="G1125" s="9">
        <f t="shared" si="52"/>
        <v>43935</v>
      </c>
      <c r="H1125" s="10">
        <f t="shared" si="53"/>
        <v>2.2107000000000001</v>
      </c>
    </row>
    <row r="1126" spans="1:8" x14ac:dyDescent="0.2">
      <c r="A1126" s="1">
        <v>176</v>
      </c>
      <c r="B1126" s="1" t="str">
        <v>2020-04-14</v>
      </c>
      <c r="C1126" s="1">
        <v>2.2621000000000002</v>
      </c>
      <c r="F1126" s="8">
        <f t="shared" si="51"/>
        <v>176</v>
      </c>
      <c r="G1126" s="9">
        <f t="shared" si="52"/>
        <v>43935</v>
      </c>
      <c r="H1126" s="10">
        <f t="shared" si="53"/>
        <v>2.2621000000000002</v>
      </c>
    </row>
    <row r="1127" spans="1:8" x14ac:dyDescent="0.2">
      <c r="A1127" s="1">
        <v>53</v>
      </c>
      <c r="B1127" s="1" t="str">
        <v>2020-04-14</v>
      </c>
      <c r="C1127" s="1">
        <v>1.5075000000000001</v>
      </c>
      <c r="F1127" s="8">
        <f t="shared" si="51"/>
        <v>53</v>
      </c>
      <c r="G1127" s="9">
        <f t="shared" si="52"/>
        <v>43935</v>
      </c>
      <c r="H1127" s="10">
        <f t="shared" si="53"/>
        <v>1.5075000000000001</v>
      </c>
    </row>
    <row r="1128" spans="1:8" x14ac:dyDescent="0.2">
      <c r="A1128" s="1">
        <v>32803</v>
      </c>
      <c r="B1128" s="1" t="str">
        <v>2020-04-14</v>
      </c>
      <c r="C1128" s="1">
        <v>1.2245999999999999</v>
      </c>
      <c r="F1128" s="8">
        <f t="shared" si="51"/>
        <v>32803</v>
      </c>
      <c r="G1128" s="9">
        <f t="shared" si="52"/>
        <v>43935</v>
      </c>
      <c r="H1128" s="10">
        <f t="shared" si="53"/>
        <v>1.2245999999999999</v>
      </c>
    </row>
    <row r="1129" spans="1:8" x14ac:dyDescent="0.2">
      <c r="A1129" s="1">
        <v>32983</v>
      </c>
      <c r="B1129" s="1" t="str">
        <v>2020-04-14</v>
      </c>
      <c r="C1129" s="1">
        <v>2.2012999999999998</v>
      </c>
      <c r="F1129" s="8">
        <f t="shared" si="51"/>
        <v>32983</v>
      </c>
      <c r="G1129" s="9">
        <f t="shared" si="52"/>
        <v>43935</v>
      </c>
      <c r="H1129" s="10">
        <f t="shared" si="53"/>
        <v>2.2012999999999998</v>
      </c>
    </row>
    <row r="1130" spans="1:8" x14ac:dyDescent="0.2">
      <c r="A1130" s="1">
        <v>33023</v>
      </c>
      <c r="B1130" s="1" t="str">
        <v>2020-04-14</v>
      </c>
      <c r="C1130" s="1">
        <v>2.1</v>
      </c>
      <c r="F1130" s="8">
        <f t="shared" si="51"/>
        <v>33023</v>
      </c>
      <c r="G1130" s="9">
        <f t="shared" si="52"/>
        <v>43935</v>
      </c>
      <c r="H1130" s="10">
        <f t="shared" si="53"/>
        <v>2.1</v>
      </c>
    </row>
    <row r="1131" spans="1:8" x14ac:dyDescent="0.2">
      <c r="A1131" s="1">
        <v>33003</v>
      </c>
      <c r="B1131" s="1" t="str">
        <v>2020-04-14</v>
      </c>
      <c r="C1131" s="1">
        <v>3</v>
      </c>
      <c r="F1131" s="8">
        <f t="shared" si="51"/>
        <v>33003</v>
      </c>
      <c r="G1131" s="9">
        <f t="shared" si="52"/>
        <v>43935</v>
      </c>
      <c r="H1131" s="10">
        <f t="shared" si="53"/>
        <v>3</v>
      </c>
    </row>
    <row r="1132" spans="1:8" x14ac:dyDescent="0.2">
      <c r="A1132" s="1">
        <v>101</v>
      </c>
      <c r="B1132" s="1" t="str">
        <v>2020-04-14</v>
      </c>
      <c r="C1132" s="1">
        <v>1.9142999999999999</v>
      </c>
      <c r="F1132" s="8">
        <f t="shared" si="51"/>
        <v>101</v>
      </c>
      <c r="G1132" s="9">
        <f t="shared" si="52"/>
        <v>43935</v>
      </c>
      <c r="H1132" s="10">
        <f t="shared" si="53"/>
        <v>1.9142999999999999</v>
      </c>
    </row>
    <row r="1133" spans="1:8" x14ac:dyDescent="0.2">
      <c r="A1133" s="1">
        <v>1</v>
      </c>
      <c r="B1133" s="1" t="str">
        <v>2020-04-15</v>
      </c>
      <c r="C1133" s="1">
        <v>2.2507999999999999</v>
      </c>
      <c r="F1133" s="8">
        <f t="shared" si="51"/>
        <v>1</v>
      </c>
      <c r="G1133" s="9">
        <f t="shared" si="52"/>
        <v>43936</v>
      </c>
      <c r="H1133" s="10">
        <f t="shared" si="53"/>
        <v>2.2507999999999999</v>
      </c>
    </row>
    <row r="1134" spans="1:8" x14ac:dyDescent="0.2">
      <c r="A1134" s="1">
        <v>32863</v>
      </c>
      <c r="B1134" s="1" t="str">
        <v>2020-04-15</v>
      </c>
      <c r="C1134" s="1">
        <v>1.3248</v>
      </c>
      <c r="F1134" s="8">
        <f t="shared" si="51"/>
        <v>32863</v>
      </c>
      <c r="G1134" s="9">
        <f t="shared" si="52"/>
        <v>43936</v>
      </c>
      <c r="H1134" s="10">
        <f t="shared" si="53"/>
        <v>1.3248</v>
      </c>
    </row>
    <row r="1135" spans="1:8" x14ac:dyDescent="0.2">
      <c r="A1135" s="1">
        <v>187</v>
      </c>
      <c r="B1135" s="1" t="str">
        <v>2020-04-15</v>
      </c>
      <c r="C1135" s="1">
        <v>2.4443999999999999</v>
      </c>
      <c r="F1135" s="8">
        <f t="shared" si="51"/>
        <v>187</v>
      </c>
      <c r="G1135" s="9">
        <f t="shared" si="52"/>
        <v>43936</v>
      </c>
      <c r="H1135" s="10">
        <f t="shared" si="53"/>
        <v>2.4443999999999999</v>
      </c>
    </row>
    <row r="1136" spans="1:8" x14ac:dyDescent="0.2">
      <c r="A1136" s="1">
        <v>32</v>
      </c>
      <c r="B1136" s="1" t="str">
        <v>2020-04-15</v>
      </c>
      <c r="C1136" s="1">
        <v>1.8331</v>
      </c>
      <c r="F1136" s="8">
        <f t="shared" si="51"/>
        <v>32</v>
      </c>
      <c r="G1136" s="9">
        <f t="shared" si="52"/>
        <v>43936</v>
      </c>
      <c r="H1136" s="10">
        <f t="shared" si="53"/>
        <v>1.8331</v>
      </c>
    </row>
    <row r="1137" spans="1:8" x14ac:dyDescent="0.2">
      <c r="A1137" s="1">
        <v>24</v>
      </c>
      <c r="B1137" s="1" t="str">
        <v>2020-04-15</v>
      </c>
      <c r="C1137" s="1">
        <v>2.6301999999999999</v>
      </c>
      <c r="F1137" s="8">
        <f t="shared" si="51"/>
        <v>24</v>
      </c>
      <c r="G1137" s="9">
        <f t="shared" si="52"/>
        <v>43936</v>
      </c>
      <c r="H1137" s="10">
        <f t="shared" si="53"/>
        <v>2.6301999999999999</v>
      </c>
    </row>
    <row r="1138" spans="1:8" x14ac:dyDescent="0.2">
      <c r="A1138" s="1">
        <v>37</v>
      </c>
      <c r="B1138" s="1" t="str">
        <v>2020-04-15</v>
      </c>
      <c r="C1138" s="1">
        <v>2.3742999999999999</v>
      </c>
      <c r="F1138" s="8">
        <f t="shared" si="51"/>
        <v>37</v>
      </c>
      <c r="G1138" s="9">
        <f t="shared" si="52"/>
        <v>43936</v>
      </c>
      <c r="H1138" s="10">
        <f t="shared" si="53"/>
        <v>2.3742999999999999</v>
      </c>
    </row>
    <row r="1139" spans="1:8" x14ac:dyDescent="0.2">
      <c r="A1139" s="1">
        <v>32963</v>
      </c>
      <c r="B1139" s="1" t="str">
        <v>2020-04-15</v>
      </c>
      <c r="C1139" s="1">
        <v>2.8856999999999999</v>
      </c>
      <c r="F1139" s="8">
        <f t="shared" si="51"/>
        <v>32963</v>
      </c>
      <c r="G1139" s="9">
        <f t="shared" si="52"/>
        <v>43936</v>
      </c>
      <c r="H1139" s="10">
        <f t="shared" si="53"/>
        <v>2.8856999999999999</v>
      </c>
    </row>
    <row r="1140" spans="1:8" x14ac:dyDescent="0.2">
      <c r="A1140" s="1">
        <v>153</v>
      </c>
      <c r="B1140" s="1" t="str">
        <v>2020-04-15</v>
      </c>
      <c r="C1140" s="1">
        <v>2.3536000000000001</v>
      </c>
      <c r="F1140" s="8">
        <f t="shared" si="51"/>
        <v>153</v>
      </c>
      <c r="G1140" s="9">
        <f t="shared" si="52"/>
        <v>43936</v>
      </c>
      <c r="H1140" s="10">
        <f t="shared" si="53"/>
        <v>2.3536000000000001</v>
      </c>
    </row>
    <row r="1141" spans="1:8" x14ac:dyDescent="0.2">
      <c r="A1141" s="1">
        <v>8</v>
      </c>
      <c r="B1141" s="1" t="str">
        <v>2020-04-15</v>
      </c>
      <c r="C1141" s="1">
        <v>1.7024999999999999</v>
      </c>
      <c r="F1141" s="8">
        <f t="shared" si="51"/>
        <v>8</v>
      </c>
      <c r="G1141" s="9">
        <f t="shared" si="52"/>
        <v>43936</v>
      </c>
      <c r="H1141" s="10">
        <f t="shared" si="53"/>
        <v>1.7024999999999999</v>
      </c>
    </row>
    <row r="1142" spans="1:8" x14ac:dyDescent="0.2">
      <c r="A1142" s="1">
        <v>147</v>
      </c>
      <c r="B1142" s="1" t="str">
        <v>2020-04-15</v>
      </c>
      <c r="C1142" s="1">
        <v>1.8019000000000001</v>
      </c>
      <c r="F1142" s="8">
        <f t="shared" si="51"/>
        <v>147</v>
      </c>
      <c r="G1142" s="9">
        <f t="shared" si="52"/>
        <v>43936</v>
      </c>
      <c r="H1142" s="10">
        <f t="shared" si="53"/>
        <v>1.8019000000000001</v>
      </c>
    </row>
    <row r="1143" spans="1:8" x14ac:dyDescent="0.2">
      <c r="A1143" s="1">
        <v>90</v>
      </c>
      <c r="B1143" s="1" t="str">
        <v>2020-04-16</v>
      </c>
      <c r="C1143" s="1">
        <v>2.3313999999999999</v>
      </c>
      <c r="F1143" s="8">
        <f t="shared" si="51"/>
        <v>90</v>
      </c>
      <c r="G1143" s="9">
        <f t="shared" si="52"/>
        <v>43937</v>
      </c>
      <c r="H1143" s="10">
        <f t="shared" si="53"/>
        <v>2.3313999999999999</v>
      </c>
    </row>
    <row r="1144" spans="1:8" x14ac:dyDescent="0.2">
      <c r="A1144" s="1">
        <v>32360</v>
      </c>
      <c r="B1144" s="1" t="str">
        <v>2020-04-16</v>
      </c>
      <c r="C1144" s="1">
        <v>2.3815</v>
      </c>
      <c r="F1144" s="8">
        <f t="shared" si="51"/>
        <v>32360</v>
      </c>
      <c r="G1144" s="9">
        <f t="shared" si="52"/>
        <v>43937</v>
      </c>
      <c r="H1144" s="10">
        <f t="shared" si="53"/>
        <v>2.3815</v>
      </c>
    </row>
    <row r="1145" spans="1:8" x14ac:dyDescent="0.2">
      <c r="A1145" s="1">
        <v>250</v>
      </c>
      <c r="B1145" s="1" t="str">
        <v>2020-04-16</v>
      </c>
      <c r="C1145" s="1">
        <v>2.2925</v>
      </c>
      <c r="F1145" s="8">
        <f t="shared" si="51"/>
        <v>250</v>
      </c>
      <c r="G1145" s="9">
        <f t="shared" si="52"/>
        <v>43937</v>
      </c>
      <c r="H1145" s="10">
        <f t="shared" si="53"/>
        <v>2.2925</v>
      </c>
    </row>
    <row r="1146" spans="1:8" x14ac:dyDescent="0.2">
      <c r="A1146" s="1">
        <v>30300</v>
      </c>
      <c r="B1146" s="1" t="str">
        <v>2020-04-16</v>
      </c>
      <c r="C1146" s="1">
        <v>1.9444999999999999</v>
      </c>
      <c r="F1146" s="8">
        <f t="shared" si="51"/>
        <v>30300</v>
      </c>
      <c r="G1146" s="9">
        <f t="shared" si="52"/>
        <v>43937</v>
      </c>
      <c r="H1146" s="10">
        <f t="shared" si="53"/>
        <v>1.9444999999999999</v>
      </c>
    </row>
    <row r="1147" spans="1:8" x14ac:dyDescent="0.2">
      <c r="A1147" s="1">
        <v>33129</v>
      </c>
      <c r="B1147" s="1" t="str">
        <v>2020-04-16</v>
      </c>
      <c r="C1147" s="1">
        <v>1.6692</v>
      </c>
      <c r="F1147" s="8">
        <f t="shared" si="51"/>
        <v>33129</v>
      </c>
      <c r="G1147" s="9">
        <f t="shared" si="52"/>
        <v>43937</v>
      </c>
      <c r="H1147" s="10">
        <f t="shared" si="53"/>
        <v>1.6692</v>
      </c>
    </row>
    <row r="1148" spans="1:8" x14ac:dyDescent="0.2">
      <c r="A1148" s="1">
        <v>191</v>
      </c>
      <c r="B1148" s="1" t="str">
        <v>2020-04-16</v>
      </c>
      <c r="C1148" s="1">
        <v>2.1280000000000001</v>
      </c>
      <c r="F1148" s="8">
        <f t="shared" si="51"/>
        <v>191</v>
      </c>
      <c r="G1148" s="9">
        <f t="shared" si="52"/>
        <v>43937</v>
      </c>
      <c r="H1148" s="10">
        <f t="shared" si="53"/>
        <v>2.1280000000000001</v>
      </c>
    </row>
    <row r="1149" spans="1:8" x14ac:dyDescent="0.2">
      <c r="A1149" s="1">
        <v>30400</v>
      </c>
      <c r="B1149" s="1" t="str">
        <v>2020-04-16</v>
      </c>
      <c r="C1149" s="1">
        <v>1.3554999999999999</v>
      </c>
      <c r="F1149" s="8">
        <f t="shared" si="51"/>
        <v>30400</v>
      </c>
      <c r="G1149" s="9">
        <f t="shared" si="52"/>
        <v>43937</v>
      </c>
      <c r="H1149" s="10">
        <f t="shared" si="53"/>
        <v>1.3554999999999999</v>
      </c>
    </row>
    <row r="1150" spans="1:8" x14ac:dyDescent="0.2">
      <c r="A1150" s="1">
        <v>49</v>
      </c>
      <c r="B1150" s="1" t="str">
        <v>2020-04-17</v>
      </c>
      <c r="C1150" s="1">
        <v>1.6395</v>
      </c>
      <c r="F1150" s="8">
        <f t="shared" si="51"/>
        <v>49</v>
      </c>
      <c r="G1150" s="9">
        <f t="shared" si="52"/>
        <v>43938</v>
      </c>
      <c r="H1150" s="10">
        <f t="shared" si="53"/>
        <v>1.6395</v>
      </c>
    </row>
    <row r="1151" spans="1:8" x14ac:dyDescent="0.2">
      <c r="A1151" s="1">
        <v>32</v>
      </c>
      <c r="B1151" s="1" t="str">
        <v>2020-04-17</v>
      </c>
      <c r="C1151" s="1">
        <v>1.8224</v>
      </c>
      <c r="F1151" s="8">
        <f t="shared" si="51"/>
        <v>32</v>
      </c>
      <c r="G1151" s="9">
        <f t="shared" si="52"/>
        <v>43938</v>
      </c>
      <c r="H1151" s="10">
        <f t="shared" si="53"/>
        <v>1.8224</v>
      </c>
    </row>
    <row r="1152" spans="1:8" x14ac:dyDescent="0.2">
      <c r="A1152" s="1">
        <v>59</v>
      </c>
      <c r="B1152" s="1" t="str">
        <v>2020-04-17</v>
      </c>
      <c r="C1152" s="1">
        <v>1.5893999999999999</v>
      </c>
      <c r="F1152" s="8">
        <f t="shared" si="51"/>
        <v>59</v>
      </c>
      <c r="G1152" s="9">
        <f t="shared" si="52"/>
        <v>43938</v>
      </c>
      <c r="H1152" s="10">
        <f t="shared" si="53"/>
        <v>1.5893999999999999</v>
      </c>
    </row>
    <row r="1153" spans="1:8" x14ac:dyDescent="0.2">
      <c r="A1153" s="1">
        <v>32724</v>
      </c>
      <c r="B1153" s="1" t="str">
        <v>2020-04-17</v>
      </c>
      <c r="C1153" s="1">
        <v>2.1804000000000001</v>
      </c>
      <c r="F1153" s="8">
        <f t="shared" si="51"/>
        <v>32724</v>
      </c>
      <c r="G1153" s="9">
        <f t="shared" si="52"/>
        <v>43938</v>
      </c>
      <c r="H1153" s="10">
        <f t="shared" si="53"/>
        <v>2.1804000000000001</v>
      </c>
    </row>
    <row r="1154" spans="1:8" x14ac:dyDescent="0.2">
      <c r="A1154" s="1">
        <v>37</v>
      </c>
      <c r="B1154" s="1" t="str">
        <v>2020-04-17</v>
      </c>
      <c r="C1154" s="1">
        <v>2.3742999999999999</v>
      </c>
      <c r="F1154" s="8">
        <f t="shared" si="51"/>
        <v>37</v>
      </c>
      <c r="G1154" s="9">
        <f t="shared" si="52"/>
        <v>43938</v>
      </c>
      <c r="H1154" s="10">
        <f t="shared" si="53"/>
        <v>2.3742999999999999</v>
      </c>
    </row>
    <row r="1155" spans="1:8" x14ac:dyDescent="0.2">
      <c r="A1155" s="1">
        <v>32081</v>
      </c>
      <c r="B1155" s="1" t="str">
        <v>2020-04-17</v>
      </c>
      <c r="C1155" s="1">
        <v>1.3751</v>
      </c>
      <c r="F1155" s="8">
        <f t="shared" si="51"/>
        <v>32081</v>
      </c>
      <c r="G1155" s="9">
        <f t="shared" si="52"/>
        <v>43938</v>
      </c>
      <c r="H1155" s="10">
        <f t="shared" si="53"/>
        <v>1.3751</v>
      </c>
    </row>
    <row r="1156" spans="1:8" x14ac:dyDescent="0.2">
      <c r="A1156" s="1">
        <v>109</v>
      </c>
      <c r="B1156" s="1" t="str">
        <v>2020-04-17</v>
      </c>
      <c r="C1156" s="1">
        <v>2.4565000000000001</v>
      </c>
      <c r="F1156" s="8">
        <f t="shared" si="51"/>
        <v>109</v>
      </c>
      <c r="G1156" s="9">
        <f t="shared" si="52"/>
        <v>43938</v>
      </c>
      <c r="H1156" s="10">
        <f t="shared" si="53"/>
        <v>2.4565000000000001</v>
      </c>
    </row>
    <row r="1157" spans="1:8" x14ac:dyDescent="0.2">
      <c r="A1157" s="1">
        <v>182</v>
      </c>
      <c r="B1157" s="1" t="str">
        <v>2020-04-17</v>
      </c>
      <c r="C1157" s="1">
        <v>2.7942999999999998</v>
      </c>
      <c r="F1157" s="8">
        <f t="shared" si="51"/>
        <v>182</v>
      </c>
      <c r="G1157" s="9">
        <f t="shared" si="52"/>
        <v>43938</v>
      </c>
      <c r="H1157" s="10">
        <f t="shared" si="53"/>
        <v>2.7942999999999998</v>
      </c>
    </row>
    <row r="1158" spans="1:8" x14ac:dyDescent="0.2">
      <c r="A1158" s="1">
        <v>33125</v>
      </c>
      <c r="B1158" s="1" t="str">
        <v>2020-04-17</v>
      </c>
      <c r="C1158" s="1">
        <v>1.7212000000000001</v>
      </c>
      <c r="F1158" s="8">
        <f t="shared" si="51"/>
        <v>33125</v>
      </c>
      <c r="G1158" s="9">
        <f t="shared" si="52"/>
        <v>43938</v>
      </c>
      <c r="H1158" s="10">
        <f t="shared" si="53"/>
        <v>1.7212000000000001</v>
      </c>
    </row>
    <row r="1159" spans="1:8" x14ac:dyDescent="0.2">
      <c r="A1159" s="1">
        <v>24</v>
      </c>
      <c r="B1159" s="1" t="str">
        <v>2020-04-17</v>
      </c>
      <c r="C1159" s="1">
        <v>2.4466000000000001</v>
      </c>
      <c r="F1159" s="8">
        <f t="shared" si="51"/>
        <v>24</v>
      </c>
      <c r="G1159" s="9">
        <f t="shared" si="52"/>
        <v>43938</v>
      </c>
      <c r="H1159" s="10">
        <f t="shared" si="53"/>
        <v>2.4466000000000001</v>
      </c>
    </row>
    <row r="1160" spans="1:8" x14ac:dyDescent="0.2">
      <c r="A1160" s="1">
        <v>32360</v>
      </c>
      <c r="B1160" s="1" t="str">
        <v>2020-04-17</v>
      </c>
      <c r="C1160" s="1">
        <v>2.1092</v>
      </c>
      <c r="F1160" s="8">
        <f t="shared" si="51"/>
        <v>32360</v>
      </c>
      <c r="G1160" s="9">
        <f t="shared" si="52"/>
        <v>43938</v>
      </c>
      <c r="H1160" s="10">
        <f t="shared" si="53"/>
        <v>2.1092</v>
      </c>
    </row>
    <row r="1161" spans="1:8" x14ac:dyDescent="0.2">
      <c r="A1161" s="1">
        <v>32560</v>
      </c>
      <c r="B1161" s="1" t="str">
        <v>2020-04-17</v>
      </c>
      <c r="C1161" s="1">
        <v>2.0167000000000002</v>
      </c>
      <c r="F1161" s="8">
        <f t="shared" ref="F1161:F1224" si="54">A1161</f>
        <v>32560</v>
      </c>
      <c r="G1161" s="9">
        <f t="shared" ref="G1161:G1224" si="55">DATE(LEFT(B1161,4),MID(B1161,6,2),RIGHT(B1161,2))</f>
        <v>43938</v>
      </c>
      <c r="H1161" s="10">
        <f t="shared" ref="H1161:H1224" si="56">C1161</f>
        <v>2.0167000000000002</v>
      </c>
    </row>
    <row r="1162" spans="1:8" x14ac:dyDescent="0.2">
      <c r="A1162" s="1">
        <v>150</v>
      </c>
      <c r="B1162" s="1" t="str">
        <v>2020-04-17</v>
      </c>
      <c r="C1162" s="1">
        <v>2.5305</v>
      </c>
      <c r="F1162" s="8">
        <f t="shared" si="54"/>
        <v>150</v>
      </c>
      <c r="G1162" s="9">
        <f t="shared" si="55"/>
        <v>43938</v>
      </c>
      <c r="H1162" s="10">
        <f t="shared" si="56"/>
        <v>2.5305</v>
      </c>
    </row>
    <row r="1163" spans="1:8" x14ac:dyDescent="0.2">
      <c r="A1163" s="1">
        <v>99</v>
      </c>
      <c r="B1163" s="1" t="str">
        <v>2020-04-17</v>
      </c>
      <c r="C1163" s="1">
        <v>2.9380999999999999</v>
      </c>
      <c r="F1163" s="8">
        <f t="shared" si="54"/>
        <v>99</v>
      </c>
      <c r="G1163" s="9">
        <f t="shared" si="55"/>
        <v>43938</v>
      </c>
      <c r="H1163" s="10">
        <f t="shared" si="56"/>
        <v>2.9380999999999999</v>
      </c>
    </row>
    <row r="1164" spans="1:8" x14ac:dyDescent="0.2">
      <c r="A1164" s="1">
        <v>1</v>
      </c>
      <c r="B1164" s="1" t="str">
        <v>2020-04-17</v>
      </c>
      <c r="C1164" s="1">
        <v>2.2917999999999998</v>
      </c>
      <c r="F1164" s="8">
        <f t="shared" si="54"/>
        <v>1</v>
      </c>
      <c r="G1164" s="9">
        <f t="shared" si="55"/>
        <v>43938</v>
      </c>
      <c r="H1164" s="10">
        <f t="shared" si="56"/>
        <v>2.2917999999999998</v>
      </c>
    </row>
    <row r="1165" spans="1:8" x14ac:dyDescent="0.2">
      <c r="A1165" s="1">
        <v>9250</v>
      </c>
      <c r="B1165" s="1" t="str">
        <v>2020-04-17</v>
      </c>
      <c r="C1165" s="1">
        <v>2.09</v>
      </c>
      <c r="F1165" s="8">
        <f t="shared" si="54"/>
        <v>9250</v>
      </c>
      <c r="G1165" s="9">
        <f t="shared" si="55"/>
        <v>43938</v>
      </c>
      <c r="H1165" s="10">
        <f t="shared" si="56"/>
        <v>2.09</v>
      </c>
    </row>
    <row r="1166" spans="1:8" x14ac:dyDescent="0.2">
      <c r="A1166" s="1">
        <v>78</v>
      </c>
      <c r="B1166" s="1" t="str">
        <v>2020-04-17</v>
      </c>
      <c r="C1166" s="1">
        <v>2.3018000000000001</v>
      </c>
      <c r="F1166" s="8">
        <f t="shared" si="54"/>
        <v>78</v>
      </c>
      <c r="G1166" s="9">
        <f t="shared" si="55"/>
        <v>43938</v>
      </c>
      <c r="H1166" s="10">
        <f t="shared" si="56"/>
        <v>2.3018000000000001</v>
      </c>
    </row>
    <row r="1167" spans="1:8" x14ac:dyDescent="0.2">
      <c r="A1167" s="1">
        <v>33129</v>
      </c>
      <c r="B1167" s="1" t="str">
        <v>2020-04-17</v>
      </c>
      <c r="C1167" s="1">
        <v>1.6588000000000001</v>
      </c>
      <c r="F1167" s="8">
        <f t="shared" si="54"/>
        <v>33129</v>
      </c>
      <c r="G1167" s="9">
        <f t="shared" si="55"/>
        <v>43938</v>
      </c>
      <c r="H1167" s="10">
        <f t="shared" si="56"/>
        <v>1.6588000000000001</v>
      </c>
    </row>
    <row r="1168" spans="1:8" x14ac:dyDescent="0.2">
      <c r="A1168" s="1">
        <v>32883</v>
      </c>
      <c r="B1168" s="1" t="str">
        <v>2020-04-17</v>
      </c>
      <c r="C1168" s="1">
        <v>2.6040999999999999</v>
      </c>
      <c r="F1168" s="8">
        <f t="shared" si="54"/>
        <v>32883</v>
      </c>
      <c r="G1168" s="9">
        <f t="shared" si="55"/>
        <v>43938</v>
      </c>
      <c r="H1168" s="10">
        <f t="shared" si="56"/>
        <v>2.6040999999999999</v>
      </c>
    </row>
    <row r="1169" spans="1:8" x14ac:dyDescent="0.2">
      <c r="A1169" s="1">
        <v>32340</v>
      </c>
      <c r="B1169" s="1" t="str">
        <v>2020-04-17</v>
      </c>
      <c r="C1169" s="1">
        <v>2.1888000000000001</v>
      </c>
      <c r="F1169" s="8">
        <f t="shared" si="54"/>
        <v>32340</v>
      </c>
      <c r="G1169" s="9">
        <f t="shared" si="55"/>
        <v>43938</v>
      </c>
      <c r="H1169" s="10">
        <f t="shared" si="56"/>
        <v>2.1888000000000001</v>
      </c>
    </row>
    <row r="1170" spans="1:8" x14ac:dyDescent="0.2">
      <c r="A1170" s="1">
        <v>102</v>
      </c>
      <c r="B1170" s="1" t="str">
        <v>2020-04-17</v>
      </c>
      <c r="C1170" s="1">
        <v>1.9446000000000001</v>
      </c>
      <c r="F1170" s="8">
        <f t="shared" si="54"/>
        <v>102</v>
      </c>
      <c r="G1170" s="9">
        <f t="shared" si="55"/>
        <v>43938</v>
      </c>
      <c r="H1170" s="10">
        <f t="shared" si="56"/>
        <v>1.9446000000000001</v>
      </c>
    </row>
    <row r="1171" spans="1:8" x14ac:dyDescent="0.2">
      <c r="A1171" s="1">
        <v>32803</v>
      </c>
      <c r="B1171" s="1" t="str">
        <v>2020-04-17</v>
      </c>
      <c r="C1171" s="1">
        <v>1.1738</v>
      </c>
      <c r="F1171" s="8">
        <f t="shared" si="54"/>
        <v>32803</v>
      </c>
      <c r="G1171" s="9">
        <f t="shared" si="55"/>
        <v>43938</v>
      </c>
      <c r="H1171" s="10">
        <f t="shared" si="56"/>
        <v>1.1738</v>
      </c>
    </row>
    <row r="1172" spans="1:8" x14ac:dyDescent="0.2">
      <c r="A1172" s="1">
        <v>30250</v>
      </c>
      <c r="B1172" s="1" t="str">
        <v>2020-04-17</v>
      </c>
      <c r="C1172" s="1">
        <v>1.5075000000000001</v>
      </c>
      <c r="F1172" s="8">
        <f t="shared" si="54"/>
        <v>30250</v>
      </c>
      <c r="G1172" s="9">
        <f t="shared" si="55"/>
        <v>43938</v>
      </c>
      <c r="H1172" s="10">
        <f t="shared" si="56"/>
        <v>1.5075000000000001</v>
      </c>
    </row>
    <row r="1173" spans="1:8" x14ac:dyDescent="0.2">
      <c r="A1173" s="1">
        <v>32121</v>
      </c>
      <c r="B1173" s="1" t="str">
        <v>2020-04-17</v>
      </c>
      <c r="C1173" s="1">
        <v>2.2603</v>
      </c>
      <c r="F1173" s="8">
        <f t="shared" si="54"/>
        <v>32121</v>
      </c>
      <c r="G1173" s="9">
        <f t="shared" si="55"/>
        <v>43938</v>
      </c>
      <c r="H1173" s="10">
        <f t="shared" si="56"/>
        <v>2.2603</v>
      </c>
    </row>
    <row r="1174" spans="1:8" x14ac:dyDescent="0.2">
      <c r="A1174" s="1">
        <v>31</v>
      </c>
      <c r="B1174" s="1" t="str">
        <v>2020-04-17</v>
      </c>
      <c r="C1174" s="1">
        <v>2.25</v>
      </c>
      <c r="F1174" s="8">
        <f t="shared" si="54"/>
        <v>31</v>
      </c>
      <c r="G1174" s="9">
        <f t="shared" si="55"/>
        <v>43938</v>
      </c>
      <c r="H1174" s="10">
        <f t="shared" si="56"/>
        <v>2.25</v>
      </c>
    </row>
    <row r="1175" spans="1:8" x14ac:dyDescent="0.2">
      <c r="A1175" s="1">
        <v>55</v>
      </c>
      <c r="B1175" s="1" t="str">
        <v>2020-04-17</v>
      </c>
      <c r="C1175" s="1">
        <v>1.9139999999999999</v>
      </c>
      <c r="F1175" s="8">
        <f t="shared" si="54"/>
        <v>55</v>
      </c>
      <c r="G1175" s="9">
        <f t="shared" si="55"/>
        <v>43938</v>
      </c>
      <c r="H1175" s="10">
        <f t="shared" si="56"/>
        <v>1.9139999999999999</v>
      </c>
    </row>
    <row r="1176" spans="1:8" x14ac:dyDescent="0.2">
      <c r="A1176" s="1">
        <v>32260</v>
      </c>
      <c r="B1176" s="1" t="str">
        <v>2020-04-17</v>
      </c>
      <c r="C1176" s="1">
        <v>2.1798000000000002</v>
      </c>
      <c r="F1176" s="8">
        <f t="shared" si="54"/>
        <v>32260</v>
      </c>
      <c r="G1176" s="9">
        <f t="shared" si="55"/>
        <v>43938</v>
      </c>
      <c r="H1176" s="10">
        <f t="shared" si="56"/>
        <v>2.1798000000000002</v>
      </c>
    </row>
    <row r="1177" spans="1:8" x14ac:dyDescent="0.2">
      <c r="A1177" s="1">
        <v>72</v>
      </c>
      <c r="B1177" s="1" t="str">
        <v>2020-04-17</v>
      </c>
      <c r="C1177" s="1">
        <v>1.7547999999999999</v>
      </c>
      <c r="F1177" s="8">
        <f t="shared" si="54"/>
        <v>72</v>
      </c>
      <c r="G1177" s="9">
        <f t="shared" si="55"/>
        <v>43938</v>
      </c>
      <c r="H1177" s="10">
        <f t="shared" si="56"/>
        <v>1.7547999999999999</v>
      </c>
    </row>
    <row r="1178" spans="1:8" x14ac:dyDescent="0.2">
      <c r="A1178" s="1">
        <v>187</v>
      </c>
      <c r="B1178" s="1" t="str">
        <v>2020-04-17</v>
      </c>
      <c r="C1178" s="1">
        <v>2.4234</v>
      </c>
      <c r="F1178" s="8">
        <f t="shared" si="54"/>
        <v>187</v>
      </c>
      <c r="G1178" s="9">
        <f t="shared" si="55"/>
        <v>43938</v>
      </c>
      <c r="H1178" s="10">
        <f t="shared" si="56"/>
        <v>2.4234</v>
      </c>
    </row>
    <row r="1179" spans="1:8" x14ac:dyDescent="0.2">
      <c r="A1179" s="1">
        <v>28</v>
      </c>
      <c r="B1179" s="1" t="str">
        <v>2020-04-17</v>
      </c>
      <c r="C1179" s="1">
        <v>2.1179999999999999</v>
      </c>
      <c r="F1179" s="8">
        <f t="shared" si="54"/>
        <v>28</v>
      </c>
      <c r="G1179" s="9">
        <f t="shared" si="55"/>
        <v>43938</v>
      </c>
      <c r="H1179" s="10">
        <f t="shared" si="56"/>
        <v>2.1179999999999999</v>
      </c>
    </row>
    <row r="1180" spans="1:8" x14ac:dyDescent="0.2">
      <c r="A1180" s="1">
        <v>32180</v>
      </c>
      <c r="B1180" s="1" t="str">
        <v>2020-04-17</v>
      </c>
      <c r="C1180" s="1">
        <v>2.2258</v>
      </c>
      <c r="F1180" s="8">
        <f t="shared" si="54"/>
        <v>32180</v>
      </c>
      <c r="G1180" s="9">
        <f t="shared" si="55"/>
        <v>43938</v>
      </c>
      <c r="H1180" s="10">
        <f t="shared" si="56"/>
        <v>2.2258</v>
      </c>
    </row>
    <row r="1181" spans="1:8" x14ac:dyDescent="0.2">
      <c r="A1181" s="1">
        <v>34</v>
      </c>
      <c r="B1181" s="1" t="str">
        <v>2020-04-17</v>
      </c>
      <c r="C1181" s="1">
        <v>2.2399</v>
      </c>
      <c r="F1181" s="8">
        <f t="shared" si="54"/>
        <v>34</v>
      </c>
      <c r="G1181" s="9">
        <f t="shared" si="55"/>
        <v>43938</v>
      </c>
      <c r="H1181" s="10">
        <f t="shared" si="56"/>
        <v>2.2399</v>
      </c>
    </row>
    <row r="1182" spans="1:8" x14ac:dyDescent="0.2">
      <c r="A1182" s="1">
        <v>81</v>
      </c>
      <c r="B1182" s="1" t="str">
        <v>2020-04-17</v>
      </c>
      <c r="C1182" s="1">
        <v>2.4552</v>
      </c>
      <c r="F1182" s="8">
        <f t="shared" si="54"/>
        <v>81</v>
      </c>
      <c r="G1182" s="9">
        <f t="shared" si="55"/>
        <v>43938</v>
      </c>
      <c r="H1182" s="10">
        <f t="shared" si="56"/>
        <v>2.4552</v>
      </c>
    </row>
    <row r="1183" spans="1:8" x14ac:dyDescent="0.2">
      <c r="A1183" s="1">
        <v>139</v>
      </c>
      <c r="B1183" s="1" t="str">
        <v>2020-04-17</v>
      </c>
      <c r="C1183" s="1">
        <v>1.8331</v>
      </c>
      <c r="F1183" s="8">
        <f t="shared" si="54"/>
        <v>139</v>
      </c>
      <c r="G1183" s="9">
        <f t="shared" si="55"/>
        <v>43938</v>
      </c>
      <c r="H1183" s="10">
        <f t="shared" si="56"/>
        <v>1.8331</v>
      </c>
    </row>
    <row r="1184" spans="1:8" x14ac:dyDescent="0.2">
      <c r="A1184" s="1">
        <v>30400</v>
      </c>
      <c r="B1184" s="1" t="str">
        <v>2020-04-17</v>
      </c>
      <c r="C1184" s="1">
        <v>1.264</v>
      </c>
      <c r="F1184" s="8">
        <f t="shared" si="54"/>
        <v>30400</v>
      </c>
      <c r="G1184" s="9">
        <f t="shared" si="55"/>
        <v>43938</v>
      </c>
      <c r="H1184" s="10">
        <f t="shared" si="56"/>
        <v>1.264</v>
      </c>
    </row>
    <row r="1185" spans="1:8" x14ac:dyDescent="0.2">
      <c r="A1185" s="1">
        <v>32783</v>
      </c>
      <c r="B1185" s="1" t="str">
        <v>2020-04-17</v>
      </c>
      <c r="C1185" s="1">
        <v>2.3933</v>
      </c>
      <c r="F1185" s="8">
        <f t="shared" si="54"/>
        <v>32783</v>
      </c>
      <c r="G1185" s="9">
        <f t="shared" si="55"/>
        <v>43938</v>
      </c>
      <c r="H1185" s="10">
        <f t="shared" si="56"/>
        <v>2.3933</v>
      </c>
    </row>
    <row r="1186" spans="1:8" x14ac:dyDescent="0.2">
      <c r="A1186" s="1">
        <v>32863</v>
      </c>
      <c r="B1186" s="1" t="str">
        <v>2020-04-17</v>
      </c>
      <c r="C1186" s="1">
        <v>1.1324000000000001</v>
      </c>
      <c r="F1186" s="8">
        <f t="shared" si="54"/>
        <v>32863</v>
      </c>
      <c r="G1186" s="9">
        <f t="shared" si="55"/>
        <v>43938</v>
      </c>
      <c r="H1186" s="10">
        <f t="shared" si="56"/>
        <v>1.1324000000000001</v>
      </c>
    </row>
    <row r="1187" spans="1:8" x14ac:dyDescent="0.2">
      <c r="A1187" s="1">
        <v>16</v>
      </c>
      <c r="B1187" s="1" t="str">
        <v>2020-04-17</v>
      </c>
      <c r="C1187" s="1">
        <v>2.5893000000000002</v>
      </c>
      <c r="F1187" s="8">
        <f t="shared" si="54"/>
        <v>16</v>
      </c>
      <c r="G1187" s="9">
        <f t="shared" si="55"/>
        <v>43938</v>
      </c>
      <c r="H1187" s="10">
        <f t="shared" si="56"/>
        <v>2.5893000000000002</v>
      </c>
    </row>
    <row r="1188" spans="1:8" x14ac:dyDescent="0.2">
      <c r="A1188" s="1">
        <v>67</v>
      </c>
      <c r="B1188" s="1" t="str">
        <v>2020-04-17</v>
      </c>
      <c r="C1188" s="1">
        <v>2.2804000000000002</v>
      </c>
      <c r="F1188" s="8">
        <f t="shared" si="54"/>
        <v>67</v>
      </c>
      <c r="G1188" s="9">
        <f t="shared" si="55"/>
        <v>43938</v>
      </c>
      <c r="H1188" s="10">
        <f t="shared" si="56"/>
        <v>2.2804000000000002</v>
      </c>
    </row>
    <row r="1189" spans="1:8" x14ac:dyDescent="0.2">
      <c r="A1189" s="1">
        <v>20</v>
      </c>
      <c r="B1189" s="1" t="str">
        <v>2020-04-17</v>
      </c>
      <c r="C1189" s="1">
        <v>2.4409999999999998</v>
      </c>
      <c r="F1189" s="8">
        <f t="shared" si="54"/>
        <v>20</v>
      </c>
      <c r="G1189" s="9">
        <f t="shared" si="55"/>
        <v>43938</v>
      </c>
      <c r="H1189" s="10">
        <f t="shared" si="56"/>
        <v>2.4409999999999998</v>
      </c>
    </row>
    <row r="1190" spans="1:8" x14ac:dyDescent="0.2">
      <c r="A1190" s="1">
        <v>110</v>
      </c>
      <c r="B1190" s="1" t="str">
        <v>2020-04-17</v>
      </c>
      <c r="C1190" s="1">
        <v>2.2000000000000002</v>
      </c>
      <c r="F1190" s="8">
        <f t="shared" si="54"/>
        <v>110</v>
      </c>
      <c r="G1190" s="9">
        <f t="shared" si="55"/>
        <v>43938</v>
      </c>
      <c r="H1190" s="10">
        <f t="shared" si="56"/>
        <v>2.2000000000000002</v>
      </c>
    </row>
    <row r="1191" spans="1:8" x14ac:dyDescent="0.2">
      <c r="A1191" s="1">
        <v>24250</v>
      </c>
      <c r="B1191" s="1" t="str">
        <v>2020-04-17</v>
      </c>
      <c r="C1191" s="1">
        <v>1.7623</v>
      </c>
      <c r="F1191" s="8">
        <f t="shared" si="54"/>
        <v>24250</v>
      </c>
      <c r="G1191" s="9">
        <f t="shared" si="55"/>
        <v>43938</v>
      </c>
      <c r="H1191" s="10">
        <f t="shared" si="56"/>
        <v>1.7623</v>
      </c>
    </row>
    <row r="1192" spans="1:8" x14ac:dyDescent="0.2">
      <c r="A1192" s="1">
        <v>146</v>
      </c>
      <c r="B1192" s="1" t="str">
        <v>2020-04-17</v>
      </c>
      <c r="C1192" s="1">
        <v>1.8728</v>
      </c>
      <c r="F1192" s="8">
        <f t="shared" si="54"/>
        <v>146</v>
      </c>
      <c r="G1192" s="9">
        <f t="shared" si="55"/>
        <v>43938</v>
      </c>
      <c r="H1192" s="10">
        <f t="shared" si="56"/>
        <v>1.8728</v>
      </c>
    </row>
    <row r="1193" spans="1:8" x14ac:dyDescent="0.2">
      <c r="A1193" s="1">
        <v>196</v>
      </c>
      <c r="B1193" s="1" t="str">
        <v>2020-04-17</v>
      </c>
      <c r="C1193" s="1">
        <v>1.5588</v>
      </c>
      <c r="F1193" s="8">
        <f t="shared" si="54"/>
        <v>196</v>
      </c>
      <c r="G1193" s="9">
        <f t="shared" si="55"/>
        <v>43938</v>
      </c>
      <c r="H1193" s="10">
        <f t="shared" si="56"/>
        <v>1.5588</v>
      </c>
    </row>
    <row r="1194" spans="1:8" x14ac:dyDescent="0.2">
      <c r="A1194" s="1">
        <v>32502</v>
      </c>
      <c r="B1194" s="1" t="str">
        <v>2020-04-17</v>
      </c>
      <c r="C1194" s="1">
        <v>1.8734999999999999</v>
      </c>
      <c r="F1194" s="8">
        <f t="shared" si="54"/>
        <v>32502</v>
      </c>
      <c r="G1194" s="9">
        <f t="shared" si="55"/>
        <v>43938</v>
      </c>
      <c r="H1194" s="10">
        <f t="shared" si="56"/>
        <v>1.8734999999999999</v>
      </c>
    </row>
    <row r="1195" spans="1:8" x14ac:dyDescent="0.2">
      <c r="A1195" s="1">
        <v>30300</v>
      </c>
      <c r="B1195" s="1" t="str">
        <v>2020-04-17</v>
      </c>
      <c r="C1195" s="1">
        <v>2.0568</v>
      </c>
      <c r="F1195" s="8">
        <f t="shared" si="54"/>
        <v>30300</v>
      </c>
      <c r="G1195" s="9">
        <f t="shared" si="55"/>
        <v>43938</v>
      </c>
      <c r="H1195" s="10">
        <f t="shared" si="56"/>
        <v>2.0568</v>
      </c>
    </row>
    <row r="1196" spans="1:8" x14ac:dyDescent="0.2">
      <c r="A1196" s="1">
        <v>2250</v>
      </c>
      <c r="B1196" s="1" t="str">
        <v>2020-04-17</v>
      </c>
      <c r="C1196" s="1">
        <v>1.3960999999999999</v>
      </c>
      <c r="F1196" s="8">
        <f t="shared" si="54"/>
        <v>2250</v>
      </c>
      <c r="G1196" s="9">
        <f t="shared" si="55"/>
        <v>43938</v>
      </c>
      <c r="H1196" s="10">
        <f t="shared" si="56"/>
        <v>1.3960999999999999</v>
      </c>
    </row>
    <row r="1197" spans="1:8" x14ac:dyDescent="0.2">
      <c r="A1197" s="1">
        <v>171</v>
      </c>
      <c r="B1197" s="1" t="str">
        <v>2020-04-17</v>
      </c>
      <c r="C1197" s="1">
        <v>1.6088</v>
      </c>
      <c r="F1197" s="8">
        <f t="shared" si="54"/>
        <v>171</v>
      </c>
      <c r="G1197" s="9">
        <f t="shared" si="55"/>
        <v>43938</v>
      </c>
      <c r="H1197" s="10">
        <f t="shared" si="56"/>
        <v>1.6088</v>
      </c>
    </row>
    <row r="1198" spans="1:8" x14ac:dyDescent="0.2">
      <c r="A1198" s="1">
        <v>136</v>
      </c>
      <c r="B1198" s="1" t="str">
        <v>2020-04-17</v>
      </c>
      <c r="C1198" s="1">
        <v>1.7722</v>
      </c>
      <c r="F1198" s="8">
        <f t="shared" si="54"/>
        <v>136</v>
      </c>
      <c r="G1198" s="9">
        <f t="shared" si="55"/>
        <v>43938</v>
      </c>
      <c r="H1198" s="10">
        <f t="shared" si="56"/>
        <v>1.7722</v>
      </c>
    </row>
    <row r="1199" spans="1:8" x14ac:dyDescent="0.2">
      <c r="A1199" s="1">
        <v>146</v>
      </c>
      <c r="B1199" s="1" t="str">
        <v>2020-04-20</v>
      </c>
      <c r="C1199" s="1">
        <v>1.8728</v>
      </c>
      <c r="F1199" s="8">
        <f t="shared" si="54"/>
        <v>146</v>
      </c>
      <c r="G1199" s="9">
        <f t="shared" si="55"/>
        <v>43941</v>
      </c>
      <c r="H1199" s="10">
        <f t="shared" si="56"/>
        <v>1.8728</v>
      </c>
    </row>
    <row r="1200" spans="1:8" x14ac:dyDescent="0.2">
      <c r="A1200" s="1">
        <v>32200</v>
      </c>
      <c r="B1200" s="1" t="str">
        <v>2020-04-20</v>
      </c>
      <c r="C1200" s="1">
        <v>1.3635999999999999</v>
      </c>
      <c r="F1200" s="8">
        <f t="shared" si="54"/>
        <v>32200</v>
      </c>
      <c r="G1200" s="9">
        <f t="shared" si="55"/>
        <v>43941</v>
      </c>
      <c r="H1200" s="10">
        <f t="shared" si="56"/>
        <v>1.3635999999999999</v>
      </c>
    </row>
    <row r="1201" spans="1:8" x14ac:dyDescent="0.2">
      <c r="A1201" s="1">
        <v>10</v>
      </c>
      <c r="B1201" s="1" t="str">
        <v>2020-04-20</v>
      </c>
      <c r="C1201" s="1">
        <v>1.722</v>
      </c>
      <c r="F1201" s="8">
        <f t="shared" si="54"/>
        <v>10</v>
      </c>
      <c r="G1201" s="9">
        <f t="shared" si="55"/>
        <v>43941</v>
      </c>
      <c r="H1201" s="10">
        <f t="shared" si="56"/>
        <v>1.722</v>
      </c>
    </row>
    <row r="1202" spans="1:8" x14ac:dyDescent="0.2">
      <c r="A1202" s="1">
        <v>33023</v>
      </c>
      <c r="B1202" s="1" t="str">
        <v>2020-04-20</v>
      </c>
      <c r="C1202" s="1">
        <v>2.1</v>
      </c>
      <c r="F1202" s="8">
        <f t="shared" si="54"/>
        <v>33023</v>
      </c>
      <c r="G1202" s="9">
        <f t="shared" si="55"/>
        <v>43941</v>
      </c>
      <c r="H1202" s="10">
        <f t="shared" si="56"/>
        <v>2.1</v>
      </c>
    </row>
    <row r="1203" spans="1:8" x14ac:dyDescent="0.2">
      <c r="A1203" s="1">
        <v>53</v>
      </c>
      <c r="B1203" s="1" t="str">
        <v>2020-04-20</v>
      </c>
      <c r="C1203" s="1">
        <v>1.4871000000000001</v>
      </c>
      <c r="F1203" s="8">
        <f t="shared" si="54"/>
        <v>53</v>
      </c>
      <c r="G1203" s="9">
        <f t="shared" si="55"/>
        <v>43941</v>
      </c>
      <c r="H1203" s="10">
        <f t="shared" si="56"/>
        <v>1.4871000000000001</v>
      </c>
    </row>
    <row r="1204" spans="1:8" x14ac:dyDescent="0.2">
      <c r="A1204" s="1">
        <v>176</v>
      </c>
      <c r="B1204" s="1" t="str">
        <v>2020-04-20</v>
      </c>
      <c r="C1204" s="1">
        <v>1.9248000000000001</v>
      </c>
      <c r="F1204" s="8">
        <f t="shared" si="54"/>
        <v>176</v>
      </c>
      <c r="G1204" s="9">
        <f t="shared" si="55"/>
        <v>43941</v>
      </c>
      <c r="H1204" s="10">
        <f t="shared" si="56"/>
        <v>1.9248000000000001</v>
      </c>
    </row>
    <row r="1205" spans="1:8" x14ac:dyDescent="0.2">
      <c r="A1205" s="1">
        <v>115</v>
      </c>
      <c r="B1205" s="1" t="str">
        <v>2020-04-20</v>
      </c>
      <c r="C1205" s="1">
        <v>2.4451000000000001</v>
      </c>
      <c r="F1205" s="8">
        <f t="shared" si="54"/>
        <v>115</v>
      </c>
      <c r="G1205" s="9">
        <f t="shared" si="55"/>
        <v>43941</v>
      </c>
      <c r="H1205" s="10">
        <f t="shared" si="56"/>
        <v>2.4451000000000001</v>
      </c>
    </row>
    <row r="1206" spans="1:8" x14ac:dyDescent="0.2">
      <c r="A1206" s="1">
        <v>94</v>
      </c>
      <c r="B1206" s="1" t="str">
        <v>2020-04-20</v>
      </c>
      <c r="C1206" s="1">
        <v>2.48</v>
      </c>
      <c r="F1206" s="8">
        <f t="shared" si="54"/>
        <v>94</v>
      </c>
      <c r="G1206" s="9">
        <f t="shared" si="55"/>
        <v>43941</v>
      </c>
      <c r="H1206" s="10">
        <f t="shared" si="56"/>
        <v>2.48</v>
      </c>
    </row>
    <row r="1207" spans="1:8" x14ac:dyDescent="0.2">
      <c r="A1207" s="1">
        <v>133</v>
      </c>
      <c r="B1207" s="1" t="str">
        <v>2020-04-20</v>
      </c>
      <c r="C1207" s="1">
        <v>2.4651000000000001</v>
      </c>
      <c r="F1207" s="8">
        <f t="shared" si="54"/>
        <v>133</v>
      </c>
      <c r="G1207" s="9">
        <f t="shared" si="55"/>
        <v>43941</v>
      </c>
      <c r="H1207" s="10">
        <f t="shared" si="56"/>
        <v>2.4651000000000001</v>
      </c>
    </row>
    <row r="1208" spans="1:8" x14ac:dyDescent="0.2">
      <c r="A1208" s="1">
        <v>32082</v>
      </c>
      <c r="B1208" s="1" t="str">
        <v>2020-04-22</v>
      </c>
      <c r="C1208" s="1">
        <v>1.9039999999999999</v>
      </c>
      <c r="F1208" s="8">
        <f t="shared" si="54"/>
        <v>32082</v>
      </c>
      <c r="G1208" s="9">
        <f t="shared" si="55"/>
        <v>43943</v>
      </c>
      <c r="H1208" s="10">
        <f t="shared" si="56"/>
        <v>1.9039999999999999</v>
      </c>
    </row>
    <row r="1209" spans="1:8" x14ac:dyDescent="0.2">
      <c r="A1209" s="1">
        <v>8</v>
      </c>
      <c r="B1209" s="1" t="str">
        <v>2020-04-22</v>
      </c>
      <c r="C1209" s="1">
        <v>0.95279999999999998</v>
      </c>
      <c r="F1209" s="8">
        <f t="shared" si="54"/>
        <v>8</v>
      </c>
      <c r="G1209" s="9">
        <f t="shared" si="55"/>
        <v>43943</v>
      </c>
      <c r="H1209" s="10">
        <f t="shared" si="56"/>
        <v>0.95279999999999998</v>
      </c>
    </row>
    <row r="1210" spans="1:8" x14ac:dyDescent="0.2">
      <c r="A1210" s="1">
        <v>32724</v>
      </c>
      <c r="B1210" s="1" t="str">
        <v>2020-04-22</v>
      </c>
      <c r="C1210" s="1">
        <v>2.0985999999999998</v>
      </c>
      <c r="F1210" s="8">
        <f t="shared" si="54"/>
        <v>32724</v>
      </c>
      <c r="G1210" s="9">
        <f t="shared" si="55"/>
        <v>43943</v>
      </c>
      <c r="H1210" s="10">
        <f t="shared" si="56"/>
        <v>2.0985999999999998</v>
      </c>
    </row>
    <row r="1211" spans="1:8" x14ac:dyDescent="0.2">
      <c r="A1211" s="1">
        <v>1</v>
      </c>
      <c r="B1211" s="1" t="str">
        <v>2020-04-22</v>
      </c>
      <c r="C1211" s="1">
        <v>2.1585000000000001</v>
      </c>
      <c r="F1211" s="8">
        <f t="shared" si="54"/>
        <v>1</v>
      </c>
      <c r="G1211" s="9">
        <f t="shared" si="55"/>
        <v>43943</v>
      </c>
      <c r="H1211" s="10">
        <f t="shared" si="56"/>
        <v>2.1585000000000001</v>
      </c>
    </row>
    <row r="1212" spans="1:8" x14ac:dyDescent="0.2">
      <c r="A1212" s="1">
        <v>2250</v>
      </c>
      <c r="B1212" s="1" t="str">
        <v>2020-04-22</v>
      </c>
      <c r="C1212" s="1">
        <v>1.2844</v>
      </c>
      <c r="F1212" s="8">
        <f t="shared" si="54"/>
        <v>2250</v>
      </c>
      <c r="G1212" s="9">
        <f t="shared" si="55"/>
        <v>43943</v>
      </c>
      <c r="H1212" s="10">
        <f t="shared" si="56"/>
        <v>1.2844</v>
      </c>
    </row>
    <row r="1213" spans="1:8" x14ac:dyDescent="0.2">
      <c r="A1213" s="1">
        <v>33130</v>
      </c>
      <c r="B1213" s="1" t="str">
        <v>2020-04-23</v>
      </c>
      <c r="C1213" s="1">
        <v>1.8733</v>
      </c>
      <c r="F1213" s="8">
        <f t="shared" si="54"/>
        <v>33130</v>
      </c>
      <c r="G1213" s="9">
        <f t="shared" si="55"/>
        <v>43944</v>
      </c>
      <c r="H1213" s="10">
        <f t="shared" si="56"/>
        <v>1.8733</v>
      </c>
    </row>
    <row r="1214" spans="1:8" x14ac:dyDescent="0.2">
      <c r="A1214" s="1">
        <v>13250</v>
      </c>
      <c r="B1214" s="1" t="str">
        <v>2020-04-23</v>
      </c>
      <c r="C1214" s="1">
        <v>1.4155</v>
      </c>
      <c r="F1214" s="8">
        <f t="shared" si="54"/>
        <v>13250</v>
      </c>
      <c r="G1214" s="9">
        <f t="shared" si="55"/>
        <v>43944</v>
      </c>
      <c r="H1214" s="10">
        <f t="shared" si="56"/>
        <v>1.4155</v>
      </c>
    </row>
    <row r="1215" spans="1:8" x14ac:dyDescent="0.2">
      <c r="A1215" s="1">
        <v>33103</v>
      </c>
      <c r="B1215" s="1" t="str">
        <v>2020-04-23</v>
      </c>
      <c r="C1215" s="1">
        <v>3.7088000000000001</v>
      </c>
      <c r="F1215" s="8">
        <f t="shared" si="54"/>
        <v>33103</v>
      </c>
      <c r="G1215" s="9">
        <f t="shared" si="55"/>
        <v>43944</v>
      </c>
      <c r="H1215" s="10">
        <f t="shared" si="56"/>
        <v>3.7088000000000001</v>
      </c>
    </row>
    <row r="1216" spans="1:8" x14ac:dyDescent="0.2">
      <c r="A1216" s="1">
        <v>53</v>
      </c>
      <c r="B1216" s="1" t="str">
        <v>2020-04-23</v>
      </c>
      <c r="C1216" s="1">
        <v>1.3027</v>
      </c>
      <c r="F1216" s="8">
        <f t="shared" si="54"/>
        <v>53</v>
      </c>
      <c r="G1216" s="9">
        <f t="shared" si="55"/>
        <v>43944</v>
      </c>
      <c r="H1216" s="10">
        <f t="shared" si="56"/>
        <v>1.3027</v>
      </c>
    </row>
    <row r="1217" spans="1:8" x14ac:dyDescent="0.2">
      <c r="A1217" s="1">
        <v>187</v>
      </c>
      <c r="B1217" s="1" t="str">
        <v>2020-04-23</v>
      </c>
      <c r="C1217" s="1">
        <v>2.2496999999999998</v>
      </c>
      <c r="F1217" s="8">
        <f t="shared" si="54"/>
        <v>187</v>
      </c>
      <c r="G1217" s="9">
        <f t="shared" si="55"/>
        <v>43944</v>
      </c>
      <c r="H1217" s="10">
        <f t="shared" si="56"/>
        <v>2.2496999999999998</v>
      </c>
    </row>
    <row r="1218" spans="1:8" x14ac:dyDescent="0.2">
      <c r="A1218" s="1">
        <v>178</v>
      </c>
      <c r="B1218" s="1" t="str">
        <v>2020-04-23</v>
      </c>
      <c r="C1218" s="1">
        <v>2.2555999999999998</v>
      </c>
      <c r="F1218" s="8">
        <f t="shared" si="54"/>
        <v>178</v>
      </c>
      <c r="G1218" s="9">
        <f t="shared" si="55"/>
        <v>43944</v>
      </c>
      <c r="H1218" s="10">
        <f t="shared" si="56"/>
        <v>2.2555999999999998</v>
      </c>
    </row>
    <row r="1219" spans="1:8" x14ac:dyDescent="0.2">
      <c r="A1219" s="1">
        <v>156</v>
      </c>
      <c r="B1219" s="1" t="str">
        <v>2020-04-23</v>
      </c>
      <c r="C1219" s="1">
        <v>2.4857</v>
      </c>
      <c r="F1219" s="8">
        <f t="shared" si="54"/>
        <v>156</v>
      </c>
      <c r="G1219" s="9">
        <f t="shared" si="55"/>
        <v>43944</v>
      </c>
      <c r="H1219" s="10">
        <f t="shared" si="56"/>
        <v>2.4857</v>
      </c>
    </row>
    <row r="1220" spans="1:8" x14ac:dyDescent="0.2">
      <c r="A1220" s="1">
        <v>181</v>
      </c>
      <c r="B1220" s="1" t="str">
        <v>2020-04-23</v>
      </c>
      <c r="C1220" s="1">
        <v>2.2715000000000001</v>
      </c>
      <c r="F1220" s="8">
        <f t="shared" si="54"/>
        <v>181</v>
      </c>
      <c r="G1220" s="9">
        <f t="shared" si="55"/>
        <v>43944</v>
      </c>
      <c r="H1220" s="10">
        <f t="shared" si="56"/>
        <v>2.2715000000000001</v>
      </c>
    </row>
    <row r="1221" spans="1:8" x14ac:dyDescent="0.2">
      <c r="A1221" s="1">
        <v>33183</v>
      </c>
      <c r="B1221" s="1" t="str">
        <v>2020-04-23</v>
      </c>
      <c r="C1221" s="1">
        <v>1.6</v>
      </c>
      <c r="F1221" s="8">
        <f t="shared" si="54"/>
        <v>33183</v>
      </c>
      <c r="G1221" s="9">
        <f t="shared" si="55"/>
        <v>43944</v>
      </c>
      <c r="H1221" s="10">
        <f t="shared" si="56"/>
        <v>1.6</v>
      </c>
    </row>
    <row r="1222" spans="1:8" x14ac:dyDescent="0.2">
      <c r="A1222" s="1">
        <v>77</v>
      </c>
      <c r="B1222" s="1" t="str">
        <v>2020-04-24</v>
      </c>
      <c r="C1222" s="1">
        <v>2.2932999999999999</v>
      </c>
      <c r="F1222" s="8">
        <f t="shared" si="54"/>
        <v>77</v>
      </c>
      <c r="G1222" s="9">
        <f t="shared" si="55"/>
        <v>43945</v>
      </c>
      <c r="H1222" s="10">
        <f t="shared" si="56"/>
        <v>2.2932999999999999</v>
      </c>
    </row>
    <row r="1223" spans="1:8" x14ac:dyDescent="0.2">
      <c r="A1223" s="1">
        <v>16</v>
      </c>
      <c r="B1223" s="1" t="str">
        <v>2020-04-24</v>
      </c>
      <c r="C1223" s="1">
        <v>2.5893000000000002</v>
      </c>
      <c r="F1223" s="8">
        <f t="shared" si="54"/>
        <v>16</v>
      </c>
      <c r="G1223" s="9">
        <f t="shared" si="55"/>
        <v>43945</v>
      </c>
      <c r="H1223" s="10">
        <f t="shared" si="56"/>
        <v>2.5893000000000002</v>
      </c>
    </row>
    <row r="1224" spans="1:8" x14ac:dyDescent="0.2">
      <c r="A1224" s="1">
        <v>81</v>
      </c>
      <c r="B1224" s="1" t="str">
        <v>2020-04-24</v>
      </c>
      <c r="C1224" s="1">
        <v>2.4552</v>
      </c>
      <c r="F1224" s="8">
        <f t="shared" si="54"/>
        <v>81</v>
      </c>
      <c r="G1224" s="9">
        <f t="shared" si="55"/>
        <v>43945</v>
      </c>
      <c r="H1224" s="10">
        <f t="shared" si="56"/>
        <v>2.4552</v>
      </c>
    </row>
    <row r="1225" spans="1:8" x14ac:dyDescent="0.2">
      <c r="A1225" s="1">
        <v>32180</v>
      </c>
      <c r="B1225" s="1" t="str">
        <v>2020-04-24</v>
      </c>
      <c r="C1225" s="1">
        <v>1.8976</v>
      </c>
      <c r="F1225" s="8">
        <f t="shared" ref="F1225:F1288" si="57">A1225</f>
        <v>32180</v>
      </c>
      <c r="G1225" s="9">
        <f t="shared" ref="G1225:G1288" si="58">DATE(LEFT(B1225,4),MID(B1225,6,2),RIGHT(B1225,2))</f>
        <v>43945</v>
      </c>
      <c r="H1225" s="10">
        <f t="shared" ref="H1225:H1288" si="59">C1225</f>
        <v>1.8976</v>
      </c>
    </row>
    <row r="1226" spans="1:8" x14ac:dyDescent="0.2">
      <c r="A1226" s="1">
        <v>99</v>
      </c>
      <c r="B1226" s="1" t="str">
        <v>2020-04-24</v>
      </c>
      <c r="C1226" s="1">
        <v>2.9380999999999999</v>
      </c>
      <c r="F1226" s="8">
        <f t="shared" si="57"/>
        <v>99</v>
      </c>
      <c r="G1226" s="9">
        <f t="shared" si="58"/>
        <v>43945</v>
      </c>
      <c r="H1226" s="10">
        <f t="shared" si="59"/>
        <v>2.9380999999999999</v>
      </c>
    </row>
    <row r="1227" spans="1:8" x14ac:dyDescent="0.2">
      <c r="A1227" s="1">
        <v>32420</v>
      </c>
      <c r="B1227" s="1" t="str">
        <v>2020-04-24</v>
      </c>
      <c r="C1227" s="1">
        <v>2.4355000000000002</v>
      </c>
      <c r="F1227" s="8">
        <f t="shared" si="57"/>
        <v>32420</v>
      </c>
      <c r="G1227" s="9">
        <f t="shared" si="58"/>
        <v>43945</v>
      </c>
      <c r="H1227" s="10">
        <f t="shared" si="59"/>
        <v>2.4355000000000002</v>
      </c>
    </row>
    <row r="1228" spans="1:8" x14ac:dyDescent="0.2">
      <c r="A1228" s="1">
        <v>150</v>
      </c>
      <c r="B1228" s="1" t="str">
        <v>2020-04-24</v>
      </c>
      <c r="C1228" s="1">
        <v>2.5</v>
      </c>
      <c r="F1228" s="8">
        <f t="shared" si="57"/>
        <v>150</v>
      </c>
      <c r="G1228" s="9">
        <f t="shared" si="58"/>
        <v>43945</v>
      </c>
      <c r="H1228" s="10">
        <f t="shared" si="59"/>
        <v>2.5</v>
      </c>
    </row>
    <row r="1229" spans="1:8" x14ac:dyDescent="0.2">
      <c r="A1229" s="1">
        <v>187</v>
      </c>
      <c r="B1229" s="1" t="str">
        <v>2020-04-24</v>
      </c>
      <c r="C1229" s="1">
        <v>2.2496999999999998</v>
      </c>
      <c r="F1229" s="8">
        <f t="shared" si="57"/>
        <v>187</v>
      </c>
      <c r="G1229" s="9">
        <f t="shared" si="58"/>
        <v>43945</v>
      </c>
      <c r="H1229" s="10">
        <f t="shared" si="59"/>
        <v>2.2496999999999998</v>
      </c>
    </row>
    <row r="1230" spans="1:8" x14ac:dyDescent="0.2">
      <c r="A1230" s="1">
        <v>2250</v>
      </c>
      <c r="B1230" s="1" t="str">
        <v>2020-04-24</v>
      </c>
      <c r="C1230" s="1">
        <v>1.2844</v>
      </c>
      <c r="F1230" s="8">
        <f t="shared" si="57"/>
        <v>2250</v>
      </c>
      <c r="G1230" s="9">
        <f t="shared" si="58"/>
        <v>43945</v>
      </c>
      <c r="H1230" s="10">
        <f t="shared" si="59"/>
        <v>1.2844</v>
      </c>
    </row>
    <row r="1231" spans="1:8" x14ac:dyDescent="0.2">
      <c r="A1231" s="1">
        <v>101</v>
      </c>
      <c r="B1231" s="1" t="str">
        <v>2020-04-24</v>
      </c>
      <c r="C1231" s="1">
        <v>1.8628</v>
      </c>
      <c r="F1231" s="8">
        <f t="shared" si="57"/>
        <v>101</v>
      </c>
      <c r="G1231" s="9">
        <f t="shared" si="58"/>
        <v>43945</v>
      </c>
      <c r="H1231" s="10">
        <f t="shared" si="59"/>
        <v>1.8628</v>
      </c>
    </row>
    <row r="1232" spans="1:8" x14ac:dyDescent="0.2">
      <c r="A1232" s="1">
        <v>10</v>
      </c>
      <c r="B1232" s="1" t="str">
        <v>2020-04-27</v>
      </c>
      <c r="C1232" s="1">
        <v>1.6405000000000001</v>
      </c>
      <c r="F1232" s="8">
        <f t="shared" si="57"/>
        <v>10</v>
      </c>
      <c r="G1232" s="9">
        <f t="shared" si="58"/>
        <v>43948</v>
      </c>
      <c r="H1232" s="10">
        <f t="shared" si="59"/>
        <v>1.6405000000000001</v>
      </c>
    </row>
    <row r="1233" spans="1:8" x14ac:dyDescent="0.2">
      <c r="A1233" s="1">
        <v>176</v>
      </c>
      <c r="B1233" s="1" t="str">
        <v>2020-04-27</v>
      </c>
      <c r="C1233" s="1">
        <v>1.9238999999999999</v>
      </c>
      <c r="F1233" s="8">
        <f t="shared" si="57"/>
        <v>176</v>
      </c>
      <c r="G1233" s="9">
        <f t="shared" si="58"/>
        <v>43948</v>
      </c>
      <c r="H1233" s="10">
        <f t="shared" si="59"/>
        <v>1.9238999999999999</v>
      </c>
    </row>
    <row r="1234" spans="1:8" x14ac:dyDescent="0.2">
      <c r="A1234" s="1">
        <v>147</v>
      </c>
      <c r="B1234" s="1" t="str">
        <v>2020-04-27</v>
      </c>
      <c r="C1234" s="1">
        <v>1.8019000000000001</v>
      </c>
      <c r="F1234" s="8">
        <f t="shared" si="57"/>
        <v>147</v>
      </c>
      <c r="G1234" s="9">
        <f t="shared" si="58"/>
        <v>43948</v>
      </c>
      <c r="H1234" s="10">
        <f t="shared" si="59"/>
        <v>1.8019000000000001</v>
      </c>
    </row>
    <row r="1235" spans="1:8" x14ac:dyDescent="0.2">
      <c r="A1235" s="1">
        <v>32222</v>
      </c>
      <c r="B1235" s="1" t="str">
        <v>2020-04-27</v>
      </c>
      <c r="C1235" s="1">
        <v>1.4046000000000001</v>
      </c>
      <c r="F1235" s="8">
        <f t="shared" si="57"/>
        <v>32222</v>
      </c>
      <c r="G1235" s="9">
        <f t="shared" si="58"/>
        <v>43948</v>
      </c>
      <c r="H1235" s="10">
        <f t="shared" si="59"/>
        <v>1.4046000000000001</v>
      </c>
    </row>
    <row r="1236" spans="1:8" x14ac:dyDescent="0.2">
      <c r="A1236" s="1">
        <v>33103</v>
      </c>
      <c r="B1236" s="1" t="str">
        <v>2020-04-27</v>
      </c>
      <c r="C1236" s="1">
        <v>3.1511999999999998</v>
      </c>
      <c r="F1236" s="8">
        <f t="shared" si="57"/>
        <v>33103</v>
      </c>
      <c r="G1236" s="9">
        <f t="shared" si="58"/>
        <v>43948</v>
      </c>
      <c r="H1236" s="10">
        <f t="shared" si="59"/>
        <v>3.1511999999999998</v>
      </c>
    </row>
    <row r="1237" spans="1:8" x14ac:dyDescent="0.2">
      <c r="A1237" s="1">
        <v>32040</v>
      </c>
      <c r="B1237" s="1" t="str">
        <v>2020-04-27</v>
      </c>
      <c r="C1237" s="1">
        <v>1.5598000000000001</v>
      </c>
      <c r="F1237" s="8">
        <f t="shared" si="57"/>
        <v>32040</v>
      </c>
      <c r="G1237" s="9">
        <f t="shared" si="58"/>
        <v>43948</v>
      </c>
      <c r="H1237" s="10">
        <f t="shared" si="59"/>
        <v>1.5598000000000001</v>
      </c>
    </row>
    <row r="1238" spans="1:8" x14ac:dyDescent="0.2">
      <c r="A1238" s="1">
        <v>28</v>
      </c>
      <c r="B1238" s="1" t="str">
        <v>2020-04-27</v>
      </c>
      <c r="C1238" s="1">
        <v>1.9959</v>
      </c>
      <c r="F1238" s="8">
        <f t="shared" si="57"/>
        <v>28</v>
      </c>
      <c r="G1238" s="9">
        <f t="shared" si="58"/>
        <v>43948</v>
      </c>
      <c r="H1238" s="10">
        <f t="shared" si="59"/>
        <v>1.9959</v>
      </c>
    </row>
    <row r="1239" spans="1:8" x14ac:dyDescent="0.2">
      <c r="A1239" s="1">
        <v>32421</v>
      </c>
      <c r="B1239" s="1" t="str">
        <v>2020-04-27</v>
      </c>
      <c r="C1239" s="1">
        <v>1.897</v>
      </c>
      <c r="F1239" s="8">
        <f t="shared" si="57"/>
        <v>32421</v>
      </c>
      <c r="G1239" s="9">
        <f t="shared" si="58"/>
        <v>43948</v>
      </c>
      <c r="H1239" s="10">
        <f t="shared" si="59"/>
        <v>1.897</v>
      </c>
    </row>
    <row r="1240" spans="1:8" x14ac:dyDescent="0.2">
      <c r="A1240" s="1">
        <v>178</v>
      </c>
      <c r="B1240" s="1" t="str">
        <v>2020-04-27</v>
      </c>
      <c r="C1240" s="1">
        <v>2.1640000000000001</v>
      </c>
      <c r="F1240" s="8">
        <f t="shared" si="57"/>
        <v>178</v>
      </c>
      <c r="G1240" s="9">
        <f t="shared" si="58"/>
        <v>43948</v>
      </c>
      <c r="H1240" s="10">
        <f t="shared" si="59"/>
        <v>2.1640000000000001</v>
      </c>
    </row>
    <row r="1241" spans="1:8" x14ac:dyDescent="0.2">
      <c r="A1241" s="1">
        <v>89</v>
      </c>
      <c r="B1241" s="1" t="str">
        <v>2020-04-27</v>
      </c>
      <c r="C1241" s="1">
        <v>1.2746</v>
      </c>
      <c r="F1241" s="8">
        <f t="shared" si="57"/>
        <v>89</v>
      </c>
      <c r="G1241" s="9">
        <f t="shared" si="58"/>
        <v>43948</v>
      </c>
      <c r="H1241" s="10">
        <f t="shared" si="59"/>
        <v>1.2746</v>
      </c>
    </row>
    <row r="1242" spans="1:8" x14ac:dyDescent="0.2">
      <c r="A1242" s="1">
        <v>94</v>
      </c>
      <c r="B1242" s="1" t="str">
        <v>2020-04-28</v>
      </c>
      <c r="C1242" s="1">
        <v>2.48</v>
      </c>
      <c r="F1242" s="8">
        <f t="shared" si="57"/>
        <v>94</v>
      </c>
      <c r="G1242" s="9">
        <f t="shared" si="58"/>
        <v>43949</v>
      </c>
      <c r="H1242" s="10">
        <f t="shared" si="59"/>
        <v>2.48</v>
      </c>
    </row>
    <row r="1243" spans="1:8" x14ac:dyDescent="0.2">
      <c r="A1243" s="1">
        <v>32724</v>
      </c>
      <c r="B1243" s="1" t="str">
        <v>2020-04-28</v>
      </c>
      <c r="C1243" s="1">
        <v>2.0169999999999999</v>
      </c>
      <c r="F1243" s="8">
        <f t="shared" si="57"/>
        <v>32724</v>
      </c>
      <c r="G1243" s="9">
        <f t="shared" si="58"/>
        <v>43949</v>
      </c>
      <c r="H1243" s="10">
        <f t="shared" si="59"/>
        <v>2.0169999999999999</v>
      </c>
    </row>
    <row r="1244" spans="1:8" x14ac:dyDescent="0.2">
      <c r="A1244" s="1">
        <v>157</v>
      </c>
      <c r="B1244" s="1" t="str">
        <v>2020-04-28</v>
      </c>
      <c r="C1244" s="1">
        <v>2.5</v>
      </c>
      <c r="F1244" s="8">
        <f t="shared" si="57"/>
        <v>157</v>
      </c>
      <c r="G1244" s="9">
        <f t="shared" si="58"/>
        <v>43949</v>
      </c>
      <c r="H1244" s="10">
        <f t="shared" si="59"/>
        <v>2.5</v>
      </c>
    </row>
    <row r="1245" spans="1:8" x14ac:dyDescent="0.2">
      <c r="A1245" s="1">
        <v>33164</v>
      </c>
      <c r="B1245" s="1" t="str">
        <v>2020-04-28</v>
      </c>
      <c r="C1245" s="1">
        <v>2.2719</v>
      </c>
      <c r="F1245" s="8">
        <f t="shared" si="57"/>
        <v>33164</v>
      </c>
      <c r="G1245" s="9">
        <f t="shared" si="58"/>
        <v>43949</v>
      </c>
      <c r="H1245" s="10">
        <f t="shared" si="59"/>
        <v>2.2719</v>
      </c>
    </row>
    <row r="1246" spans="1:8" x14ac:dyDescent="0.2">
      <c r="A1246" s="1">
        <v>1</v>
      </c>
      <c r="B1246" s="1" t="str">
        <v>2020-04-28</v>
      </c>
      <c r="C1246" s="1">
        <v>1.9033</v>
      </c>
      <c r="F1246" s="8">
        <f t="shared" si="57"/>
        <v>1</v>
      </c>
      <c r="G1246" s="9">
        <f t="shared" si="58"/>
        <v>43949</v>
      </c>
      <c r="H1246" s="10">
        <f t="shared" si="59"/>
        <v>1.9033</v>
      </c>
    </row>
    <row r="1247" spans="1:8" x14ac:dyDescent="0.2">
      <c r="A1247" s="1">
        <v>147</v>
      </c>
      <c r="B1247" s="1" t="str">
        <v>2020-04-28</v>
      </c>
      <c r="C1247" s="1">
        <v>1.7597</v>
      </c>
      <c r="F1247" s="8">
        <f t="shared" si="57"/>
        <v>147</v>
      </c>
      <c r="G1247" s="9">
        <f t="shared" si="58"/>
        <v>43949</v>
      </c>
      <c r="H1247" s="10">
        <f t="shared" si="59"/>
        <v>1.7597</v>
      </c>
    </row>
    <row r="1248" spans="1:8" x14ac:dyDescent="0.2">
      <c r="A1248" s="1">
        <v>181</v>
      </c>
      <c r="B1248" s="1" t="str">
        <v>2020-04-28</v>
      </c>
      <c r="C1248" s="1">
        <v>2.1488</v>
      </c>
      <c r="F1248" s="8">
        <f t="shared" si="57"/>
        <v>181</v>
      </c>
      <c r="G1248" s="9">
        <f t="shared" si="58"/>
        <v>43949</v>
      </c>
      <c r="H1248" s="10">
        <f t="shared" si="59"/>
        <v>2.1488</v>
      </c>
    </row>
    <row r="1249" spans="1:8" x14ac:dyDescent="0.2">
      <c r="A1249" s="1">
        <v>156</v>
      </c>
      <c r="B1249" s="1" t="str">
        <v>2020-04-28</v>
      </c>
      <c r="C1249" s="1">
        <v>2.5880999999999998</v>
      </c>
      <c r="F1249" s="8">
        <f t="shared" si="57"/>
        <v>156</v>
      </c>
      <c r="G1249" s="9">
        <f t="shared" si="58"/>
        <v>43949</v>
      </c>
      <c r="H1249" s="10">
        <f t="shared" si="59"/>
        <v>2.5880999999999998</v>
      </c>
    </row>
    <row r="1250" spans="1:8" x14ac:dyDescent="0.2">
      <c r="A1250" s="1">
        <v>1</v>
      </c>
      <c r="B1250" s="1" t="str">
        <v>2020-04-29</v>
      </c>
      <c r="C1250" s="1">
        <v>1.6997</v>
      </c>
      <c r="F1250" s="8">
        <f t="shared" si="57"/>
        <v>1</v>
      </c>
      <c r="G1250" s="9">
        <f t="shared" si="58"/>
        <v>43950</v>
      </c>
      <c r="H1250" s="10">
        <f t="shared" si="59"/>
        <v>1.6997</v>
      </c>
    </row>
    <row r="1251" spans="1:8" x14ac:dyDescent="0.2">
      <c r="A1251" s="1">
        <v>53</v>
      </c>
      <c r="B1251" s="1" t="str">
        <v>2020-04-29</v>
      </c>
      <c r="C1251" s="1">
        <v>1.181</v>
      </c>
      <c r="F1251" s="8">
        <f t="shared" si="57"/>
        <v>53</v>
      </c>
      <c r="G1251" s="9">
        <f t="shared" si="58"/>
        <v>43950</v>
      </c>
      <c r="H1251" s="10">
        <f t="shared" si="59"/>
        <v>1.181</v>
      </c>
    </row>
    <row r="1252" spans="1:8" x14ac:dyDescent="0.2">
      <c r="A1252" s="1">
        <v>32360</v>
      </c>
      <c r="B1252" s="1" t="str">
        <v>2020-04-29</v>
      </c>
      <c r="C1252" s="1">
        <v>1.0295000000000001</v>
      </c>
      <c r="F1252" s="8">
        <f t="shared" si="57"/>
        <v>32360</v>
      </c>
      <c r="G1252" s="9">
        <f t="shared" si="58"/>
        <v>43950</v>
      </c>
      <c r="H1252" s="10">
        <f t="shared" si="59"/>
        <v>1.0295000000000001</v>
      </c>
    </row>
    <row r="1253" spans="1:8" x14ac:dyDescent="0.2">
      <c r="A1253" s="1">
        <v>32582</v>
      </c>
      <c r="B1253" s="1" t="str">
        <v>2020-04-29</v>
      </c>
      <c r="C1253" s="1">
        <v>1.4271</v>
      </c>
      <c r="F1253" s="8">
        <f t="shared" si="57"/>
        <v>32582</v>
      </c>
      <c r="G1253" s="9">
        <f t="shared" si="58"/>
        <v>43950</v>
      </c>
      <c r="H1253" s="10">
        <f t="shared" si="59"/>
        <v>1.4271</v>
      </c>
    </row>
    <row r="1254" spans="1:8" x14ac:dyDescent="0.2">
      <c r="A1254" s="1">
        <v>32081</v>
      </c>
      <c r="B1254" s="1" t="str">
        <v>2020-04-29</v>
      </c>
      <c r="C1254" s="1">
        <v>0.66659999999999997</v>
      </c>
      <c r="F1254" s="8">
        <f t="shared" si="57"/>
        <v>32081</v>
      </c>
      <c r="G1254" s="9">
        <f t="shared" si="58"/>
        <v>43950</v>
      </c>
      <c r="H1254" s="10">
        <f t="shared" si="59"/>
        <v>0.66659999999999997</v>
      </c>
    </row>
    <row r="1255" spans="1:8" x14ac:dyDescent="0.2">
      <c r="A1255" s="1">
        <v>13250</v>
      </c>
      <c r="B1255" s="1" t="str">
        <v>2020-04-29</v>
      </c>
      <c r="C1255" s="1">
        <v>1.3442000000000001</v>
      </c>
      <c r="F1255" s="8">
        <f t="shared" si="57"/>
        <v>13250</v>
      </c>
      <c r="G1255" s="9">
        <f t="shared" si="58"/>
        <v>43950</v>
      </c>
      <c r="H1255" s="10">
        <f t="shared" si="59"/>
        <v>1.3442000000000001</v>
      </c>
    </row>
    <row r="1256" spans="1:8" x14ac:dyDescent="0.2">
      <c r="A1256" s="1">
        <v>32963</v>
      </c>
      <c r="B1256" s="1" t="str">
        <v>2020-04-29</v>
      </c>
      <c r="C1256" s="1">
        <v>1.9746999999999999</v>
      </c>
      <c r="F1256" s="8">
        <f t="shared" si="57"/>
        <v>32963</v>
      </c>
      <c r="G1256" s="9">
        <f t="shared" si="58"/>
        <v>43950</v>
      </c>
      <c r="H1256" s="10">
        <f t="shared" si="59"/>
        <v>1.9746999999999999</v>
      </c>
    </row>
    <row r="1257" spans="1:8" x14ac:dyDescent="0.2">
      <c r="A1257" s="1">
        <v>55</v>
      </c>
      <c r="B1257" s="1" t="str">
        <v>2020-04-29</v>
      </c>
      <c r="C1257" s="1">
        <v>1.3243</v>
      </c>
      <c r="F1257" s="8">
        <f t="shared" si="57"/>
        <v>55</v>
      </c>
      <c r="G1257" s="9">
        <f t="shared" si="58"/>
        <v>43950</v>
      </c>
      <c r="H1257" s="10">
        <f t="shared" si="59"/>
        <v>1.3243</v>
      </c>
    </row>
    <row r="1258" spans="1:8" x14ac:dyDescent="0.2">
      <c r="A1258" s="1">
        <v>32200</v>
      </c>
      <c r="B1258" s="1" t="str">
        <v>2020-04-29</v>
      </c>
      <c r="C1258" s="1">
        <v>1.1408</v>
      </c>
      <c r="F1258" s="8">
        <f t="shared" si="57"/>
        <v>32200</v>
      </c>
      <c r="G1258" s="9">
        <f t="shared" si="58"/>
        <v>43950</v>
      </c>
      <c r="H1258" s="10">
        <f t="shared" si="59"/>
        <v>1.1408</v>
      </c>
    </row>
    <row r="1259" spans="1:8" x14ac:dyDescent="0.2">
      <c r="A1259" s="1">
        <v>49</v>
      </c>
      <c r="B1259" s="1" t="str">
        <v>2020-04-29</v>
      </c>
      <c r="C1259" s="1">
        <v>1.5264</v>
      </c>
      <c r="F1259" s="8">
        <f t="shared" si="57"/>
        <v>49</v>
      </c>
      <c r="G1259" s="9">
        <f t="shared" si="58"/>
        <v>43950</v>
      </c>
      <c r="H1259" s="10">
        <f t="shared" si="59"/>
        <v>1.5264</v>
      </c>
    </row>
    <row r="1260" spans="1:8" x14ac:dyDescent="0.2">
      <c r="A1260" s="1">
        <v>32</v>
      </c>
      <c r="B1260" s="1" t="str">
        <v>2020-04-29</v>
      </c>
      <c r="C1260" s="1">
        <v>1.7693000000000001</v>
      </c>
      <c r="F1260" s="8">
        <f t="shared" si="57"/>
        <v>32</v>
      </c>
      <c r="G1260" s="9">
        <f t="shared" si="58"/>
        <v>43950</v>
      </c>
      <c r="H1260" s="10">
        <f t="shared" si="59"/>
        <v>1.7693000000000001</v>
      </c>
    </row>
    <row r="1261" spans="1:8" x14ac:dyDescent="0.2">
      <c r="A1261" s="1">
        <v>115</v>
      </c>
      <c r="B1261" s="1" t="str">
        <v>2020-04-30</v>
      </c>
      <c r="C1261" s="1">
        <v>2.1678999999999999</v>
      </c>
      <c r="F1261" s="8">
        <f t="shared" si="57"/>
        <v>115</v>
      </c>
      <c r="G1261" s="9">
        <f t="shared" si="58"/>
        <v>43951</v>
      </c>
      <c r="H1261" s="10">
        <f t="shared" si="59"/>
        <v>2.1678999999999999</v>
      </c>
    </row>
    <row r="1262" spans="1:8" x14ac:dyDescent="0.2">
      <c r="A1262" s="1">
        <v>32340</v>
      </c>
      <c r="B1262" s="1" t="str">
        <v>2020-04-30</v>
      </c>
      <c r="C1262" s="1">
        <v>1.9224000000000001</v>
      </c>
      <c r="F1262" s="8">
        <f t="shared" si="57"/>
        <v>32340</v>
      </c>
      <c r="G1262" s="9">
        <f t="shared" si="58"/>
        <v>43951</v>
      </c>
      <c r="H1262" s="10">
        <f t="shared" si="59"/>
        <v>1.9224000000000001</v>
      </c>
    </row>
    <row r="1263" spans="1:8" x14ac:dyDescent="0.2">
      <c r="A1263" s="1">
        <v>32</v>
      </c>
      <c r="B1263" s="1" t="str">
        <v>2020-04-30</v>
      </c>
      <c r="C1263" s="1">
        <v>1.6876</v>
      </c>
      <c r="F1263" s="8">
        <f t="shared" si="57"/>
        <v>32</v>
      </c>
      <c r="G1263" s="9">
        <f t="shared" si="58"/>
        <v>43951</v>
      </c>
      <c r="H1263" s="10">
        <f t="shared" si="59"/>
        <v>1.6876</v>
      </c>
    </row>
    <row r="1264" spans="1:8" x14ac:dyDescent="0.2">
      <c r="A1264" s="1">
        <v>30350</v>
      </c>
      <c r="B1264" s="1" t="str">
        <v>2020-04-30</v>
      </c>
      <c r="C1264" s="1">
        <v>2.2787000000000002</v>
      </c>
      <c r="F1264" s="8">
        <f t="shared" si="57"/>
        <v>30350</v>
      </c>
      <c r="G1264" s="9">
        <f t="shared" si="58"/>
        <v>43951</v>
      </c>
      <c r="H1264" s="10">
        <f t="shared" si="59"/>
        <v>2.2787000000000002</v>
      </c>
    </row>
    <row r="1265" spans="1:8" x14ac:dyDescent="0.2">
      <c r="A1265" s="1">
        <v>32360</v>
      </c>
      <c r="B1265" s="1" t="str">
        <v>2020-04-30</v>
      </c>
      <c r="C1265" s="1">
        <v>1.0295000000000001</v>
      </c>
      <c r="F1265" s="8">
        <f t="shared" si="57"/>
        <v>32360</v>
      </c>
      <c r="G1265" s="9">
        <f t="shared" si="58"/>
        <v>43951</v>
      </c>
      <c r="H1265" s="10">
        <f t="shared" si="59"/>
        <v>1.0295000000000001</v>
      </c>
    </row>
    <row r="1266" spans="1:8" x14ac:dyDescent="0.2">
      <c r="A1266" s="1">
        <v>33129</v>
      </c>
      <c r="B1266" s="1" t="str">
        <v>2020-04-30</v>
      </c>
      <c r="C1266" s="1">
        <v>1.202</v>
      </c>
      <c r="F1266" s="8">
        <f t="shared" si="57"/>
        <v>33129</v>
      </c>
      <c r="G1266" s="9">
        <f t="shared" si="58"/>
        <v>43951</v>
      </c>
      <c r="H1266" s="10">
        <f t="shared" si="59"/>
        <v>1.202</v>
      </c>
    </row>
    <row r="1267" spans="1:8" x14ac:dyDescent="0.2">
      <c r="A1267" s="1">
        <v>32222</v>
      </c>
      <c r="B1267" s="1" t="str">
        <v>2020-04-30</v>
      </c>
      <c r="C1267" s="1">
        <v>1.181</v>
      </c>
      <c r="F1267" s="8">
        <f t="shared" si="57"/>
        <v>32222</v>
      </c>
      <c r="G1267" s="9">
        <f t="shared" si="58"/>
        <v>43951</v>
      </c>
      <c r="H1267" s="10">
        <f t="shared" si="59"/>
        <v>1.181</v>
      </c>
    </row>
    <row r="1268" spans="1:8" x14ac:dyDescent="0.2">
      <c r="A1268" s="1">
        <v>32724</v>
      </c>
      <c r="B1268" s="1" t="str">
        <v>2020-04-30</v>
      </c>
      <c r="C1268" s="1">
        <v>1.9455</v>
      </c>
      <c r="F1268" s="8">
        <f t="shared" si="57"/>
        <v>32724</v>
      </c>
      <c r="G1268" s="9">
        <f t="shared" si="58"/>
        <v>43951</v>
      </c>
      <c r="H1268" s="10">
        <f t="shared" si="59"/>
        <v>1.9455</v>
      </c>
    </row>
    <row r="1269" spans="1:8" x14ac:dyDescent="0.2">
      <c r="A1269" s="1">
        <v>102</v>
      </c>
      <c r="B1269" s="1" t="str">
        <v>2020-04-30</v>
      </c>
      <c r="C1269" s="1">
        <v>1.3413999999999999</v>
      </c>
      <c r="F1269" s="8">
        <f t="shared" si="57"/>
        <v>102</v>
      </c>
      <c r="G1269" s="9">
        <f t="shared" si="58"/>
        <v>43951</v>
      </c>
      <c r="H1269" s="10">
        <f t="shared" si="59"/>
        <v>1.3413999999999999</v>
      </c>
    </row>
    <row r="1270" spans="1:8" x14ac:dyDescent="0.2">
      <c r="A1270" s="1">
        <v>24</v>
      </c>
      <c r="B1270" s="1" t="str">
        <v>2020-04-30</v>
      </c>
      <c r="C1270" s="1">
        <v>2.1981000000000002</v>
      </c>
      <c r="F1270" s="8">
        <f t="shared" si="57"/>
        <v>24</v>
      </c>
      <c r="G1270" s="9">
        <f t="shared" si="58"/>
        <v>43951</v>
      </c>
      <c r="H1270" s="10">
        <f t="shared" si="59"/>
        <v>2.1981000000000002</v>
      </c>
    </row>
    <row r="1271" spans="1:8" x14ac:dyDescent="0.2">
      <c r="A1271" s="1">
        <v>191</v>
      </c>
      <c r="B1271" s="1" t="str">
        <v>2020-04-30</v>
      </c>
      <c r="C1271" s="1">
        <v>1.8413999999999999</v>
      </c>
      <c r="F1271" s="8">
        <f t="shared" si="57"/>
        <v>191</v>
      </c>
      <c r="G1271" s="9">
        <f t="shared" si="58"/>
        <v>43951</v>
      </c>
      <c r="H1271" s="10">
        <f t="shared" si="59"/>
        <v>1.8413999999999999</v>
      </c>
    </row>
    <row r="1272" spans="1:8" x14ac:dyDescent="0.2">
      <c r="A1272" s="1">
        <v>32260</v>
      </c>
      <c r="B1272" s="1" t="str">
        <v>2020-04-30</v>
      </c>
      <c r="C1272" s="1">
        <v>1.8211999999999999</v>
      </c>
      <c r="F1272" s="8">
        <f t="shared" si="57"/>
        <v>32260</v>
      </c>
      <c r="G1272" s="9">
        <f t="shared" si="58"/>
        <v>43951</v>
      </c>
      <c r="H1272" s="10">
        <f t="shared" si="59"/>
        <v>1.8211999999999999</v>
      </c>
    </row>
    <row r="1273" spans="1:8" x14ac:dyDescent="0.2">
      <c r="A1273" s="1">
        <v>32420</v>
      </c>
      <c r="B1273" s="1" t="str">
        <v>2020-04-30</v>
      </c>
      <c r="C1273" s="1">
        <v>1.6432</v>
      </c>
      <c r="F1273" s="8">
        <f t="shared" si="57"/>
        <v>32420</v>
      </c>
      <c r="G1273" s="9">
        <f t="shared" si="58"/>
        <v>43951</v>
      </c>
      <c r="H1273" s="10">
        <f t="shared" si="59"/>
        <v>1.6432</v>
      </c>
    </row>
    <row r="1274" spans="1:8" x14ac:dyDescent="0.2">
      <c r="A1274" s="1">
        <v>31</v>
      </c>
      <c r="B1274" s="1" t="str">
        <v>2020-04-30</v>
      </c>
      <c r="C1274" s="1">
        <v>2</v>
      </c>
      <c r="F1274" s="8">
        <f t="shared" si="57"/>
        <v>31</v>
      </c>
      <c r="G1274" s="9">
        <f t="shared" si="58"/>
        <v>43951</v>
      </c>
      <c r="H1274" s="10">
        <f t="shared" si="59"/>
        <v>2</v>
      </c>
    </row>
    <row r="1275" spans="1:8" x14ac:dyDescent="0.2">
      <c r="A1275" s="1">
        <v>30300</v>
      </c>
      <c r="B1275" s="1" t="str">
        <v>2020-04-30</v>
      </c>
      <c r="C1275" s="1">
        <v>1.9941</v>
      </c>
      <c r="F1275" s="8">
        <f t="shared" si="57"/>
        <v>30300</v>
      </c>
      <c r="G1275" s="9">
        <f t="shared" si="58"/>
        <v>43951</v>
      </c>
      <c r="H1275" s="10">
        <f t="shared" si="59"/>
        <v>1.9941</v>
      </c>
    </row>
    <row r="1276" spans="1:8" x14ac:dyDescent="0.2">
      <c r="A1276" s="1">
        <v>32803</v>
      </c>
      <c r="B1276" s="1" t="str">
        <v>2020-04-30</v>
      </c>
      <c r="C1276" s="1">
        <v>1.2736000000000001</v>
      </c>
      <c r="F1276" s="8">
        <f t="shared" si="57"/>
        <v>32803</v>
      </c>
      <c r="G1276" s="9">
        <f t="shared" si="58"/>
        <v>43951</v>
      </c>
      <c r="H1276" s="10">
        <f t="shared" si="59"/>
        <v>1.2736000000000001</v>
      </c>
    </row>
    <row r="1277" spans="1:8" x14ac:dyDescent="0.2">
      <c r="A1277" s="1">
        <v>67</v>
      </c>
      <c r="B1277" s="1" t="str">
        <v>2020-04-30</v>
      </c>
      <c r="C1277" s="1">
        <v>1.9634</v>
      </c>
      <c r="F1277" s="8">
        <f t="shared" si="57"/>
        <v>67</v>
      </c>
      <c r="G1277" s="9">
        <f t="shared" si="58"/>
        <v>43951</v>
      </c>
      <c r="H1277" s="10">
        <f t="shared" si="59"/>
        <v>1.9634</v>
      </c>
    </row>
    <row r="1278" spans="1:8" x14ac:dyDescent="0.2">
      <c r="A1278" s="1">
        <v>32583</v>
      </c>
      <c r="B1278" s="1" t="str">
        <v>2020-04-30</v>
      </c>
      <c r="C1278" s="1">
        <v>1.4</v>
      </c>
      <c r="F1278" s="8">
        <f t="shared" si="57"/>
        <v>32583</v>
      </c>
      <c r="G1278" s="9">
        <f t="shared" si="58"/>
        <v>43951</v>
      </c>
      <c r="H1278" s="10">
        <f t="shared" si="59"/>
        <v>1.4</v>
      </c>
    </row>
    <row r="1279" spans="1:8" x14ac:dyDescent="0.2">
      <c r="A1279" s="1">
        <v>37</v>
      </c>
      <c r="B1279" s="1" t="str">
        <v>2020-04-30</v>
      </c>
      <c r="C1279" s="1">
        <v>2.3618000000000001</v>
      </c>
      <c r="F1279" s="8">
        <f t="shared" si="57"/>
        <v>37</v>
      </c>
      <c r="G1279" s="9">
        <f t="shared" si="58"/>
        <v>43951</v>
      </c>
      <c r="H1279" s="10">
        <f t="shared" si="59"/>
        <v>2.3618000000000001</v>
      </c>
    </row>
    <row r="1280" spans="1:8" x14ac:dyDescent="0.2">
      <c r="A1280" s="1">
        <v>32081</v>
      </c>
      <c r="B1280" s="1" t="str">
        <v>2020-04-30</v>
      </c>
      <c r="C1280" s="1">
        <v>0.67669999999999997</v>
      </c>
      <c r="F1280" s="8">
        <f t="shared" si="57"/>
        <v>32081</v>
      </c>
      <c r="G1280" s="9">
        <f t="shared" si="58"/>
        <v>43951</v>
      </c>
      <c r="H1280" s="10">
        <f t="shared" si="59"/>
        <v>0.67669999999999997</v>
      </c>
    </row>
    <row r="1281" spans="1:8" x14ac:dyDescent="0.2">
      <c r="A1281" s="1">
        <v>1</v>
      </c>
      <c r="B1281" s="1" t="str">
        <v>2020-04-30</v>
      </c>
      <c r="C1281" s="1">
        <v>1.5670999999999999</v>
      </c>
      <c r="F1281" s="8">
        <f t="shared" si="57"/>
        <v>1</v>
      </c>
      <c r="G1281" s="9">
        <f t="shared" si="58"/>
        <v>43951</v>
      </c>
      <c r="H1281" s="10">
        <f t="shared" si="59"/>
        <v>1.5670999999999999</v>
      </c>
    </row>
    <row r="1282" spans="1:8" x14ac:dyDescent="0.2">
      <c r="A1282" s="1">
        <v>32582</v>
      </c>
      <c r="B1282" s="1" t="str">
        <v>2020-04-30</v>
      </c>
      <c r="C1282" s="1">
        <v>1.5585</v>
      </c>
      <c r="F1282" s="8">
        <f t="shared" si="57"/>
        <v>32582</v>
      </c>
      <c r="G1282" s="9">
        <f t="shared" si="58"/>
        <v>43951</v>
      </c>
      <c r="H1282" s="10">
        <f t="shared" si="59"/>
        <v>1.5585</v>
      </c>
    </row>
    <row r="1283" spans="1:8" x14ac:dyDescent="0.2">
      <c r="A1283" s="1">
        <v>110</v>
      </c>
      <c r="B1283" s="1" t="str">
        <v>2020-04-30</v>
      </c>
      <c r="C1283" s="1">
        <v>2.16</v>
      </c>
      <c r="F1283" s="8">
        <f t="shared" si="57"/>
        <v>110</v>
      </c>
      <c r="G1283" s="9">
        <f t="shared" si="58"/>
        <v>43951</v>
      </c>
      <c r="H1283" s="10">
        <f t="shared" si="59"/>
        <v>2.16</v>
      </c>
    </row>
    <row r="1284" spans="1:8" x14ac:dyDescent="0.2">
      <c r="A1284" s="1">
        <v>20</v>
      </c>
      <c r="B1284" s="1" t="str">
        <v>2020-04-30</v>
      </c>
      <c r="C1284" s="1">
        <v>2.2151000000000001</v>
      </c>
      <c r="F1284" s="8">
        <f t="shared" si="57"/>
        <v>20</v>
      </c>
      <c r="G1284" s="9">
        <f t="shared" si="58"/>
        <v>43951</v>
      </c>
      <c r="H1284" s="10">
        <f t="shared" si="59"/>
        <v>2.2151000000000001</v>
      </c>
    </row>
    <row r="1285" spans="1:8" x14ac:dyDescent="0.2">
      <c r="A1285" s="1">
        <v>32883</v>
      </c>
      <c r="B1285" s="1" t="str">
        <v>2020-04-30</v>
      </c>
      <c r="C1285" s="1">
        <v>2.6088</v>
      </c>
      <c r="F1285" s="8">
        <f t="shared" si="57"/>
        <v>32883</v>
      </c>
      <c r="G1285" s="9">
        <f t="shared" si="58"/>
        <v>43951</v>
      </c>
      <c r="H1285" s="10">
        <f t="shared" si="59"/>
        <v>2.6088</v>
      </c>
    </row>
    <row r="1286" spans="1:8" x14ac:dyDescent="0.2">
      <c r="A1286" s="1">
        <v>139</v>
      </c>
      <c r="B1286" s="1" t="str">
        <v>2020-04-30</v>
      </c>
      <c r="C1286" s="1">
        <v>1.5474000000000001</v>
      </c>
      <c r="F1286" s="8">
        <f t="shared" si="57"/>
        <v>139</v>
      </c>
      <c r="G1286" s="9">
        <f t="shared" si="58"/>
        <v>43951</v>
      </c>
      <c r="H1286" s="10">
        <f t="shared" si="59"/>
        <v>1.5474000000000001</v>
      </c>
    </row>
    <row r="1287" spans="1:8" x14ac:dyDescent="0.2">
      <c r="A1287" s="1">
        <v>24250</v>
      </c>
      <c r="B1287" s="1" t="str">
        <v>2020-04-30</v>
      </c>
      <c r="C1287" s="1">
        <v>1.4970000000000001</v>
      </c>
      <c r="F1287" s="8">
        <f t="shared" si="57"/>
        <v>24250</v>
      </c>
      <c r="G1287" s="9">
        <f t="shared" si="58"/>
        <v>43951</v>
      </c>
      <c r="H1287" s="10">
        <f t="shared" si="59"/>
        <v>1.4970000000000001</v>
      </c>
    </row>
    <row r="1288" spans="1:8" x14ac:dyDescent="0.2">
      <c r="A1288" s="1">
        <v>33183</v>
      </c>
      <c r="B1288" s="1" t="str">
        <v>2020-04-30</v>
      </c>
      <c r="C1288" s="1">
        <v>1.4</v>
      </c>
      <c r="F1288" s="8">
        <f t="shared" si="57"/>
        <v>33183</v>
      </c>
      <c r="G1288" s="9">
        <f t="shared" si="58"/>
        <v>43951</v>
      </c>
      <c r="H1288" s="10">
        <f t="shared" si="59"/>
        <v>1.4</v>
      </c>
    </row>
    <row r="1289" spans="1:8" x14ac:dyDescent="0.2">
      <c r="A1289" s="1">
        <v>101</v>
      </c>
      <c r="B1289" s="1" t="str">
        <v>2020-04-30</v>
      </c>
      <c r="C1289" s="1">
        <v>1.7302999999999999</v>
      </c>
      <c r="F1289" s="8">
        <f t="shared" ref="F1289:F1352" si="60">A1289</f>
        <v>101</v>
      </c>
      <c r="G1289" s="9">
        <f t="shared" ref="G1289:G1352" si="61">DATE(LEFT(B1289,4),MID(B1289,6,2),RIGHT(B1289,2))</f>
        <v>43951</v>
      </c>
      <c r="H1289" s="10">
        <f t="shared" ref="H1289:H1352" si="62">C1289</f>
        <v>1.7302999999999999</v>
      </c>
    </row>
    <row r="1290" spans="1:8" x14ac:dyDescent="0.2">
      <c r="A1290" s="1">
        <v>32121</v>
      </c>
      <c r="B1290" s="1" t="str">
        <v>2020-04-30</v>
      </c>
      <c r="C1290" s="1">
        <v>1.6375</v>
      </c>
      <c r="F1290" s="8">
        <f t="shared" si="60"/>
        <v>32121</v>
      </c>
      <c r="G1290" s="9">
        <f t="shared" si="61"/>
        <v>43951</v>
      </c>
      <c r="H1290" s="10">
        <f t="shared" si="62"/>
        <v>1.6375</v>
      </c>
    </row>
    <row r="1291" spans="1:8" x14ac:dyDescent="0.2">
      <c r="A1291" s="1">
        <v>32863</v>
      </c>
      <c r="B1291" s="1" t="str">
        <v>2020-04-30</v>
      </c>
      <c r="C1291" s="1">
        <v>1.2622</v>
      </c>
      <c r="F1291" s="8">
        <f t="shared" si="60"/>
        <v>32863</v>
      </c>
      <c r="G1291" s="9">
        <f t="shared" si="61"/>
        <v>43951</v>
      </c>
      <c r="H1291" s="10">
        <f t="shared" si="62"/>
        <v>1.2622</v>
      </c>
    </row>
    <row r="1292" spans="1:8" x14ac:dyDescent="0.2">
      <c r="A1292" s="1">
        <v>72</v>
      </c>
      <c r="B1292" s="1" t="str">
        <v>2020-04-30</v>
      </c>
      <c r="C1292" s="1">
        <v>1.4257</v>
      </c>
      <c r="F1292" s="8">
        <f t="shared" si="60"/>
        <v>72</v>
      </c>
      <c r="G1292" s="9">
        <f t="shared" si="61"/>
        <v>43951</v>
      </c>
      <c r="H1292" s="10">
        <f t="shared" si="62"/>
        <v>1.4257</v>
      </c>
    </row>
    <row r="1293" spans="1:8" x14ac:dyDescent="0.2">
      <c r="A1293" s="1">
        <v>196</v>
      </c>
      <c r="B1293" s="1" t="str">
        <v>2020-04-30</v>
      </c>
      <c r="C1293" s="1">
        <v>1.3554999999999999</v>
      </c>
      <c r="F1293" s="8">
        <f t="shared" si="60"/>
        <v>196</v>
      </c>
      <c r="G1293" s="9">
        <f t="shared" si="61"/>
        <v>43951</v>
      </c>
      <c r="H1293" s="10">
        <f t="shared" si="62"/>
        <v>1.3554999999999999</v>
      </c>
    </row>
    <row r="1294" spans="1:8" x14ac:dyDescent="0.2">
      <c r="A1294" s="1">
        <v>30400</v>
      </c>
      <c r="B1294" s="1" t="str">
        <v>2020-04-30</v>
      </c>
      <c r="C1294" s="1">
        <v>0.8891</v>
      </c>
      <c r="F1294" s="8">
        <f t="shared" si="60"/>
        <v>30400</v>
      </c>
      <c r="G1294" s="9">
        <f t="shared" si="61"/>
        <v>43951</v>
      </c>
      <c r="H1294" s="10">
        <f t="shared" si="62"/>
        <v>0.8891</v>
      </c>
    </row>
    <row r="1295" spans="1:8" x14ac:dyDescent="0.2">
      <c r="A1295" s="1">
        <v>32923</v>
      </c>
      <c r="B1295" s="1" t="str">
        <v>2020-04-30</v>
      </c>
      <c r="C1295" s="1">
        <v>2.7738</v>
      </c>
      <c r="F1295" s="8">
        <f t="shared" si="60"/>
        <v>32923</v>
      </c>
      <c r="G1295" s="9">
        <f t="shared" si="61"/>
        <v>43951</v>
      </c>
      <c r="H1295" s="10">
        <f t="shared" si="62"/>
        <v>2.7738</v>
      </c>
    </row>
    <row r="1296" spans="1:8" x14ac:dyDescent="0.2">
      <c r="A1296" s="1">
        <v>32502</v>
      </c>
      <c r="B1296" s="1" t="str">
        <v>2020-04-30</v>
      </c>
      <c r="C1296" s="1">
        <v>1.4765999999999999</v>
      </c>
      <c r="F1296" s="8">
        <f t="shared" si="60"/>
        <v>32502</v>
      </c>
      <c r="G1296" s="9">
        <f t="shared" si="61"/>
        <v>43951</v>
      </c>
      <c r="H1296" s="10">
        <f t="shared" si="62"/>
        <v>1.4765999999999999</v>
      </c>
    </row>
    <row r="1297" spans="1:8" x14ac:dyDescent="0.2">
      <c r="A1297" s="1">
        <v>146</v>
      </c>
      <c r="B1297" s="1" t="str">
        <v>2020-04-30</v>
      </c>
      <c r="C1297" s="1">
        <v>1.8821000000000001</v>
      </c>
      <c r="F1297" s="8">
        <f t="shared" si="60"/>
        <v>146</v>
      </c>
      <c r="G1297" s="9">
        <f t="shared" si="61"/>
        <v>43951</v>
      </c>
      <c r="H1297" s="10">
        <f t="shared" si="62"/>
        <v>1.8821000000000001</v>
      </c>
    </row>
    <row r="1298" spans="1:8" x14ac:dyDescent="0.2">
      <c r="A1298" s="1">
        <v>78</v>
      </c>
      <c r="B1298" s="1" t="str">
        <v>2020-04-30</v>
      </c>
      <c r="C1298" s="1">
        <v>2.1574</v>
      </c>
      <c r="F1298" s="8">
        <f t="shared" si="60"/>
        <v>78</v>
      </c>
      <c r="G1298" s="9">
        <f t="shared" si="61"/>
        <v>43951</v>
      </c>
      <c r="H1298" s="10">
        <f t="shared" si="62"/>
        <v>2.1574</v>
      </c>
    </row>
    <row r="1299" spans="1:8" x14ac:dyDescent="0.2">
      <c r="A1299" s="1">
        <v>90</v>
      </c>
      <c r="B1299" s="1" t="str">
        <v>2020-04-30</v>
      </c>
      <c r="C1299" s="1">
        <v>1.7995000000000001</v>
      </c>
      <c r="F1299" s="8">
        <f t="shared" si="60"/>
        <v>90</v>
      </c>
      <c r="G1299" s="9">
        <f t="shared" si="61"/>
        <v>43951</v>
      </c>
      <c r="H1299" s="10">
        <f t="shared" si="62"/>
        <v>1.7995000000000001</v>
      </c>
    </row>
    <row r="1300" spans="1:8" x14ac:dyDescent="0.2">
      <c r="A1300" s="1">
        <v>30250</v>
      </c>
      <c r="B1300" s="1" t="str">
        <v>2020-04-30</v>
      </c>
      <c r="C1300" s="1">
        <v>0.98</v>
      </c>
      <c r="F1300" s="8">
        <f t="shared" si="60"/>
        <v>30250</v>
      </c>
      <c r="G1300" s="9">
        <f t="shared" si="61"/>
        <v>43951</v>
      </c>
      <c r="H1300" s="10">
        <f t="shared" si="62"/>
        <v>0.98</v>
      </c>
    </row>
    <row r="1301" spans="1:8" x14ac:dyDescent="0.2">
      <c r="A1301" s="1">
        <v>109</v>
      </c>
      <c r="B1301" s="1" t="str">
        <v>2020-04-30</v>
      </c>
      <c r="C1301" s="1">
        <v>2.3536000000000001</v>
      </c>
      <c r="F1301" s="8">
        <f t="shared" si="60"/>
        <v>109</v>
      </c>
      <c r="G1301" s="9">
        <f t="shared" si="61"/>
        <v>43951</v>
      </c>
      <c r="H1301" s="10">
        <f t="shared" si="62"/>
        <v>2.3536000000000001</v>
      </c>
    </row>
    <row r="1302" spans="1:8" x14ac:dyDescent="0.2">
      <c r="A1302" s="1">
        <v>49</v>
      </c>
      <c r="B1302" s="1" t="str">
        <v>2020-04-30</v>
      </c>
      <c r="C1302" s="1">
        <v>1.5971</v>
      </c>
      <c r="F1302" s="8">
        <f t="shared" si="60"/>
        <v>49</v>
      </c>
      <c r="G1302" s="9">
        <f t="shared" si="61"/>
        <v>43951</v>
      </c>
      <c r="H1302" s="10">
        <f t="shared" si="62"/>
        <v>1.5971</v>
      </c>
    </row>
    <row r="1303" spans="1:8" x14ac:dyDescent="0.2">
      <c r="A1303" s="1">
        <v>59</v>
      </c>
      <c r="B1303" s="1" t="str">
        <v>2020-04-30</v>
      </c>
      <c r="C1303" s="1">
        <v>1.1938</v>
      </c>
      <c r="F1303" s="8">
        <f t="shared" si="60"/>
        <v>59</v>
      </c>
      <c r="G1303" s="9">
        <f t="shared" si="61"/>
        <v>43951</v>
      </c>
      <c r="H1303" s="10">
        <f t="shared" si="62"/>
        <v>1.1938</v>
      </c>
    </row>
    <row r="1304" spans="1:8" x14ac:dyDescent="0.2">
      <c r="A1304" s="1">
        <v>136</v>
      </c>
      <c r="B1304" s="1" t="str">
        <v>2020-04-30</v>
      </c>
      <c r="C1304" s="1">
        <v>1.5777000000000001</v>
      </c>
      <c r="F1304" s="8">
        <f t="shared" si="60"/>
        <v>136</v>
      </c>
      <c r="G1304" s="9">
        <f t="shared" si="61"/>
        <v>43951</v>
      </c>
      <c r="H1304" s="10">
        <f t="shared" si="62"/>
        <v>1.5777000000000001</v>
      </c>
    </row>
    <row r="1305" spans="1:8" x14ac:dyDescent="0.2">
      <c r="A1305" s="1">
        <v>171</v>
      </c>
      <c r="B1305" s="1" t="str">
        <v>2020-04-30</v>
      </c>
      <c r="C1305" s="1">
        <v>1.4458</v>
      </c>
      <c r="F1305" s="8">
        <f t="shared" si="60"/>
        <v>171</v>
      </c>
      <c r="G1305" s="9">
        <f t="shared" si="61"/>
        <v>43951</v>
      </c>
      <c r="H1305" s="10">
        <f t="shared" si="62"/>
        <v>1.4458</v>
      </c>
    </row>
    <row r="1306" spans="1:8" x14ac:dyDescent="0.2">
      <c r="A1306" s="1">
        <v>176</v>
      </c>
      <c r="B1306" s="1" t="str">
        <v>2020-04-30</v>
      </c>
      <c r="C1306" s="1">
        <v>1.8935999999999999</v>
      </c>
      <c r="F1306" s="8">
        <f t="shared" si="60"/>
        <v>176</v>
      </c>
      <c r="G1306" s="9">
        <f t="shared" si="61"/>
        <v>43951</v>
      </c>
      <c r="H1306" s="10">
        <f t="shared" si="62"/>
        <v>1.8935999999999999</v>
      </c>
    </row>
    <row r="1307" spans="1:8" x14ac:dyDescent="0.2">
      <c r="A1307" s="1">
        <v>32783</v>
      </c>
      <c r="B1307" s="1" t="str">
        <v>2020-04-30</v>
      </c>
      <c r="C1307" s="1">
        <v>2.2494000000000001</v>
      </c>
      <c r="F1307" s="8">
        <f t="shared" si="60"/>
        <v>32783</v>
      </c>
      <c r="G1307" s="9">
        <f t="shared" si="61"/>
        <v>43951</v>
      </c>
      <c r="H1307" s="10">
        <f t="shared" si="62"/>
        <v>2.2494000000000001</v>
      </c>
    </row>
    <row r="1308" spans="1:8" x14ac:dyDescent="0.2">
      <c r="A1308" s="1">
        <v>33083</v>
      </c>
      <c r="B1308" s="1" t="str">
        <v>2020-04-30</v>
      </c>
      <c r="C1308" s="1">
        <v>2.1720999999999999</v>
      </c>
      <c r="F1308" s="8">
        <f t="shared" si="60"/>
        <v>33083</v>
      </c>
      <c r="G1308" s="9">
        <f t="shared" si="61"/>
        <v>43951</v>
      </c>
      <c r="H1308" s="10">
        <f t="shared" si="62"/>
        <v>2.1720999999999999</v>
      </c>
    </row>
    <row r="1309" spans="1:8" x14ac:dyDescent="0.2">
      <c r="A1309" s="1">
        <v>23250</v>
      </c>
      <c r="B1309" s="1" t="str">
        <v>2020-05-04</v>
      </c>
      <c r="C1309" s="1">
        <v>1.8024</v>
      </c>
      <c r="F1309" s="8">
        <f t="shared" si="60"/>
        <v>23250</v>
      </c>
      <c r="G1309" s="9">
        <f t="shared" si="61"/>
        <v>43955</v>
      </c>
      <c r="H1309" s="10">
        <f t="shared" si="62"/>
        <v>1.8024</v>
      </c>
    </row>
    <row r="1310" spans="1:8" x14ac:dyDescent="0.2">
      <c r="A1310" s="1">
        <v>33023</v>
      </c>
      <c r="B1310" s="1" t="str">
        <v>2020-05-04</v>
      </c>
      <c r="C1310" s="1">
        <v>2</v>
      </c>
      <c r="F1310" s="8">
        <f t="shared" si="60"/>
        <v>33023</v>
      </c>
      <c r="G1310" s="9">
        <f t="shared" si="61"/>
        <v>43955</v>
      </c>
      <c r="H1310" s="10">
        <f t="shared" si="62"/>
        <v>2</v>
      </c>
    </row>
    <row r="1311" spans="1:8" x14ac:dyDescent="0.2">
      <c r="A1311" s="1">
        <v>33183</v>
      </c>
      <c r="B1311" s="1" t="str">
        <v>2020-05-04</v>
      </c>
      <c r="C1311" s="1">
        <v>1.4</v>
      </c>
      <c r="F1311" s="8">
        <f t="shared" si="60"/>
        <v>33183</v>
      </c>
      <c r="G1311" s="9">
        <f t="shared" si="61"/>
        <v>43955</v>
      </c>
      <c r="H1311" s="10">
        <f t="shared" si="62"/>
        <v>1.4</v>
      </c>
    </row>
    <row r="1312" spans="1:8" x14ac:dyDescent="0.2">
      <c r="A1312" s="1">
        <v>10</v>
      </c>
      <c r="B1312" s="1" t="str">
        <v>2020-05-04</v>
      </c>
      <c r="C1312" s="1">
        <v>1.5382</v>
      </c>
      <c r="F1312" s="8">
        <f t="shared" si="60"/>
        <v>10</v>
      </c>
      <c r="G1312" s="9">
        <f t="shared" si="61"/>
        <v>43955</v>
      </c>
      <c r="H1312" s="10">
        <f t="shared" si="62"/>
        <v>1.5382</v>
      </c>
    </row>
    <row r="1313" spans="1:8" x14ac:dyDescent="0.2">
      <c r="A1313" s="1">
        <v>34</v>
      </c>
      <c r="B1313" s="1" t="str">
        <v>2020-05-04</v>
      </c>
      <c r="C1313" s="1">
        <v>1.8512</v>
      </c>
      <c r="F1313" s="8">
        <f t="shared" si="60"/>
        <v>34</v>
      </c>
      <c r="G1313" s="9">
        <f t="shared" si="61"/>
        <v>43955</v>
      </c>
      <c r="H1313" s="10">
        <f t="shared" si="62"/>
        <v>1.8512</v>
      </c>
    </row>
    <row r="1314" spans="1:8" x14ac:dyDescent="0.2">
      <c r="A1314" s="1">
        <v>33143</v>
      </c>
      <c r="B1314" s="1" t="str">
        <v>2020-05-04</v>
      </c>
      <c r="C1314" s="1">
        <v>2.5</v>
      </c>
      <c r="F1314" s="8">
        <f t="shared" si="60"/>
        <v>33143</v>
      </c>
      <c r="G1314" s="9">
        <f t="shared" si="61"/>
        <v>43955</v>
      </c>
      <c r="H1314" s="10">
        <f t="shared" si="62"/>
        <v>2.5</v>
      </c>
    </row>
    <row r="1315" spans="1:8" x14ac:dyDescent="0.2">
      <c r="A1315" s="1">
        <v>32380</v>
      </c>
      <c r="B1315" s="1" t="str">
        <v>2020-05-04</v>
      </c>
      <c r="C1315" s="1">
        <v>2.3365999999999998</v>
      </c>
      <c r="F1315" s="8">
        <f t="shared" si="60"/>
        <v>32380</v>
      </c>
      <c r="G1315" s="9">
        <f t="shared" si="61"/>
        <v>43955</v>
      </c>
      <c r="H1315" s="10">
        <f t="shared" si="62"/>
        <v>2.3365999999999998</v>
      </c>
    </row>
    <row r="1316" spans="1:8" x14ac:dyDescent="0.2">
      <c r="A1316" s="1">
        <v>182</v>
      </c>
      <c r="B1316" s="1" t="str">
        <v>2020-05-04</v>
      </c>
      <c r="C1316" s="1">
        <v>2.5888</v>
      </c>
      <c r="F1316" s="8">
        <f t="shared" si="60"/>
        <v>182</v>
      </c>
      <c r="G1316" s="9">
        <f t="shared" si="61"/>
        <v>43955</v>
      </c>
      <c r="H1316" s="10">
        <f t="shared" si="62"/>
        <v>2.5888</v>
      </c>
    </row>
    <row r="1317" spans="1:8" x14ac:dyDescent="0.2">
      <c r="A1317" s="1">
        <v>32421</v>
      </c>
      <c r="B1317" s="1" t="str">
        <v>2020-05-04</v>
      </c>
      <c r="C1317" s="1">
        <v>1.6357999999999999</v>
      </c>
      <c r="F1317" s="8">
        <f t="shared" si="60"/>
        <v>32421</v>
      </c>
      <c r="G1317" s="9">
        <f t="shared" si="61"/>
        <v>43955</v>
      </c>
      <c r="H1317" s="10">
        <f t="shared" si="62"/>
        <v>1.6357999999999999</v>
      </c>
    </row>
    <row r="1318" spans="1:8" x14ac:dyDescent="0.2">
      <c r="A1318" s="1">
        <v>133</v>
      </c>
      <c r="B1318" s="1" t="str">
        <v>2020-05-04</v>
      </c>
      <c r="C1318" s="1">
        <v>2.1884999999999999</v>
      </c>
      <c r="F1318" s="8">
        <f t="shared" si="60"/>
        <v>133</v>
      </c>
      <c r="G1318" s="9">
        <f t="shared" si="61"/>
        <v>43955</v>
      </c>
      <c r="H1318" s="10">
        <f t="shared" si="62"/>
        <v>2.1884999999999999</v>
      </c>
    </row>
    <row r="1319" spans="1:8" x14ac:dyDescent="0.2">
      <c r="A1319" s="1">
        <v>83</v>
      </c>
      <c r="B1319" s="1" t="str">
        <v>2020-05-04</v>
      </c>
      <c r="C1319" s="1">
        <v>2.25</v>
      </c>
      <c r="F1319" s="8">
        <f t="shared" si="60"/>
        <v>83</v>
      </c>
      <c r="G1319" s="9">
        <f t="shared" si="61"/>
        <v>43955</v>
      </c>
      <c r="H1319" s="10">
        <f t="shared" si="62"/>
        <v>2.25</v>
      </c>
    </row>
    <row r="1320" spans="1:8" x14ac:dyDescent="0.2">
      <c r="A1320" s="1">
        <v>178</v>
      </c>
      <c r="B1320" s="1" t="str">
        <v>2020-05-04</v>
      </c>
      <c r="C1320" s="1">
        <v>1.8420000000000001</v>
      </c>
      <c r="F1320" s="8">
        <f t="shared" si="60"/>
        <v>178</v>
      </c>
      <c r="G1320" s="9">
        <f t="shared" si="61"/>
        <v>43955</v>
      </c>
      <c r="H1320" s="10">
        <f t="shared" si="62"/>
        <v>1.8420000000000001</v>
      </c>
    </row>
    <row r="1321" spans="1:8" x14ac:dyDescent="0.2">
      <c r="A1321" s="1">
        <v>33103</v>
      </c>
      <c r="B1321" s="1" t="str">
        <v>2020-05-05</v>
      </c>
      <c r="C1321" s="1">
        <v>3.0823</v>
      </c>
      <c r="F1321" s="8">
        <f t="shared" si="60"/>
        <v>33103</v>
      </c>
      <c r="G1321" s="9">
        <f t="shared" si="61"/>
        <v>43956</v>
      </c>
      <c r="H1321" s="10">
        <f t="shared" si="62"/>
        <v>3.0823</v>
      </c>
    </row>
    <row r="1322" spans="1:8" x14ac:dyDescent="0.2">
      <c r="A1322" s="1">
        <v>32521</v>
      </c>
      <c r="B1322" s="1" t="str">
        <v>2020-05-05</v>
      </c>
      <c r="C1322" s="1">
        <v>2.57</v>
      </c>
      <c r="F1322" s="8">
        <f t="shared" si="60"/>
        <v>32521</v>
      </c>
      <c r="G1322" s="9">
        <f t="shared" si="61"/>
        <v>43956</v>
      </c>
      <c r="H1322" s="10">
        <f t="shared" si="62"/>
        <v>2.57</v>
      </c>
    </row>
    <row r="1323" spans="1:8" x14ac:dyDescent="0.2">
      <c r="A1323" s="1">
        <v>132</v>
      </c>
      <c r="B1323" s="1" t="str">
        <v>2020-05-05</v>
      </c>
      <c r="C1323" s="1">
        <v>0.97250000000000003</v>
      </c>
      <c r="F1323" s="8">
        <f t="shared" si="60"/>
        <v>132</v>
      </c>
      <c r="G1323" s="9">
        <f t="shared" si="61"/>
        <v>43956</v>
      </c>
      <c r="H1323" s="10">
        <f t="shared" si="62"/>
        <v>0.97250000000000003</v>
      </c>
    </row>
    <row r="1324" spans="1:8" x14ac:dyDescent="0.2">
      <c r="A1324" s="1">
        <v>32843</v>
      </c>
      <c r="B1324" s="1" t="str">
        <v>2020-05-06</v>
      </c>
      <c r="C1324" s="1">
        <v>1.0719000000000001</v>
      </c>
      <c r="F1324" s="8">
        <f t="shared" si="60"/>
        <v>32843</v>
      </c>
      <c r="G1324" s="9">
        <f t="shared" si="61"/>
        <v>43957</v>
      </c>
      <c r="H1324" s="10">
        <f t="shared" si="62"/>
        <v>1.0719000000000001</v>
      </c>
    </row>
    <row r="1325" spans="1:8" x14ac:dyDescent="0.2">
      <c r="A1325" s="1">
        <v>157</v>
      </c>
      <c r="B1325" s="1" t="str">
        <v>2020-05-06</v>
      </c>
      <c r="C1325" s="1">
        <v>2.5</v>
      </c>
      <c r="F1325" s="8">
        <f t="shared" si="60"/>
        <v>157</v>
      </c>
      <c r="G1325" s="9">
        <f t="shared" si="61"/>
        <v>43957</v>
      </c>
      <c r="H1325" s="10">
        <f t="shared" si="62"/>
        <v>2.5</v>
      </c>
    </row>
    <row r="1326" spans="1:8" x14ac:dyDescent="0.2">
      <c r="A1326" s="1">
        <v>33023</v>
      </c>
      <c r="B1326" s="1" t="str">
        <v>2020-05-06</v>
      </c>
      <c r="C1326" s="1">
        <v>2</v>
      </c>
      <c r="F1326" s="8">
        <f t="shared" si="60"/>
        <v>33023</v>
      </c>
      <c r="G1326" s="9">
        <f t="shared" si="61"/>
        <v>43957</v>
      </c>
      <c r="H1326" s="10">
        <f t="shared" si="62"/>
        <v>2</v>
      </c>
    </row>
    <row r="1327" spans="1:8" x14ac:dyDescent="0.2">
      <c r="A1327" s="1">
        <v>147</v>
      </c>
      <c r="B1327" s="1" t="str">
        <v>2020-05-06</v>
      </c>
      <c r="C1327" s="1">
        <v>1.1021000000000001</v>
      </c>
      <c r="F1327" s="8">
        <f t="shared" si="60"/>
        <v>147</v>
      </c>
      <c r="G1327" s="9">
        <f t="shared" si="61"/>
        <v>43957</v>
      </c>
      <c r="H1327" s="10">
        <f t="shared" si="62"/>
        <v>1.1021000000000001</v>
      </c>
    </row>
    <row r="1328" spans="1:8" x14ac:dyDescent="0.2">
      <c r="A1328" s="1">
        <v>33130</v>
      </c>
      <c r="B1328" s="1" t="str">
        <v>2020-05-07</v>
      </c>
      <c r="C1328" s="1">
        <v>2.1476999999999999</v>
      </c>
      <c r="F1328" s="8">
        <f t="shared" si="60"/>
        <v>33130</v>
      </c>
      <c r="G1328" s="9">
        <f t="shared" si="61"/>
        <v>43958</v>
      </c>
      <c r="H1328" s="10">
        <f t="shared" si="62"/>
        <v>2.1476999999999999</v>
      </c>
    </row>
    <row r="1329" spans="1:8" x14ac:dyDescent="0.2">
      <c r="A1329" s="1">
        <v>32480</v>
      </c>
      <c r="B1329" s="1" t="str">
        <v>2020-05-07</v>
      </c>
      <c r="C1329" s="1">
        <v>1.6812</v>
      </c>
      <c r="F1329" s="8">
        <f t="shared" si="60"/>
        <v>32480</v>
      </c>
      <c r="G1329" s="9">
        <f t="shared" si="61"/>
        <v>43958</v>
      </c>
      <c r="H1329" s="10">
        <f t="shared" si="62"/>
        <v>1.6812</v>
      </c>
    </row>
    <row r="1330" spans="1:8" x14ac:dyDescent="0.2">
      <c r="A1330" s="1">
        <v>33103</v>
      </c>
      <c r="B1330" s="1" t="str">
        <v>2020-05-07</v>
      </c>
      <c r="C1330" s="1">
        <v>2.9738000000000002</v>
      </c>
      <c r="F1330" s="8">
        <f t="shared" si="60"/>
        <v>33103</v>
      </c>
      <c r="G1330" s="9">
        <f t="shared" si="61"/>
        <v>43958</v>
      </c>
      <c r="H1330" s="10">
        <f t="shared" si="62"/>
        <v>2.9738000000000002</v>
      </c>
    </row>
    <row r="1331" spans="1:8" x14ac:dyDescent="0.2">
      <c r="A1331" s="1">
        <v>32280</v>
      </c>
      <c r="B1331" s="1" t="str">
        <v>2020-05-07</v>
      </c>
      <c r="C1331" s="1">
        <v>1.3244</v>
      </c>
      <c r="F1331" s="8">
        <f t="shared" si="60"/>
        <v>32280</v>
      </c>
      <c r="G1331" s="9">
        <f t="shared" si="61"/>
        <v>43958</v>
      </c>
      <c r="H1331" s="10">
        <f t="shared" si="62"/>
        <v>1.3244</v>
      </c>
    </row>
    <row r="1332" spans="1:8" x14ac:dyDescent="0.2">
      <c r="A1332" s="1">
        <v>83</v>
      </c>
      <c r="B1332" s="1" t="str">
        <v>2020-05-07</v>
      </c>
      <c r="C1332" s="1">
        <v>1.7101</v>
      </c>
      <c r="F1332" s="8">
        <f t="shared" si="60"/>
        <v>83</v>
      </c>
      <c r="G1332" s="9">
        <f t="shared" si="61"/>
        <v>43958</v>
      </c>
      <c r="H1332" s="10">
        <f t="shared" si="62"/>
        <v>1.7101</v>
      </c>
    </row>
    <row r="1333" spans="1:8" x14ac:dyDescent="0.2">
      <c r="A1333" s="1">
        <v>182</v>
      </c>
      <c r="B1333" s="1" t="str">
        <v>2020-05-08</v>
      </c>
      <c r="C1333" s="1">
        <v>2.5888</v>
      </c>
      <c r="F1333" s="8">
        <f t="shared" si="60"/>
        <v>182</v>
      </c>
      <c r="G1333" s="9">
        <f t="shared" si="61"/>
        <v>43959</v>
      </c>
      <c r="H1333" s="10">
        <f t="shared" si="62"/>
        <v>2.5888</v>
      </c>
    </row>
    <row r="1334" spans="1:8" x14ac:dyDescent="0.2">
      <c r="A1334" s="1">
        <v>143</v>
      </c>
      <c r="B1334" s="1" t="str">
        <v>2020-05-08</v>
      </c>
      <c r="C1334" s="1">
        <v>1.9742999999999999</v>
      </c>
      <c r="F1334" s="8">
        <f t="shared" si="60"/>
        <v>143</v>
      </c>
      <c r="G1334" s="9">
        <f t="shared" si="61"/>
        <v>43959</v>
      </c>
      <c r="H1334" s="10">
        <f t="shared" si="62"/>
        <v>1.9742999999999999</v>
      </c>
    </row>
    <row r="1335" spans="1:8" x14ac:dyDescent="0.2">
      <c r="A1335" s="1">
        <v>133</v>
      </c>
      <c r="B1335" s="1" t="str">
        <v>2020-05-08</v>
      </c>
      <c r="C1335" s="1">
        <v>1.9735</v>
      </c>
      <c r="F1335" s="8">
        <f t="shared" si="60"/>
        <v>133</v>
      </c>
      <c r="G1335" s="9">
        <f t="shared" si="61"/>
        <v>43959</v>
      </c>
      <c r="H1335" s="10">
        <f t="shared" si="62"/>
        <v>1.9735</v>
      </c>
    </row>
    <row r="1336" spans="1:8" x14ac:dyDescent="0.2">
      <c r="A1336" s="1">
        <v>187</v>
      </c>
      <c r="B1336" s="1" t="str">
        <v>2020-05-08</v>
      </c>
      <c r="C1336" s="1">
        <v>1.3759999999999999</v>
      </c>
      <c r="F1336" s="8">
        <f t="shared" si="60"/>
        <v>187</v>
      </c>
      <c r="G1336" s="9">
        <f t="shared" si="61"/>
        <v>43959</v>
      </c>
      <c r="H1336" s="10">
        <f t="shared" si="62"/>
        <v>1.3759999999999999</v>
      </c>
    </row>
    <row r="1337" spans="1:8" x14ac:dyDescent="0.2">
      <c r="A1337" s="1">
        <v>32560</v>
      </c>
      <c r="B1337" s="1" t="str">
        <v>2020-05-08</v>
      </c>
      <c r="C1337" s="1">
        <v>1.4766999999999999</v>
      </c>
      <c r="F1337" s="8">
        <f t="shared" si="60"/>
        <v>32560</v>
      </c>
      <c r="G1337" s="9">
        <f t="shared" si="61"/>
        <v>43959</v>
      </c>
      <c r="H1337" s="10">
        <f t="shared" si="62"/>
        <v>1.4766999999999999</v>
      </c>
    </row>
    <row r="1338" spans="1:8" x14ac:dyDescent="0.2">
      <c r="A1338" s="1">
        <v>32724</v>
      </c>
      <c r="B1338" s="1" t="str">
        <v>2020-05-08</v>
      </c>
      <c r="C1338" s="1">
        <v>0.84989999999999999</v>
      </c>
      <c r="F1338" s="8">
        <f t="shared" si="60"/>
        <v>32724</v>
      </c>
      <c r="G1338" s="9">
        <f t="shared" si="61"/>
        <v>43959</v>
      </c>
      <c r="H1338" s="10">
        <f t="shared" si="62"/>
        <v>0.84989999999999999</v>
      </c>
    </row>
    <row r="1339" spans="1:8" x14ac:dyDescent="0.2">
      <c r="A1339" s="1">
        <v>23250</v>
      </c>
      <c r="B1339" s="1" t="str">
        <v>2020-05-08</v>
      </c>
      <c r="C1339" s="1">
        <v>1.3039000000000001</v>
      </c>
      <c r="F1339" s="8">
        <f t="shared" si="60"/>
        <v>23250</v>
      </c>
      <c r="G1339" s="9">
        <f t="shared" si="61"/>
        <v>43959</v>
      </c>
      <c r="H1339" s="10">
        <f t="shared" si="62"/>
        <v>1.3039000000000001</v>
      </c>
    </row>
    <row r="1340" spans="1:8" x14ac:dyDescent="0.2">
      <c r="A1340" s="1">
        <v>1</v>
      </c>
      <c r="B1340" s="1" t="str">
        <v>2020-05-08</v>
      </c>
      <c r="C1340" s="1">
        <v>1.5168999999999999</v>
      </c>
      <c r="F1340" s="8">
        <f t="shared" si="60"/>
        <v>1</v>
      </c>
      <c r="G1340" s="9">
        <f t="shared" si="61"/>
        <v>43959</v>
      </c>
      <c r="H1340" s="10">
        <f t="shared" si="62"/>
        <v>1.5168999999999999</v>
      </c>
    </row>
    <row r="1341" spans="1:8" x14ac:dyDescent="0.2">
      <c r="A1341" s="1">
        <v>32180</v>
      </c>
      <c r="B1341" s="1" t="str">
        <v>2020-05-08</v>
      </c>
      <c r="C1341" s="1">
        <v>1.8625</v>
      </c>
      <c r="F1341" s="8">
        <f t="shared" si="60"/>
        <v>32180</v>
      </c>
      <c r="G1341" s="9">
        <f t="shared" si="61"/>
        <v>43959</v>
      </c>
      <c r="H1341" s="10">
        <f t="shared" si="62"/>
        <v>1.8625</v>
      </c>
    </row>
    <row r="1342" spans="1:8" x14ac:dyDescent="0.2">
      <c r="A1342" s="1">
        <v>150</v>
      </c>
      <c r="B1342" s="1" t="str">
        <v>2020-05-08</v>
      </c>
      <c r="C1342" s="1">
        <v>1.6933</v>
      </c>
      <c r="F1342" s="8">
        <f t="shared" si="60"/>
        <v>150</v>
      </c>
      <c r="G1342" s="9">
        <f t="shared" si="61"/>
        <v>43959</v>
      </c>
      <c r="H1342" s="10">
        <f t="shared" si="62"/>
        <v>1.6933</v>
      </c>
    </row>
    <row r="1343" spans="1:8" x14ac:dyDescent="0.2">
      <c r="A1343" s="1">
        <v>81</v>
      </c>
      <c r="B1343" s="1" t="str">
        <v>2020-05-08</v>
      </c>
      <c r="C1343" s="1">
        <v>1.9843999999999999</v>
      </c>
      <c r="F1343" s="8">
        <f t="shared" si="60"/>
        <v>81</v>
      </c>
      <c r="G1343" s="9">
        <f t="shared" si="61"/>
        <v>43959</v>
      </c>
      <c r="H1343" s="10">
        <f t="shared" si="62"/>
        <v>1.9843999999999999</v>
      </c>
    </row>
    <row r="1344" spans="1:8" x14ac:dyDescent="0.2">
      <c r="A1344" s="1">
        <v>49</v>
      </c>
      <c r="B1344" s="1" t="str">
        <v>2020-05-08</v>
      </c>
      <c r="C1344" s="1">
        <v>1.1830000000000001</v>
      </c>
      <c r="F1344" s="8">
        <f t="shared" si="60"/>
        <v>49</v>
      </c>
      <c r="G1344" s="9">
        <f t="shared" si="61"/>
        <v>43959</v>
      </c>
      <c r="H1344" s="10">
        <f t="shared" si="62"/>
        <v>1.1830000000000001</v>
      </c>
    </row>
    <row r="1345" spans="1:8" x14ac:dyDescent="0.2">
      <c r="A1345" s="1">
        <v>33103</v>
      </c>
      <c r="B1345" s="1" t="str">
        <v>2020-05-08</v>
      </c>
      <c r="C1345" s="1">
        <v>2.637</v>
      </c>
      <c r="F1345" s="8">
        <f t="shared" si="60"/>
        <v>33103</v>
      </c>
      <c r="G1345" s="9">
        <f t="shared" si="61"/>
        <v>43959</v>
      </c>
      <c r="H1345" s="10">
        <f t="shared" si="62"/>
        <v>2.637</v>
      </c>
    </row>
    <row r="1346" spans="1:8" x14ac:dyDescent="0.2">
      <c r="A1346" s="1">
        <v>32783</v>
      </c>
      <c r="B1346" s="1" t="str">
        <v>2020-05-08</v>
      </c>
      <c r="C1346" s="1">
        <v>2.2595999999999998</v>
      </c>
      <c r="F1346" s="8">
        <f t="shared" si="60"/>
        <v>32783</v>
      </c>
      <c r="G1346" s="9">
        <f t="shared" si="61"/>
        <v>43959</v>
      </c>
      <c r="H1346" s="10">
        <f t="shared" si="62"/>
        <v>2.2595999999999998</v>
      </c>
    </row>
    <row r="1347" spans="1:8" x14ac:dyDescent="0.2">
      <c r="A1347" s="1">
        <v>171</v>
      </c>
      <c r="B1347" s="1" t="str">
        <v>2020-05-08</v>
      </c>
      <c r="C1347" s="1">
        <v>1.4155</v>
      </c>
      <c r="F1347" s="8">
        <f t="shared" si="60"/>
        <v>171</v>
      </c>
      <c r="G1347" s="9">
        <f t="shared" si="61"/>
        <v>43959</v>
      </c>
      <c r="H1347" s="10">
        <f t="shared" si="62"/>
        <v>1.4155</v>
      </c>
    </row>
    <row r="1348" spans="1:8" x14ac:dyDescent="0.2">
      <c r="A1348" s="1">
        <v>177</v>
      </c>
      <c r="B1348" s="1" t="str">
        <v>2020-05-08</v>
      </c>
      <c r="C1348" s="1">
        <v>2.0047000000000001</v>
      </c>
      <c r="F1348" s="8">
        <f t="shared" si="60"/>
        <v>177</v>
      </c>
      <c r="G1348" s="9">
        <f t="shared" si="61"/>
        <v>43959</v>
      </c>
      <c r="H1348" s="10">
        <f t="shared" si="62"/>
        <v>2.0047000000000001</v>
      </c>
    </row>
    <row r="1349" spans="1:8" x14ac:dyDescent="0.2">
      <c r="A1349" s="1">
        <v>156</v>
      </c>
      <c r="B1349" s="1" t="str">
        <v>2020-05-08</v>
      </c>
      <c r="C1349" s="1">
        <v>2.0350999999999999</v>
      </c>
      <c r="F1349" s="8">
        <f t="shared" si="60"/>
        <v>156</v>
      </c>
      <c r="G1349" s="9">
        <f t="shared" si="61"/>
        <v>43959</v>
      </c>
      <c r="H1349" s="10">
        <f t="shared" si="62"/>
        <v>2.0350999999999999</v>
      </c>
    </row>
    <row r="1350" spans="1:8" x14ac:dyDescent="0.2">
      <c r="A1350" s="1">
        <v>101</v>
      </c>
      <c r="B1350" s="1" t="str">
        <v>2020-05-08</v>
      </c>
      <c r="C1350" s="1">
        <v>1.6082000000000001</v>
      </c>
      <c r="F1350" s="8">
        <f t="shared" si="60"/>
        <v>101</v>
      </c>
      <c r="G1350" s="9">
        <f t="shared" si="61"/>
        <v>43959</v>
      </c>
      <c r="H1350" s="10">
        <f t="shared" si="62"/>
        <v>1.6082000000000001</v>
      </c>
    </row>
    <row r="1351" spans="1:8" x14ac:dyDescent="0.2">
      <c r="A1351" s="1">
        <v>67</v>
      </c>
      <c r="B1351" s="1" t="str">
        <v>2020-05-08</v>
      </c>
      <c r="C1351" s="1">
        <v>1.9424999999999999</v>
      </c>
      <c r="F1351" s="8">
        <f t="shared" si="60"/>
        <v>67</v>
      </c>
      <c r="G1351" s="9">
        <f t="shared" si="61"/>
        <v>43959</v>
      </c>
      <c r="H1351" s="10">
        <f t="shared" si="62"/>
        <v>1.9424999999999999</v>
      </c>
    </row>
    <row r="1352" spans="1:8" x14ac:dyDescent="0.2">
      <c r="A1352" s="1">
        <v>32502</v>
      </c>
      <c r="B1352" s="1" t="str">
        <v>2020-05-08</v>
      </c>
      <c r="C1352" s="1">
        <v>1.6392</v>
      </c>
      <c r="F1352" s="8">
        <f t="shared" si="60"/>
        <v>32502</v>
      </c>
      <c r="G1352" s="9">
        <f t="shared" si="61"/>
        <v>43959</v>
      </c>
      <c r="H1352" s="10">
        <f t="shared" si="62"/>
        <v>1.6392</v>
      </c>
    </row>
    <row r="1353" spans="1:8" x14ac:dyDescent="0.2">
      <c r="A1353" s="1">
        <v>55</v>
      </c>
      <c r="B1353" s="1" t="str">
        <v>2020-05-08</v>
      </c>
      <c r="C1353" s="1">
        <v>1.2939000000000001</v>
      </c>
      <c r="F1353" s="8">
        <f t="shared" ref="F1353:F1416" si="63">A1353</f>
        <v>55</v>
      </c>
      <c r="G1353" s="9">
        <f t="shared" ref="G1353:G1416" si="64">DATE(LEFT(B1353,4),MID(B1353,6,2),RIGHT(B1353,2))</f>
        <v>43959</v>
      </c>
      <c r="H1353" s="10">
        <f t="shared" ref="H1353:H1416" si="65">C1353</f>
        <v>1.2939000000000001</v>
      </c>
    </row>
    <row r="1354" spans="1:8" x14ac:dyDescent="0.2">
      <c r="A1354" s="1">
        <v>2250</v>
      </c>
      <c r="B1354" s="1" t="str">
        <v>2020-05-08</v>
      </c>
      <c r="C1354" s="1">
        <v>0.49730000000000002</v>
      </c>
      <c r="F1354" s="8">
        <f t="shared" si="63"/>
        <v>2250</v>
      </c>
      <c r="G1354" s="9">
        <f t="shared" si="64"/>
        <v>43959</v>
      </c>
      <c r="H1354" s="10">
        <f t="shared" si="65"/>
        <v>0.49730000000000002</v>
      </c>
    </row>
    <row r="1355" spans="1:8" x14ac:dyDescent="0.2">
      <c r="A1355" s="1">
        <v>32583</v>
      </c>
      <c r="B1355" s="1" t="str">
        <v>2020-05-08</v>
      </c>
      <c r="C1355" s="1">
        <v>1.4</v>
      </c>
      <c r="F1355" s="8">
        <f t="shared" si="63"/>
        <v>32583</v>
      </c>
      <c r="G1355" s="9">
        <f t="shared" si="64"/>
        <v>43959</v>
      </c>
      <c r="H1355" s="10">
        <f t="shared" si="65"/>
        <v>1.4</v>
      </c>
    </row>
    <row r="1356" spans="1:8" x14ac:dyDescent="0.2">
      <c r="A1356" s="1">
        <v>102</v>
      </c>
      <c r="B1356" s="1" t="str">
        <v>2020-05-08</v>
      </c>
      <c r="C1356" s="1">
        <v>1.5469999999999999</v>
      </c>
      <c r="F1356" s="8">
        <f t="shared" si="63"/>
        <v>102</v>
      </c>
      <c r="G1356" s="9">
        <f t="shared" si="64"/>
        <v>43959</v>
      </c>
      <c r="H1356" s="10">
        <f t="shared" si="65"/>
        <v>1.5469999999999999</v>
      </c>
    </row>
    <row r="1357" spans="1:8" x14ac:dyDescent="0.2">
      <c r="A1357" s="1">
        <v>33125</v>
      </c>
      <c r="B1357" s="1" t="str">
        <v>2020-05-08</v>
      </c>
      <c r="C1357" s="1">
        <v>2.2780999999999998</v>
      </c>
      <c r="F1357" s="8">
        <f t="shared" si="63"/>
        <v>33125</v>
      </c>
      <c r="G1357" s="9">
        <f t="shared" si="64"/>
        <v>43959</v>
      </c>
      <c r="H1357" s="10">
        <f t="shared" si="65"/>
        <v>2.2780999999999998</v>
      </c>
    </row>
    <row r="1358" spans="1:8" x14ac:dyDescent="0.2">
      <c r="A1358" s="1">
        <v>16</v>
      </c>
      <c r="B1358" s="1" t="str">
        <v>2020-05-11</v>
      </c>
      <c r="C1358" s="1">
        <v>1.3873</v>
      </c>
      <c r="F1358" s="8">
        <f t="shared" si="63"/>
        <v>16</v>
      </c>
      <c r="G1358" s="9">
        <f t="shared" si="64"/>
        <v>43962</v>
      </c>
      <c r="H1358" s="10">
        <f t="shared" si="65"/>
        <v>1.3873</v>
      </c>
    </row>
    <row r="1359" spans="1:8" x14ac:dyDescent="0.2">
      <c r="A1359" s="1">
        <v>32260</v>
      </c>
      <c r="B1359" s="1" t="str">
        <v>2020-05-11</v>
      </c>
      <c r="C1359" s="1">
        <v>1.6997</v>
      </c>
      <c r="F1359" s="8">
        <f t="shared" si="63"/>
        <v>32260</v>
      </c>
      <c r="G1359" s="9">
        <f t="shared" si="64"/>
        <v>43962</v>
      </c>
      <c r="H1359" s="10">
        <f t="shared" si="65"/>
        <v>1.6997</v>
      </c>
    </row>
    <row r="1360" spans="1:8" x14ac:dyDescent="0.2">
      <c r="A1360" s="1">
        <v>32983</v>
      </c>
      <c r="B1360" s="1" t="str">
        <v>2020-05-11</v>
      </c>
      <c r="C1360" s="1">
        <v>1.2272000000000001</v>
      </c>
      <c r="F1360" s="8">
        <f t="shared" si="63"/>
        <v>32983</v>
      </c>
      <c r="G1360" s="9">
        <f t="shared" si="64"/>
        <v>43962</v>
      </c>
      <c r="H1360" s="10">
        <f t="shared" si="65"/>
        <v>1.2272000000000001</v>
      </c>
    </row>
    <row r="1361" spans="1:8" x14ac:dyDescent="0.2">
      <c r="A1361" s="1">
        <v>13250</v>
      </c>
      <c r="B1361" s="1" t="str">
        <v>2020-05-11</v>
      </c>
      <c r="C1361" s="1">
        <v>1.2325999999999999</v>
      </c>
      <c r="F1361" s="8">
        <f t="shared" si="63"/>
        <v>13250</v>
      </c>
      <c r="G1361" s="9">
        <f t="shared" si="64"/>
        <v>43962</v>
      </c>
      <c r="H1361" s="10">
        <f t="shared" si="65"/>
        <v>1.2325999999999999</v>
      </c>
    </row>
    <row r="1362" spans="1:8" x14ac:dyDescent="0.2">
      <c r="A1362" s="1">
        <v>59</v>
      </c>
      <c r="B1362" s="1" t="str">
        <v>2020-05-11</v>
      </c>
      <c r="C1362" s="1">
        <v>1.204</v>
      </c>
      <c r="F1362" s="8">
        <f t="shared" si="63"/>
        <v>59</v>
      </c>
      <c r="G1362" s="9">
        <f t="shared" si="64"/>
        <v>43962</v>
      </c>
      <c r="H1362" s="10">
        <f t="shared" si="65"/>
        <v>1.204</v>
      </c>
    </row>
    <row r="1363" spans="1:8" x14ac:dyDescent="0.2">
      <c r="A1363" s="1">
        <v>157</v>
      </c>
      <c r="B1363" s="1" t="str">
        <v>2020-05-11</v>
      </c>
      <c r="C1363" s="1">
        <v>2</v>
      </c>
      <c r="F1363" s="8">
        <f t="shared" si="63"/>
        <v>157</v>
      </c>
      <c r="G1363" s="9">
        <f t="shared" si="64"/>
        <v>43962</v>
      </c>
      <c r="H1363" s="10">
        <f t="shared" si="65"/>
        <v>2</v>
      </c>
    </row>
    <row r="1364" spans="1:8" x14ac:dyDescent="0.2">
      <c r="A1364" s="1">
        <v>32963</v>
      </c>
      <c r="B1364" s="1" t="str">
        <v>2020-05-11</v>
      </c>
      <c r="C1364" s="1">
        <v>1.7806999999999999</v>
      </c>
      <c r="F1364" s="8">
        <f t="shared" si="63"/>
        <v>32963</v>
      </c>
      <c r="G1364" s="9">
        <f t="shared" si="64"/>
        <v>43962</v>
      </c>
      <c r="H1364" s="10">
        <f t="shared" si="65"/>
        <v>1.7806999999999999</v>
      </c>
    </row>
    <row r="1365" spans="1:8" x14ac:dyDescent="0.2">
      <c r="A1365" s="1">
        <v>32421</v>
      </c>
      <c r="B1365" s="1" t="str">
        <v>2020-05-11</v>
      </c>
      <c r="C1365" s="1">
        <v>1.5297000000000001</v>
      </c>
      <c r="F1365" s="8">
        <f t="shared" si="63"/>
        <v>32421</v>
      </c>
      <c r="G1365" s="9">
        <f t="shared" si="64"/>
        <v>43962</v>
      </c>
      <c r="H1365" s="10">
        <f t="shared" si="65"/>
        <v>1.5297000000000001</v>
      </c>
    </row>
    <row r="1366" spans="1:8" x14ac:dyDescent="0.2">
      <c r="A1366" s="1">
        <v>28</v>
      </c>
      <c r="B1366" s="1" t="str">
        <v>2020-05-11</v>
      </c>
      <c r="C1366" s="1">
        <v>1.5177</v>
      </c>
      <c r="F1366" s="8">
        <f t="shared" si="63"/>
        <v>28</v>
      </c>
      <c r="G1366" s="9">
        <f t="shared" si="64"/>
        <v>43962</v>
      </c>
      <c r="H1366" s="10">
        <f t="shared" si="65"/>
        <v>1.5177</v>
      </c>
    </row>
    <row r="1367" spans="1:8" x14ac:dyDescent="0.2">
      <c r="A1367" s="1">
        <v>32724</v>
      </c>
      <c r="B1367" s="1" t="str">
        <v>2020-05-11</v>
      </c>
      <c r="C1367" s="1">
        <v>1.0521</v>
      </c>
      <c r="F1367" s="8">
        <f t="shared" si="63"/>
        <v>32724</v>
      </c>
      <c r="G1367" s="9">
        <f t="shared" si="64"/>
        <v>43962</v>
      </c>
      <c r="H1367" s="10">
        <f t="shared" si="65"/>
        <v>1.0521</v>
      </c>
    </row>
    <row r="1368" spans="1:8" x14ac:dyDescent="0.2">
      <c r="A1368" s="1">
        <v>77</v>
      </c>
      <c r="B1368" s="1" t="str">
        <v>2020-05-11</v>
      </c>
      <c r="C1368" s="1">
        <v>1.6607000000000001</v>
      </c>
      <c r="F1368" s="8">
        <f t="shared" si="63"/>
        <v>77</v>
      </c>
      <c r="G1368" s="9">
        <f t="shared" si="64"/>
        <v>43962</v>
      </c>
      <c r="H1368" s="10">
        <f t="shared" si="65"/>
        <v>1.6607000000000001</v>
      </c>
    </row>
    <row r="1369" spans="1:8" x14ac:dyDescent="0.2">
      <c r="A1369" s="1">
        <v>178</v>
      </c>
      <c r="B1369" s="1" t="str">
        <v>2020-05-11</v>
      </c>
      <c r="C1369" s="1">
        <v>1.7939000000000001</v>
      </c>
      <c r="F1369" s="8">
        <f t="shared" si="63"/>
        <v>178</v>
      </c>
      <c r="G1369" s="9">
        <f t="shared" si="64"/>
        <v>43962</v>
      </c>
      <c r="H1369" s="10">
        <f t="shared" si="65"/>
        <v>1.7939000000000001</v>
      </c>
    </row>
    <row r="1370" spans="1:8" x14ac:dyDescent="0.2">
      <c r="A1370" s="1">
        <v>33023</v>
      </c>
      <c r="B1370" s="1" t="str">
        <v>2020-05-11</v>
      </c>
      <c r="C1370" s="1">
        <v>1.5</v>
      </c>
      <c r="F1370" s="8">
        <f t="shared" si="63"/>
        <v>33023</v>
      </c>
      <c r="G1370" s="9">
        <f t="shared" si="64"/>
        <v>43962</v>
      </c>
      <c r="H1370" s="10">
        <f t="shared" si="65"/>
        <v>1.5</v>
      </c>
    </row>
    <row r="1371" spans="1:8" x14ac:dyDescent="0.2">
      <c r="A1371" s="1">
        <v>34</v>
      </c>
      <c r="B1371" s="1" t="str">
        <v>2020-05-12</v>
      </c>
      <c r="C1371" s="1">
        <v>1.7591000000000001</v>
      </c>
      <c r="F1371" s="8">
        <f t="shared" si="63"/>
        <v>34</v>
      </c>
      <c r="G1371" s="9">
        <f t="shared" si="64"/>
        <v>43963</v>
      </c>
      <c r="H1371" s="10">
        <f t="shared" si="65"/>
        <v>1.7591000000000001</v>
      </c>
    </row>
    <row r="1372" spans="1:8" x14ac:dyDescent="0.2">
      <c r="A1372" s="1">
        <v>32260</v>
      </c>
      <c r="B1372" s="1" t="str">
        <v>2020-05-12</v>
      </c>
      <c r="C1372" s="1">
        <v>1.6997</v>
      </c>
      <c r="F1372" s="8">
        <f t="shared" si="63"/>
        <v>32260</v>
      </c>
      <c r="G1372" s="9">
        <f t="shared" si="64"/>
        <v>43963</v>
      </c>
      <c r="H1372" s="10">
        <f t="shared" si="65"/>
        <v>1.6997</v>
      </c>
    </row>
    <row r="1373" spans="1:8" x14ac:dyDescent="0.2">
      <c r="A1373" s="1">
        <v>32360</v>
      </c>
      <c r="B1373" s="1" t="str">
        <v>2020-05-12</v>
      </c>
      <c r="C1373" s="1">
        <v>1.0221</v>
      </c>
      <c r="F1373" s="8">
        <f t="shared" si="63"/>
        <v>32360</v>
      </c>
      <c r="G1373" s="9">
        <f t="shared" si="64"/>
        <v>43963</v>
      </c>
      <c r="H1373" s="10">
        <f t="shared" si="65"/>
        <v>1.0221</v>
      </c>
    </row>
    <row r="1374" spans="1:8" x14ac:dyDescent="0.2">
      <c r="A1374" s="1">
        <v>32964</v>
      </c>
      <c r="B1374" s="1" t="str">
        <v>2020-05-12</v>
      </c>
      <c r="C1374" s="1">
        <v>1.6057999999999999</v>
      </c>
      <c r="F1374" s="8">
        <f t="shared" si="63"/>
        <v>32964</v>
      </c>
      <c r="G1374" s="9">
        <f t="shared" si="64"/>
        <v>43963</v>
      </c>
      <c r="H1374" s="10">
        <f t="shared" si="65"/>
        <v>1.6057999999999999</v>
      </c>
    </row>
    <row r="1375" spans="1:8" x14ac:dyDescent="0.2">
      <c r="A1375" s="1">
        <v>33130</v>
      </c>
      <c r="B1375" s="1" t="str">
        <v>2020-05-13</v>
      </c>
      <c r="C1375" s="1">
        <v>1.893</v>
      </c>
      <c r="F1375" s="8">
        <f t="shared" si="63"/>
        <v>33130</v>
      </c>
      <c r="G1375" s="9">
        <f t="shared" si="64"/>
        <v>43964</v>
      </c>
      <c r="H1375" s="10">
        <f t="shared" si="65"/>
        <v>1.893</v>
      </c>
    </row>
    <row r="1376" spans="1:8" x14ac:dyDescent="0.2">
      <c r="A1376" s="1">
        <v>32360</v>
      </c>
      <c r="B1376" s="1" t="str">
        <v>2020-05-13</v>
      </c>
      <c r="C1376" s="1">
        <v>1.0221</v>
      </c>
      <c r="F1376" s="8">
        <f t="shared" si="63"/>
        <v>32360</v>
      </c>
      <c r="G1376" s="9">
        <f t="shared" si="64"/>
        <v>43964</v>
      </c>
      <c r="H1376" s="10">
        <f t="shared" si="65"/>
        <v>1.0221</v>
      </c>
    </row>
    <row r="1377" spans="1:8" x14ac:dyDescent="0.2">
      <c r="A1377" s="1">
        <v>32081</v>
      </c>
      <c r="B1377" s="1" t="str">
        <v>2020-05-13</v>
      </c>
      <c r="C1377" s="1">
        <v>0.72850000000000004</v>
      </c>
      <c r="F1377" s="8">
        <f t="shared" si="63"/>
        <v>32081</v>
      </c>
      <c r="G1377" s="9">
        <f t="shared" si="64"/>
        <v>43964</v>
      </c>
      <c r="H1377" s="10">
        <f t="shared" si="65"/>
        <v>0.72850000000000004</v>
      </c>
    </row>
    <row r="1378" spans="1:8" x14ac:dyDescent="0.2">
      <c r="A1378" s="1">
        <v>191</v>
      </c>
      <c r="B1378" s="1" t="str">
        <v>2020-05-13</v>
      </c>
      <c r="C1378" s="1">
        <v>1.5431999999999999</v>
      </c>
      <c r="F1378" s="8">
        <f t="shared" si="63"/>
        <v>191</v>
      </c>
      <c r="G1378" s="9">
        <f t="shared" si="64"/>
        <v>43964</v>
      </c>
      <c r="H1378" s="10">
        <f t="shared" si="65"/>
        <v>1.5431999999999999</v>
      </c>
    </row>
    <row r="1379" spans="1:8" x14ac:dyDescent="0.2">
      <c r="A1379" s="1">
        <v>53</v>
      </c>
      <c r="B1379" s="1" t="str">
        <v>2020-05-13</v>
      </c>
      <c r="C1379" s="1">
        <v>1.2523</v>
      </c>
      <c r="F1379" s="8">
        <f t="shared" si="63"/>
        <v>53</v>
      </c>
      <c r="G1379" s="9">
        <f t="shared" si="64"/>
        <v>43964</v>
      </c>
      <c r="H1379" s="10">
        <f t="shared" si="65"/>
        <v>1.2523</v>
      </c>
    </row>
    <row r="1380" spans="1:8" x14ac:dyDescent="0.2">
      <c r="A1380" s="1">
        <v>99</v>
      </c>
      <c r="B1380" s="1" t="str">
        <v>2020-05-13</v>
      </c>
      <c r="C1380" s="1">
        <v>2.7494999999999998</v>
      </c>
      <c r="F1380" s="8">
        <f t="shared" si="63"/>
        <v>99</v>
      </c>
      <c r="G1380" s="9">
        <f t="shared" si="64"/>
        <v>43964</v>
      </c>
      <c r="H1380" s="10">
        <f t="shared" si="65"/>
        <v>2.7494999999999998</v>
      </c>
    </row>
    <row r="1381" spans="1:8" x14ac:dyDescent="0.2">
      <c r="A1381" s="1">
        <v>32964</v>
      </c>
      <c r="B1381" s="1" t="str">
        <v>2020-05-13</v>
      </c>
      <c r="C1381" s="1">
        <v>1.6057999999999999</v>
      </c>
      <c r="F1381" s="8">
        <f t="shared" si="63"/>
        <v>32964</v>
      </c>
      <c r="G1381" s="9">
        <f t="shared" si="64"/>
        <v>43964</v>
      </c>
      <c r="H1381" s="10">
        <f t="shared" si="65"/>
        <v>1.6057999999999999</v>
      </c>
    </row>
    <row r="1382" spans="1:8" x14ac:dyDescent="0.2">
      <c r="A1382" s="1">
        <v>32082</v>
      </c>
      <c r="B1382" s="1" t="str">
        <v>2020-05-14</v>
      </c>
      <c r="C1382" s="1">
        <v>1.3554999999999999</v>
      </c>
      <c r="F1382" s="8">
        <f t="shared" si="63"/>
        <v>32082</v>
      </c>
      <c r="G1382" s="9">
        <f t="shared" si="64"/>
        <v>43965</v>
      </c>
      <c r="H1382" s="10">
        <f t="shared" si="65"/>
        <v>1.3554999999999999</v>
      </c>
    </row>
    <row r="1383" spans="1:8" x14ac:dyDescent="0.2">
      <c r="A1383" s="1">
        <v>30400</v>
      </c>
      <c r="B1383" s="1" t="str">
        <v>2020-05-14</v>
      </c>
      <c r="C1383" s="1">
        <v>0.99050000000000005</v>
      </c>
      <c r="F1383" s="8">
        <f t="shared" si="63"/>
        <v>30400</v>
      </c>
      <c r="G1383" s="9">
        <f t="shared" si="64"/>
        <v>43965</v>
      </c>
      <c r="H1383" s="10">
        <f t="shared" si="65"/>
        <v>0.99050000000000005</v>
      </c>
    </row>
    <row r="1384" spans="1:8" x14ac:dyDescent="0.2">
      <c r="A1384" s="1">
        <v>37</v>
      </c>
      <c r="B1384" s="1" t="str">
        <v>2020-05-14</v>
      </c>
      <c r="C1384" s="1">
        <v>1.5263</v>
      </c>
      <c r="F1384" s="8">
        <f t="shared" si="63"/>
        <v>37</v>
      </c>
      <c r="G1384" s="9">
        <f t="shared" si="64"/>
        <v>43965</v>
      </c>
      <c r="H1384" s="10">
        <f t="shared" si="65"/>
        <v>1.5263</v>
      </c>
    </row>
    <row r="1385" spans="1:8" x14ac:dyDescent="0.2">
      <c r="A1385" s="1">
        <v>8</v>
      </c>
      <c r="B1385" s="1" t="str">
        <v>2020-05-14</v>
      </c>
      <c r="C1385" s="1">
        <v>2.0973000000000002</v>
      </c>
      <c r="F1385" s="8">
        <f t="shared" si="63"/>
        <v>8</v>
      </c>
      <c r="G1385" s="9">
        <f t="shared" si="64"/>
        <v>43965</v>
      </c>
      <c r="H1385" s="10">
        <f t="shared" si="65"/>
        <v>2.0973000000000002</v>
      </c>
    </row>
    <row r="1386" spans="1:8" x14ac:dyDescent="0.2">
      <c r="A1386" s="1">
        <v>176</v>
      </c>
      <c r="B1386" s="1" t="str">
        <v>2020-05-14</v>
      </c>
      <c r="C1386" s="1">
        <v>1.6989000000000001</v>
      </c>
      <c r="F1386" s="8">
        <f t="shared" si="63"/>
        <v>176</v>
      </c>
      <c r="G1386" s="9">
        <f t="shared" si="64"/>
        <v>43965</v>
      </c>
      <c r="H1386" s="10">
        <f t="shared" si="65"/>
        <v>1.6989000000000001</v>
      </c>
    </row>
    <row r="1387" spans="1:8" x14ac:dyDescent="0.2">
      <c r="A1387" s="1">
        <v>182</v>
      </c>
      <c r="B1387" s="1" t="str">
        <v>2020-05-15</v>
      </c>
      <c r="C1387" s="1">
        <v>1.7806</v>
      </c>
      <c r="F1387" s="8">
        <f t="shared" si="63"/>
        <v>182</v>
      </c>
      <c r="G1387" s="9">
        <f t="shared" si="64"/>
        <v>43966</v>
      </c>
      <c r="H1387" s="10">
        <f t="shared" si="65"/>
        <v>1.7806</v>
      </c>
    </row>
    <row r="1388" spans="1:8" x14ac:dyDescent="0.2">
      <c r="A1388" s="1">
        <v>24</v>
      </c>
      <c r="B1388" s="1" t="str">
        <v>2020-05-15</v>
      </c>
      <c r="C1388" s="1">
        <v>2.1572</v>
      </c>
      <c r="F1388" s="8">
        <f t="shared" si="63"/>
        <v>24</v>
      </c>
      <c r="G1388" s="9">
        <f t="shared" si="64"/>
        <v>43966</v>
      </c>
      <c r="H1388" s="10">
        <f t="shared" si="65"/>
        <v>2.1572</v>
      </c>
    </row>
    <row r="1389" spans="1:8" x14ac:dyDescent="0.2">
      <c r="A1389" s="1">
        <v>109</v>
      </c>
      <c r="B1389" s="1" t="str">
        <v>2020-05-15</v>
      </c>
      <c r="C1389" s="1">
        <v>1.8329</v>
      </c>
      <c r="F1389" s="8">
        <f t="shared" si="63"/>
        <v>109</v>
      </c>
      <c r="G1389" s="9">
        <f t="shared" si="64"/>
        <v>43966</v>
      </c>
      <c r="H1389" s="10">
        <f t="shared" si="65"/>
        <v>1.8329</v>
      </c>
    </row>
    <row r="1390" spans="1:8" x14ac:dyDescent="0.2">
      <c r="A1390" s="1">
        <v>187</v>
      </c>
      <c r="B1390" s="1" t="str">
        <v>2020-05-15</v>
      </c>
      <c r="C1390" s="1">
        <v>1.4467000000000001</v>
      </c>
      <c r="F1390" s="8">
        <f t="shared" si="63"/>
        <v>187</v>
      </c>
      <c r="G1390" s="9">
        <f t="shared" si="64"/>
        <v>43966</v>
      </c>
      <c r="H1390" s="10">
        <f t="shared" si="65"/>
        <v>1.4467000000000001</v>
      </c>
    </row>
    <row r="1391" spans="1:8" x14ac:dyDescent="0.2">
      <c r="A1391" s="1">
        <v>81</v>
      </c>
      <c r="B1391" s="1" t="str">
        <v>2020-05-15</v>
      </c>
      <c r="C1391" s="1">
        <v>1.9843999999999999</v>
      </c>
      <c r="F1391" s="8">
        <f t="shared" si="63"/>
        <v>81</v>
      </c>
      <c r="G1391" s="9">
        <f t="shared" si="64"/>
        <v>43966</v>
      </c>
      <c r="H1391" s="10">
        <f t="shared" si="65"/>
        <v>1.9843999999999999</v>
      </c>
    </row>
    <row r="1392" spans="1:8" x14ac:dyDescent="0.2">
      <c r="A1392" s="1">
        <v>150</v>
      </c>
      <c r="B1392" s="1" t="str">
        <v>2020-05-15</v>
      </c>
      <c r="C1392" s="1">
        <v>1.5913999999999999</v>
      </c>
      <c r="F1392" s="8">
        <f t="shared" si="63"/>
        <v>150</v>
      </c>
      <c r="G1392" s="9">
        <f t="shared" si="64"/>
        <v>43966</v>
      </c>
      <c r="H1392" s="10">
        <f t="shared" si="65"/>
        <v>1.5913999999999999</v>
      </c>
    </row>
    <row r="1393" spans="1:8" x14ac:dyDescent="0.2">
      <c r="A1393" s="1">
        <v>32180</v>
      </c>
      <c r="B1393" s="1" t="str">
        <v>2020-05-15</v>
      </c>
      <c r="C1393" s="1">
        <v>1.8625</v>
      </c>
      <c r="F1393" s="8">
        <f t="shared" si="63"/>
        <v>32180</v>
      </c>
      <c r="G1393" s="9">
        <f t="shared" si="64"/>
        <v>43966</v>
      </c>
      <c r="H1393" s="10">
        <f t="shared" si="65"/>
        <v>1.8625</v>
      </c>
    </row>
    <row r="1394" spans="1:8" x14ac:dyDescent="0.2">
      <c r="A1394" s="1">
        <v>49</v>
      </c>
      <c r="B1394" s="1" t="str">
        <v>2020-05-15</v>
      </c>
      <c r="C1394" s="1">
        <v>1.1830000000000001</v>
      </c>
      <c r="F1394" s="8">
        <f t="shared" si="63"/>
        <v>49</v>
      </c>
      <c r="G1394" s="9">
        <f t="shared" si="64"/>
        <v>43966</v>
      </c>
      <c r="H1394" s="10">
        <f t="shared" si="65"/>
        <v>1.1830000000000001</v>
      </c>
    </row>
    <row r="1395" spans="1:8" x14ac:dyDescent="0.2">
      <c r="A1395" s="1">
        <v>32420</v>
      </c>
      <c r="B1395" s="1" t="str">
        <v>2020-05-15</v>
      </c>
      <c r="C1395" s="1">
        <v>1.5806</v>
      </c>
      <c r="F1395" s="8">
        <f t="shared" si="63"/>
        <v>32420</v>
      </c>
      <c r="G1395" s="9">
        <f t="shared" si="64"/>
        <v>43966</v>
      </c>
      <c r="H1395" s="10">
        <f t="shared" si="65"/>
        <v>1.5806</v>
      </c>
    </row>
    <row r="1396" spans="1:8" x14ac:dyDescent="0.2">
      <c r="A1396" s="1">
        <v>33103</v>
      </c>
      <c r="B1396" s="1" t="str">
        <v>2020-05-15</v>
      </c>
      <c r="C1396" s="1">
        <v>2.6091000000000002</v>
      </c>
      <c r="F1396" s="8">
        <f t="shared" si="63"/>
        <v>33103</v>
      </c>
      <c r="G1396" s="9">
        <f t="shared" si="64"/>
        <v>43966</v>
      </c>
      <c r="H1396" s="10">
        <f t="shared" si="65"/>
        <v>2.6091000000000002</v>
      </c>
    </row>
    <row r="1397" spans="1:8" x14ac:dyDescent="0.2">
      <c r="A1397" s="1">
        <v>101</v>
      </c>
      <c r="B1397" s="1" t="str">
        <v>2020-05-15</v>
      </c>
      <c r="C1397" s="1">
        <v>1.6487000000000001</v>
      </c>
      <c r="F1397" s="8">
        <f t="shared" si="63"/>
        <v>101</v>
      </c>
      <c r="G1397" s="9">
        <f t="shared" si="64"/>
        <v>43966</v>
      </c>
      <c r="H1397" s="10">
        <f t="shared" si="65"/>
        <v>1.6487000000000001</v>
      </c>
    </row>
    <row r="1398" spans="1:8" x14ac:dyDescent="0.2">
      <c r="A1398" s="1">
        <v>147</v>
      </c>
      <c r="B1398" s="1" t="str">
        <v>2020-05-15</v>
      </c>
      <c r="C1398" s="1">
        <v>1.1322000000000001</v>
      </c>
      <c r="F1398" s="8">
        <f t="shared" si="63"/>
        <v>147</v>
      </c>
      <c r="G1398" s="9">
        <f t="shared" si="64"/>
        <v>43966</v>
      </c>
      <c r="H1398" s="10">
        <f t="shared" si="65"/>
        <v>1.1322000000000001</v>
      </c>
    </row>
    <row r="1399" spans="1:8" x14ac:dyDescent="0.2">
      <c r="A1399" s="1">
        <v>10</v>
      </c>
      <c r="B1399" s="1" t="str">
        <v>2020-05-15</v>
      </c>
      <c r="C1399" s="1">
        <v>1.4573</v>
      </c>
      <c r="F1399" s="8">
        <f t="shared" si="63"/>
        <v>10</v>
      </c>
      <c r="G1399" s="9">
        <f t="shared" si="64"/>
        <v>43966</v>
      </c>
      <c r="H1399" s="10">
        <f t="shared" si="65"/>
        <v>1.4573</v>
      </c>
    </row>
    <row r="1400" spans="1:8" x14ac:dyDescent="0.2">
      <c r="A1400" s="1">
        <v>102</v>
      </c>
      <c r="B1400" s="1" t="str">
        <v>2020-05-15</v>
      </c>
      <c r="C1400" s="1">
        <v>1.446</v>
      </c>
      <c r="F1400" s="8">
        <f t="shared" si="63"/>
        <v>102</v>
      </c>
      <c r="G1400" s="9">
        <f t="shared" si="64"/>
        <v>43966</v>
      </c>
      <c r="H1400" s="10">
        <f t="shared" si="65"/>
        <v>1.446</v>
      </c>
    </row>
    <row r="1401" spans="1:8" x14ac:dyDescent="0.2">
      <c r="A1401" s="1">
        <v>156</v>
      </c>
      <c r="B1401" s="1" t="str">
        <v>2020-05-15</v>
      </c>
      <c r="C1401" s="1">
        <v>1.9742999999999999</v>
      </c>
      <c r="F1401" s="8">
        <f t="shared" si="63"/>
        <v>156</v>
      </c>
      <c r="G1401" s="9">
        <f t="shared" si="64"/>
        <v>43966</v>
      </c>
      <c r="H1401" s="10">
        <f t="shared" si="65"/>
        <v>1.9742999999999999</v>
      </c>
    </row>
    <row r="1402" spans="1:8" x14ac:dyDescent="0.2">
      <c r="A1402" s="1">
        <v>16</v>
      </c>
      <c r="B1402" s="1" t="str">
        <v>2020-05-15</v>
      </c>
      <c r="C1402" s="1">
        <v>1.3873</v>
      </c>
      <c r="F1402" s="8">
        <f t="shared" si="63"/>
        <v>16</v>
      </c>
      <c r="G1402" s="9">
        <f t="shared" si="64"/>
        <v>43966</v>
      </c>
      <c r="H1402" s="10">
        <f t="shared" si="65"/>
        <v>1.3873</v>
      </c>
    </row>
    <row r="1403" spans="1:8" x14ac:dyDescent="0.2">
      <c r="A1403" s="1">
        <v>30300</v>
      </c>
      <c r="B1403" s="1" t="str">
        <v>2020-05-15</v>
      </c>
      <c r="C1403" s="1">
        <v>1.8621000000000001</v>
      </c>
      <c r="F1403" s="8">
        <f t="shared" si="63"/>
        <v>30300</v>
      </c>
      <c r="G1403" s="9">
        <f t="shared" si="64"/>
        <v>43966</v>
      </c>
      <c r="H1403" s="10">
        <f t="shared" si="65"/>
        <v>1.8621000000000001</v>
      </c>
    </row>
    <row r="1404" spans="1:8" x14ac:dyDescent="0.2">
      <c r="A1404" s="1">
        <v>32421</v>
      </c>
      <c r="B1404" s="1" t="str">
        <v>2020-05-15</v>
      </c>
      <c r="C1404" s="1">
        <v>1.5297000000000001</v>
      </c>
      <c r="F1404" s="8">
        <f t="shared" si="63"/>
        <v>32421</v>
      </c>
      <c r="G1404" s="9">
        <f t="shared" si="64"/>
        <v>43966</v>
      </c>
      <c r="H1404" s="10">
        <f t="shared" si="65"/>
        <v>1.5297000000000001</v>
      </c>
    </row>
    <row r="1405" spans="1:8" x14ac:dyDescent="0.2">
      <c r="A1405" s="1">
        <v>24250</v>
      </c>
      <c r="B1405" s="1" t="str">
        <v>2020-05-15</v>
      </c>
      <c r="C1405" s="1">
        <v>1.5073000000000001</v>
      </c>
      <c r="F1405" s="8">
        <f t="shared" si="63"/>
        <v>24250</v>
      </c>
      <c r="G1405" s="9">
        <f t="shared" si="64"/>
        <v>43966</v>
      </c>
      <c r="H1405" s="10">
        <f t="shared" si="65"/>
        <v>1.5073000000000001</v>
      </c>
    </row>
    <row r="1406" spans="1:8" x14ac:dyDescent="0.2">
      <c r="A1406" s="1">
        <v>32863</v>
      </c>
      <c r="B1406" s="1" t="str">
        <v>2020-05-18</v>
      </c>
      <c r="C1406" s="1">
        <v>1.3028999999999999</v>
      </c>
      <c r="F1406" s="8">
        <f t="shared" si="63"/>
        <v>32863</v>
      </c>
      <c r="G1406" s="9">
        <f t="shared" si="64"/>
        <v>43969</v>
      </c>
      <c r="H1406" s="10">
        <f t="shared" si="65"/>
        <v>1.3028999999999999</v>
      </c>
    </row>
    <row r="1407" spans="1:8" x14ac:dyDescent="0.2">
      <c r="A1407" s="1">
        <v>32401</v>
      </c>
      <c r="B1407" s="1" t="str">
        <v>2020-05-18</v>
      </c>
      <c r="C1407" s="1">
        <v>2.2098</v>
      </c>
      <c r="F1407" s="8">
        <f t="shared" si="63"/>
        <v>32401</v>
      </c>
      <c r="G1407" s="9">
        <f t="shared" si="64"/>
        <v>43969</v>
      </c>
      <c r="H1407" s="10">
        <f t="shared" si="65"/>
        <v>2.2098</v>
      </c>
    </row>
    <row r="1408" spans="1:8" x14ac:dyDescent="0.2">
      <c r="A1408" s="1">
        <v>49</v>
      </c>
      <c r="B1408" s="1" t="str">
        <v>2020-05-18</v>
      </c>
      <c r="C1408" s="1">
        <v>1.1830000000000001</v>
      </c>
      <c r="F1408" s="8">
        <f t="shared" si="63"/>
        <v>49</v>
      </c>
      <c r="G1408" s="9">
        <f t="shared" si="64"/>
        <v>43969</v>
      </c>
      <c r="H1408" s="10">
        <f t="shared" si="65"/>
        <v>1.1830000000000001</v>
      </c>
    </row>
    <row r="1409" spans="1:8" x14ac:dyDescent="0.2">
      <c r="A1409" s="1">
        <v>32400</v>
      </c>
      <c r="B1409" s="1" t="str">
        <v>2020-05-18</v>
      </c>
      <c r="C1409" s="1">
        <v>1.9</v>
      </c>
      <c r="F1409" s="8">
        <f t="shared" si="63"/>
        <v>32400</v>
      </c>
      <c r="G1409" s="9">
        <f t="shared" si="64"/>
        <v>43969</v>
      </c>
      <c r="H1409" s="10">
        <f t="shared" si="65"/>
        <v>1.9</v>
      </c>
    </row>
    <row r="1410" spans="1:8" x14ac:dyDescent="0.2">
      <c r="A1410" s="1">
        <v>250</v>
      </c>
      <c r="B1410" s="1" t="str">
        <v>2020-05-18</v>
      </c>
      <c r="C1410" s="1">
        <v>1.3658999999999999</v>
      </c>
      <c r="F1410" s="8">
        <f t="shared" si="63"/>
        <v>250</v>
      </c>
      <c r="G1410" s="9">
        <f t="shared" si="64"/>
        <v>43969</v>
      </c>
      <c r="H1410" s="10">
        <f t="shared" si="65"/>
        <v>1.3658999999999999</v>
      </c>
    </row>
    <row r="1411" spans="1:8" x14ac:dyDescent="0.2">
      <c r="A1411" s="1">
        <v>32421</v>
      </c>
      <c r="B1411" s="1" t="str">
        <v>2020-05-18</v>
      </c>
      <c r="C1411" s="1">
        <v>1.5297000000000001</v>
      </c>
      <c r="F1411" s="8">
        <f t="shared" si="63"/>
        <v>32421</v>
      </c>
      <c r="G1411" s="9">
        <f t="shared" si="64"/>
        <v>43969</v>
      </c>
      <c r="H1411" s="10">
        <f t="shared" si="65"/>
        <v>1.5297000000000001</v>
      </c>
    </row>
    <row r="1412" spans="1:8" x14ac:dyDescent="0.2">
      <c r="A1412" s="1">
        <v>178</v>
      </c>
      <c r="B1412" s="1" t="str">
        <v>2020-05-18</v>
      </c>
      <c r="C1412" s="1">
        <v>1.7939000000000001</v>
      </c>
      <c r="F1412" s="8">
        <f t="shared" si="63"/>
        <v>178</v>
      </c>
      <c r="G1412" s="9">
        <f t="shared" si="64"/>
        <v>43969</v>
      </c>
      <c r="H1412" s="10">
        <f t="shared" si="65"/>
        <v>1.7939000000000001</v>
      </c>
    </row>
    <row r="1413" spans="1:8" x14ac:dyDescent="0.2">
      <c r="A1413" s="1">
        <v>8</v>
      </c>
      <c r="B1413" s="1" t="str">
        <v>2020-05-19</v>
      </c>
      <c r="C1413" s="1">
        <v>2.0973000000000002</v>
      </c>
      <c r="F1413" s="8">
        <f t="shared" si="63"/>
        <v>8</v>
      </c>
      <c r="G1413" s="9">
        <f t="shared" si="64"/>
        <v>43970</v>
      </c>
      <c r="H1413" s="10">
        <f t="shared" si="65"/>
        <v>2.0973000000000002</v>
      </c>
    </row>
    <row r="1414" spans="1:8" x14ac:dyDescent="0.2">
      <c r="A1414" s="1">
        <v>34</v>
      </c>
      <c r="B1414" s="1" t="str">
        <v>2020-05-19</v>
      </c>
      <c r="C1414" s="1">
        <v>1.8507</v>
      </c>
      <c r="F1414" s="8">
        <f t="shared" si="63"/>
        <v>34</v>
      </c>
      <c r="G1414" s="9">
        <f t="shared" si="64"/>
        <v>43970</v>
      </c>
      <c r="H1414" s="10">
        <f t="shared" si="65"/>
        <v>1.8507</v>
      </c>
    </row>
    <row r="1415" spans="1:8" x14ac:dyDescent="0.2">
      <c r="A1415" s="1">
        <v>37</v>
      </c>
      <c r="B1415" s="1" t="str">
        <v>2020-05-19</v>
      </c>
      <c r="C1415" s="1">
        <v>1.5263</v>
      </c>
      <c r="F1415" s="8">
        <f t="shared" si="63"/>
        <v>37</v>
      </c>
      <c r="G1415" s="9">
        <f t="shared" si="64"/>
        <v>43970</v>
      </c>
      <c r="H1415" s="10">
        <f t="shared" si="65"/>
        <v>1.5263</v>
      </c>
    </row>
    <row r="1416" spans="1:8" x14ac:dyDescent="0.2">
      <c r="A1416" s="1">
        <v>13250</v>
      </c>
      <c r="B1416" s="1" t="str">
        <v>2020-05-19</v>
      </c>
      <c r="C1416" s="1">
        <v>1.3434999999999999</v>
      </c>
      <c r="F1416" s="8">
        <f t="shared" si="63"/>
        <v>13250</v>
      </c>
      <c r="G1416" s="9">
        <f t="shared" si="64"/>
        <v>43970</v>
      </c>
      <c r="H1416" s="10">
        <f t="shared" si="65"/>
        <v>1.3434999999999999</v>
      </c>
    </row>
    <row r="1417" spans="1:8" x14ac:dyDescent="0.2">
      <c r="A1417" s="1">
        <v>33103</v>
      </c>
      <c r="B1417" s="1" t="str">
        <v>2020-05-20</v>
      </c>
      <c r="C1417" s="1">
        <v>2.6147999999999998</v>
      </c>
      <c r="F1417" s="8">
        <f t="shared" ref="F1417:F1480" si="66">A1417</f>
        <v>33103</v>
      </c>
      <c r="G1417" s="9">
        <f t="shared" ref="G1417:G1480" si="67">DATE(LEFT(B1417,4),MID(B1417,6,2),RIGHT(B1417,2))</f>
        <v>43971</v>
      </c>
      <c r="H1417" s="10">
        <f t="shared" ref="H1417:H1480" si="68">C1417</f>
        <v>2.6147999999999998</v>
      </c>
    </row>
    <row r="1418" spans="1:8" x14ac:dyDescent="0.2">
      <c r="A1418" s="1">
        <v>33130</v>
      </c>
      <c r="B1418" s="1" t="str">
        <v>2020-05-20</v>
      </c>
      <c r="C1418" s="1">
        <v>1.7199</v>
      </c>
      <c r="F1418" s="8">
        <f t="shared" si="66"/>
        <v>33130</v>
      </c>
      <c r="G1418" s="9">
        <f t="shared" si="67"/>
        <v>43971</v>
      </c>
      <c r="H1418" s="10">
        <f t="shared" si="68"/>
        <v>1.7199</v>
      </c>
    </row>
    <row r="1419" spans="1:8" x14ac:dyDescent="0.2">
      <c r="A1419" s="1">
        <v>143</v>
      </c>
      <c r="B1419" s="1" t="str">
        <v>2020-05-20</v>
      </c>
      <c r="C1419" s="1">
        <v>1.4157</v>
      </c>
      <c r="F1419" s="8">
        <f t="shared" si="66"/>
        <v>143</v>
      </c>
      <c r="G1419" s="9">
        <f t="shared" si="67"/>
        <v>43971</v>
      </c>
      <c r="H1419" s="10">
        <f t="shared" si="68"/>
        <v>1.4157</v>
      </c>
    </row>
    <row r="1420" spans="1:8" x14ac:dyDescent="0.2">
      <c r="A1420" s="1">
        <v>147</v>
      </c>
      <c r="B1420" s="1" t="str">
        <v>2020-05-20</v>
      </c>
      <c r="C1420" s="1">
        <v>1.3039000000000001</v>
      </c>
      <c r="F1420" s="8">
        <f t="shared" si="66"/>
        <v>147</v>
      </c>
      <c r="G1420" s="9">
        <f t="shared" si="67"/>
        <v>43971</v>
      </c>
      <c r="H1420" s="10">
        <f t="shared" si="68"/>
        <v>1.3039000000000001</v>
      </c>
    </row>
    <row r="1421" spans="1:8" x14ac:dyDescent="0.2">
      <c r="A1421" s="1">
        <v>32260</v>
      </c>
      <c r="B1421" s="1" t="str">
        <v>2020-05-21</v>
      </c>
      <c r="C1421" s="1">
        <v>1.7097</v>
      </c>
      <c r="F1421" s="8">
        <f t="shared" si="66"/>
        <v>32260</v>
      </c>
      <c r="G1421" s="9">
        <f t="shared" si="67"/>
        <v>43972</v>
      </c>
      <c r="H1421" s="10">
        <f t="shared" si="68"/>
        <v>1.7097</v>
      </c>
    </row>
    <row r="1422" spans="1:8" x14ac:dyDescent="0.2">
      <c r="A1422" s="1">
        <v>32360</v>
      </c>
      <c r="B1422" s="1" t="str">
        <v>2020-05-21</v>
      </c>
      <c r="C1422" s="1">
        <v>1.0221</v>
      </c>
      <c r="F1422" s="8">
        <f t="shared" si="66"/>
        <v>32360</v>
      </c>
      <c r="G1422" s="9">
        <f t="shared" si="67"/>
        <v>43972</v>
      </c>
      <c r="H1422" s="10">
        <f t="shared" si="68"/>
        <v>1.0221</v>
      </c>
    </row>
    <row r="1423" spans="1:8" x14ac:dyDescent="0.2">
      <c r="A1423" s="1">
        <v>32803</v>
      </c>
      <c r="B1423" s="1" t="str">
        <v>2020-05-21</v>
      </c>
      <c r="C1423" s="1">
        <v>1.153</v>
      </c>
      <c r="F1423" s="8">
        <f t="shared" si="66"/>
        <v>32803</v>
      </c>
      <c r="G1423" s="9">
        <f t="shared" si="67"/>
        <v>43972</v>
      </c>
      <c r="H1423" s="10">
        <f t="shared" si="68"/>
        <v>1.153</v>
      </c>
    </row>
    <row r="1424" spans="1:8" x14ac:dyDescent="0.2">
      <c r="A1424" s="1">
        <v>32783</v>
      </c>
      <c r="B1424" s="1" t="str">
        <v>2020-05-21</v>
      </c>
      <c r="C1424" s="1">
        <v>2.2595999999999998</v>
      </c>
      <c r="F1424" s="8">
        <f t="shared" si="66"/>
        <v>32783</v>
      </c>
      <c r="G1424" s="9">
        <f t="shared" si="67"/>
        <v>43972</v>
      </c>
      <c r="H1424" s="10">
        <f t="shared" si="68"/>
        <v>2.2595999999999998</v>
      </c>
    </row>
    <row r="1425" spans="1:8" x14ac:dyDescent="0.2">
      <c r="A1425" s="1">
        <v>94</v>
      </c>
      <c r="B1425" s="1" t="str">
        <v>2020-05-21</v>
      </c>
      <c r="C1425" s="1">
        <v>1.45</v>
      </c>
      <c r="F1425" s="8">
        <f t="shared" si="66"/>
        <v>94</v>
      </c>
      <c r="G1425" s="9">
        <f t="shared" si="67"/>
        <v>43972</v>
      </c>
      <c r="H1425" s="10">
        <f t="shared" si="68"/>
        <v>1.45</v>
      </c>
    </row>
    <row r="1426" spans="1:8" x14ac:dyDescent="0.2">
      <c r="A1426" s="1">
        <v>32</v>
      </c>
      <c r="B1426" s="1" t="str">
        <v>2020-05-21</v>
      </c>
      <c r="C1426" s="1">
        <v>1.9014</v>
      </c>
      <c r="F1426" s="8">
        <f t="shared" si="66"/>
        <v>32</v>
      </c>
      <c r="G1426" s="9">
        <f t="shared" si="67"/>
        <v>43972</v>
      </c>
      <c r="H1426" s="10">
        <f t="shared" si="68"/>
        <v>1.9014</v>
      </c>
    </row>
    <row r="1427" spans="1:8" x14ac:dyDescent="0.2">
      <c r="A1427" s="1">
        <v>137</v>
      </c>
      <c r="B1427" s="1" t="str">
        <v>2020-05-22</v>
      </c>
      <c r="C1427" s="1">
        <v>1.9943</v>
      </c>
      <c r="F1427" s="8">
        <f t="shared" si="66"/>
        <v>137</v>
      </c>
      <c r="G1427" s="9">
        <f t="shared" si="67"/>
        <v>43973</v>
      </c>
      <c r="H1427" s="10">
        <f t="shared" si="68"/>
        <v>1.9943</v>
      </c>
    </row>
    <row r="1428" spans="1:8" x14ac:dyDescent="0.2">
      <c r="A1428" s="1">
        <v>182</v>
      </c>
      <c r="B1428" s="1" t="str">
        <v>2020-05-22</v>
      </c>
      <c r="C1428" s="1">
        <v>1.7806</v>
      </c>
      <c r="F1428" s="8">
        <f t="shared" si="66"/>
        <v>182</v>
      </c>
      <c r="G1428" s="9">
        <f t="shared" si="67"/>
        <v>43973</v>
      </c>
      <c r="H1428" s="10">
        <f t="shared" si="68"/>
        <v>1.7806</v>
      </c>
    </row>
    <row r="1429" spans="1:8" x14ac:dyDescent="0.2">
      <c r="A1429" s="1">
        <v>83</v>
      </c>
      <c r="B1429" s="1" t="str">
        <v>2020-05-22</v>
      </c>
      <c r="C1429" s="1">
        <v>1.5980000000000001</v>
      </c>
      <c r="F1429" s="8">
        <f t="shared" si="66"/>
        <v>83</v>
      </c>
      <c r="G1429" s="9">
        <f t="shared" si="67"/>
        <v>43973</v>
      </c>
      <c r="H1429" s="10">
        <f t="shared" si="68"/>
        <v>1.5980000000000001</v>
      </c>
    </row>
    <row r="1430" spans="1:8" x14ac:dyDescent="0.2">
      <c r="A1430" s="1">
        <v>55</v>
      </c>
      <c r="B1430" s="1" t="str">
        <v>2020-05-22</v>
      </c>
      <c r="C1430" s="1">
        <v>1.3349</v>
      </c>
      <c r="F1430" s="8">
        <f t="shared" si="66"/>
        <v>55</v>
      </c>
      <c r="G1430" s="9">
        <f t="shared" si="67"/>
        <v>43973</v>
      </c>
      <c r="H1430" s="10">
        <f t="shared" si="68"/>
        <v>1.3349</v>
      </c>
    </row>
    <row r="1431" spans="1:8" x14ac:dyDescent="0.2">
      <c r="A1431" s="1">
        <v>32724</v>
      </c>
      <c r="B1431" s="1" t="str">
        <v>2020-05-22</v>
      </c>
      <c r="C1431" s="1">
        <v>1.2341</v>
      </c>
      <c r="F1431" s="8">
        <f t="shared" si="66"/>
        <v>32724</v>
      </c>
      <c r="G1431" s="9">
        <f t="shared" si="67"/>
        <v>43973</v>
      </c>
      <c r="H1431" s="10">
        <f t="shared" si="68"/>
        <v>1.2341</v>
      </c>
    </row>
    <row r="1432" spans="1:8" x14ac:dyDescent="0.2">
      <c r="A1432" s="1">
        <v>37</v>
      </c>
      <c r="B1432" s="1" t="str">
        <v>2020-05-22</v>
      </c>
      <c r="C1432" s="1">
        <v>1.5263</v>
      </c>
      <c r="F1432" s="8">
        <f t="shared" si="66"/>
        <v>37</v>
      </c>
      <c r="G1432" s="9">
        <f t="shared" si="67"/>
        <v>43973</v>
      </c>
      <c r="H1432" s="10">
        <f t="shared" si="68"/>
        <v>1.5263</v>
      </c>
    </row>
    <row r="1433" spans="1:8" x14ac:dyDescent="0.2">
      <c r="A1433" s="1">
        <v>32420</v>
      </c>
      <c r="B1433" s="1" t="str">
        <v>2020-05-22</v>
      </c>
      <c r="C1433" s="1">
        <v>1.597</v>
      </c>
      <c r="F1433" s="8">
        <f t="shared" si="66"/>
        <v>32420</v>
      </c>
      <c r="G1433" s="9">
        <f t="shared" si="67"/>
        <v>43973</v>
      </c>
      <c r="H1433" s="10">
        <f t="shared" si="68"/>
        <v>1.597</v>
      </c>
    </row>
    <row r="1434" spans="1:8" x14ac:dyDescent="0.2">
      <c r="A1434" s="1">
        <v>32081</v>
      </c>
      <c r="B1434" s="1" t="str">
        <v>2020-05-22</v>
      </c>
      <c r="C1434" s="1">
        <v>0.67849999999999999</v>
      </c>
      <c r="F1434" s="8">
        <f t="shared" si="66"/>
        <v>32081</v>
      </c>
      <c r="G1434" s="9">
        <f t="shared" si="67"/>
        <v>43973</v>
      </c>
      <c r="H1434" s="10">
        <f t="shared" si="68"/>
        <v>0.67849999999999999</v>
      </c>
    </row>
    <row r="1435" spans="1:8" x14ac:dyDescent="0.2">
      <c r="A1435" s="1">
        <v>32963</v>
      </c>
      <c r="B1435" s="1" t="str">
        <v>2020-05-22</v>
      </c>
      <c r="C1435" s="1">
        <v>1.2939000000000001</v>
      </c>
      <c r="F1435" s="8">
        <f t="shared" si="66"/>
        <v>32963</v>
      </c>
      <c r="G1435" s="9">
        <f t="shared" si="67"/>
        <v>43973</v>
      </c>
      <c r="H1435" s="10">
        <f t="shared" si="68"/>
        <v>1.2939000000000001</v>
      </c>
    </row>
    <row r="1436" spans="1:8" x14ac:dyDescent="0.2">
      <c r="A1436" s="1">
        <v>81</v>
      </c>
      <c r="B1436" s="1" t="str">
        <v>2020-05-22</v>
      </c>
      <c r="C1436" s="1">
        <v>1.9843999999999999</v>
      </c>
      <c r="F1436" s="8">
        <f t="shared" si="66"/>
        <v>81</v>
      </c>
      <c r="G1436" s="9">
        <f t="shared" si="67"/>
        <v>43973</v>
      </c>
      <c r="H1436" s="10">
        <f t="shared" si="68"/>
        <v>1.9843999999999999</v>
      </c>
    </row>
    <row r="1437" spans="1:8" x14ac:dyDescent="0.2">
      <c r="A1437" s="1">
        <v>147</v>
      </c>
      <c r="B1437" s="1" t="str">
        <v>2020-05-22</v>
      </c>
      <c r="C1437" s="1">
        <v>1.1418999999999999</v>
      </c>
      <c r="F1437" s="8">
        <f t="shared" si="66"/>
        <v>147</v>
      </c>
      <c r="G1437" s="9">
        <f t="shared" si="67"/>
        <v>43973</v>
      </c>
      <c r="H1437" s="10">
        <f t="shared" si="68"/>
        <v>1.1418999999999999</v>
      </c>
    </row>
    <row r="1438" spans="1:8" x14ac:dyDescent="0.2">
      <c r="A1438" s="1">
        <v>53</v>
      </c>
      <c r="B1438" s="1" t="str">
        <v>2020-05-22</v>
      </c>
      <c r="C1438" s="1">
        <v>1.2939000000000001</v>
      </c>
      <c r="F1438" s="8">
        <f t="shared" si="66"/>
        <v>53</v>
      </c>
      <c r="G1438" s="9">
        <f t="shared" si="67"/>
        <v>43973</v>
      </c>
      <c r="H1438" s="10">
        <f t="shared" si="68"/>
        <v>1.2939000000000001</v>
      </c>
    </row>
    <row r="1439" spans="1:8" x14ac:dyDescent="0.2">
      <c r="A1439" s="1">
        <v>150</v>
      </c>
      <c r="B1439" s="1" t="str">
        <v>2020-05-22</v>
      </c>
      <c r="C1439" s="1">
        <v>1.5302</v>
      </c>
      <c r="F1439" s="8">
        <f t="shared" si="66"/>
        <v>150</v>
      </c>
      <c r="G1439" s="9">
        <f t="shared" si="67"/>
        <v>43973</v>
      </c>
      <c r="H1439" s="10">
        <f t="shared" si="68"/>
        <v>1.5302</v>
      </c>
    </row>
    <row r="1440" spans="1:8" x14ac:dyDescent="0.2">
      <c r="A1440" s="1">
        <v>16</v>
      </c>
      <c r="B1440" s="1" t="str">
        <v>2020-05-22</v>
      </c>
      <c r="C1440" s="1">
        <v>1.3873</v>
      </c>
      <c r="F1440" s="8">
        <f t="shared" si="66"/>
        <v>16</v>
      </c>
      <c r="G1440" s="9">
        <f t="shared" si="67"/>
        <v>43973</v>
      </c>
      <c r="H1440" s="10">
        <f t="shared" si="68"/>
        <v>1.3873</v>
      </c>
    </row>
    <row r="1441" spans="1:8" x14ac:dyDescent="0.2">
      <c r="A1441" s="1">
        <v>32500</v>
      </c>
      <c r="B1441" s="1" t="str">
        <v>2020-05-22</v>
      </c>
      <c r="C1441" s="1">
        <v>1.0212000000000001</v>
      </c>
      <c r="F1441" s="8">
        <f t="shared" si="66"/>
        <v>32500</v>
      </c>
      <c r="G1441" s="9">
        <f t="shared" si="67"/>
        <v>43973</v>
      </c>
      <c r="H1441" s="10">
        <f t="shared" si="68"/>
        <v>1.0212000000000001</v>
      </c>
    </row>
    <row r="1442" spans="1:8" x14ac:dyDescent="0.2">
      <c r="A1442" s="1">
        <v>102</v>
      </c>
      <c r="B1442" s="1" t="str">
        <v>2020-05-22</v>
      </c>
      <c r="C1442" s="1">
        <v>1.446</v>
      </c>
      <c r="F1442" s="8">
        <f t="shared" si="66"/>
        <v>102</v>
      </c>
      <c r="G1442" s="9">
        <f t="shared" si="67"/>
        <v>43973</v>
      </c>
      <c r="H1442" s="10">
        <f t="shared" si="68"/>
        <v>1.446</v>
      </c>
    </row>
    <row r="1443" spans="1:8" x14ac:dyDescent="0.2">
      <c r="A1443" s="1">
        <v>10</v>
      </c>
      <c r="B1443" s="1" t="str">
        <v>2020-05-22</v>
      </c>
      <c r="C1443" s="1">
        <v>1.3759999999999999</v>
      </c>
      <c r="F1443" s="8">
        <f t="shared" si="66"/>
        <v>10</v>
      </c>
      <c r="G1443" s="9">
        <f t="shared" si="67"/>
        <v>43973</v>
      </c>
      <c r="H1443" s="10">
        <f t="shared" si="68"/>
        <v>1.3759999999999999</v>
      </c>
    </row>
    <row r="1444" spans="1:8" x14ac:dyDescent="0.2">
      <c r="A1444" s="1">
        <v>32340</v>
      </c>
      <c r="B1444" s="1" t="str">
        <v>2020-05-22</v>
      </c>
      <c r="C1444" s="1">
        <v>1.9016</v>
      </c>
      <c r="F1444" s="8">
        <f t="shared" si="66"/>
        <v>32340</v>
      </c>
      <c r="G1444" s="9">
        <f t="shared" si="67"/>
        <v>43973</v>
      </c>
      <c r="H1444" s="10">
        <f t="shared" si="68"/>
        <v>1.9016</v>
      </c>
    </row>
    <row r="1445" spans="1:8" x14ac:dyDescent="0.2">
      <c r="A1445" s="1">
        <v>94</v>
      </c>
      <c r="B1445" s="1" t="str">
        <v>2020-05-22</v>
      </c>
      <c r="C1445" s="1">
        <v>1.45</v>
      </c>
      <c r="F1445" s="8">
        <f t="shared" si="66"/>
        <v>94</v>
      </c>
      <c r="G1445" s="9">
        <f t="shared" si="67"/>
        <v>43973</v>
      </c>
      <c r="H1445" s="10">
        <f t="shared" si="68"/>
        <v>1.45</v>
      </c>
    </row>
    <row r="1446" spans="1:8" x14ac:dyDescent="0.2">
      <c r="A1446" s="1">
        <v>78</v>
      </c>
      <c r="B1446" s="1" t="str">
        <v>2020-05-22</v>
      </c>
      <c r="C1446" s="1">
        <v>1.9431</v>
      </c>
      <c r="F1446" s="8">
        <f t="shared" si="66"/>
        <v>78</v>
      </c>
      <c r="G1446" s="9">
        <f t="shared" si="67"/>
        <v>43973</v>
      </c>
      <c r="H1446" s="10">
        <f t="shared" si="68"/>
        <v>1.9431</v>
      </c>
    </row>
    <row r="1447" spans="1:8" x14ac:dyDescent="0.2">
      <c r="A1447" s="1">
        <v>101</v>
      </c>
      <c r="B1447" s="1" t="str">
        <v>2020-05-22</v>
      </c>
      <c r="C1447" s="1">
        <v>1.7297</v>
      </c>
      <c r="F1447" s="8">
        <f t="shared" si="66"/>
        <v>101</v>
      </c>
      <c r="G1447" s="9">
        <f t="shared" si="67"/>
        <v>43973</v>
      </c>
      <c r="H1447" s="10">
        <f t="shared" si="68"/>
        <v>1.7297</v>
      </c>
    </row>
    <row r="1448" spans="1:8" x14ac:dyDescent="0.2">
      <c r="A1448" s="1">
        <v>99</v>
      </c>
      <c r="B1448" s="1" t="str">
        <v>2020-05-22</v>
      </c>
      <c r="C1448" s="1">
        <v>2.7494999999999998</v>
      </c>
      <c r="F1448" s="8">
        <f t="shared" si="66"/>
        <v>99</v>
      </c>
      <c r="G1448" s="9">
        <f t="shared" si="67"/>
        <v>43973</v>
      </c>
      <c r="H1448" s="10">
        <f t="shared" si="68"/>
        <v>2.7494999999999998</v>
      </c>
    </row>
    <row r="1449" spans="1:8" x14ac:dyDescent="0.2">
      <c r="A1449" s="1">
        <v>115</v>
      </c>
      <c r="B1449" s="1" t="str">
        <v>2020-05-22</v>
      </c>
      <c r="C1449" s="1">
        <v>2.0655999999999999</v>
      </c>
      <c r="F1449" s="8">
        <f t="shared" si="66"/>
        <v>115</v>
      </c>
      <c r="G1449" s="9">
        <f t="shared" si="67"/>
        <v>43973</v>
      </c>
      <c r="H1449" s="10">
        <f t="shared" si="68"/>
        <v>2.0655999999999999</v>
      </c>
    </row>
    <row r="1450" spans="1:8" x14ac:dyDescent="0.2">
      <c r="A1450" s="1">
        <v>139</v>
      </c>
      <c r="B1450" s="1" t="str">
        <v>2020-05-22</v>
      </c>
      <c r="C1450" s="1">
        <v>1.345</v>
      </c>
      <c r="F1450" s="8">
        <f t="shared" si="66"/>
        <v>139</v>
      </c>
      <c r="G1450" s="9">
        <f t="shared" si="67"/>
        <v>43973</v>
      </c>
      <c r="H1450" s="10">
        <f t="shared" si="68"/>
        <v>1.345</v>
      </c>
    </row>
    <row r="1451" spans="1:8" x14ac:dyDescent="0.2">
      <c r="A1451" s="1">
        <v>32260</v>
      </c>
      <c r="B1451" s="1" t="str">
        <v>2020-05-22</v>
      </c>
      <c r="C1451" s="1">
        <v>1.6587000000000001</v>
      </c>
      <c r="F1451" s="8">
        <f t="shared" si="66"/>
        <v>32260</v>
      </c>
      <c r="G1451" s="9">
        <f t="shared" si="67"/>
        <v>43973</v>
      </c>
      <c r="H1451" s="10">
        <f t="shared" si="68"/>
        <v>1.6587000000000001</v>
      </c>
    </row>
    <row r="1452" spans="1:8" x14ac:dyDescent="0.2">
      <c r="A1452" s="1">
        <v>2250</v>
      </c>
      <c r="B1452" s="1" t="str">
        <v>2020-05-22</v>
      </c>
      <c r="C1452" s="1">
        <v>0.8397</v>
      </c>
      <c r="F1452" s="8">
        <f t="shared" si="66"/>
        <v>2250</v>
      </c>
      <c r="G1452" s="9">
        <f t="shared" si="67"/>
        <v>43973</v>
      </c>
      <c r="H1452" s="10">
        <f t="shared" si="68"/>
        <v>0.8397</v>
      </c>
    </row>
    <row r="1453" spans="1:8" x14ac:dyDescent="0.2">
      <c r="A1453" s="1">
        <v>32401</v>
      </c>
      <c r="B1453" s="1" t="str">
        <v>2020-05-25</v>
      </c>
      <c r="C1453" s="1">
        <v>1.9737</v>
      </c>
      <c r="F1453" s="8">
        <f t="shared" si="66"/>
        <v>32401</v>
      </c>
      <c r="G1453" s="9">
        <f t="shared" si="67"/>
        <v>43976</v>
      </c>
      <c r="H1453" s="10">
        <f t="shared" si="68"/>
        <v>1.9737</v>
      </c>
    </row>
    <row r="1454" spans="1:8" x14ac:dyDescent="0.2">
      <c r="A1454" s="1">
        <v>24</v>
      </c>
      <c r="B1454" s="1" t="str">
        <v>2020-05-25</v>
      </c>
      <c r="C1454" s="1">
        <v>2.1572</v>
      </c>
      <c r="F1454" s="8">
        <f t="shared" si="66"/>
        <v>24</v>
      </c>
      <c r="G1454" s="9">
        <f t="shared" si="67"/>
        <v>43976</v>
      </c>
      <c r="H1454" s="10">
        <f t="shared" si="68"/>
        <v>2.1572</v>
      </c>
    </row>
    <row r="1455" spans="1:8" x14ac:dyDescent="0.2">
      <c r="A1455" s="1">
        <v>34</v>
      </c>
      <c r="B1455" s="1" t="str">
        <v>2020-05-25</v>
      </c>
      <c r="C1455" s="1">
        <v>1.9628000000000001</v>
      </c>
      <c r="F1455" s="8">
        <f t="shared" si="66"/>
        <v>34</v>
      </c>
      <c r="G1455" s="9">
        <f t="shared" si="67"/>
        <v>43976</v>
      </c>
      <c r="H1455" s="10">
        <f t="shared" si="68"/>
        <v>1.9628000000000001</v>
      </c>
    </row>
    <row r="1456" spans="1:8" x14ac:dyDescent="0.2">
      <c r="A1456" s="1">
        <v>181</v>
      </c>
      <c r="B1456" s="1" t="str">
        <v>2020-05-25</v>
      </c>
      <c r="C1456" s="1">
        <v>1.8420000000000001</v>
      </c>
      <c r="F1456" s="8">
        <f t="shared" si="66"/>
        <v>181</v>
      </c>
      <c r="G1456" s="9">
        <f t="shared" si="67"/>
        <v>43976</v>
      </c>
      <c r="H1456" s="10">
        <f t="shared" si="68"/>
        <v>1.8420000000000001</v>
      </c>
    </row>
    <row r="1457" spans="1:8" x14ac:dyDescent="0.2">
      <c r="A1457" s="1">
        <v>32603</v>
      </c>
      <c r="B1457" s="1" t="str">
        <v>2020-05-25</v>
      </c>
      <c r="C1457" s="1">
        <v>0.96160000000000001</v>
      </c>
      <c r="F1457" s="8">
        <f t="shared" si="66"/>
        <v>32603</v>
      </c>
      <c r="G1457" s="9">
        <f t="shared" si="67"/>
        <v>43976</v>
      </c>
      <c r="H1457" s="10">
        <f t="shared" si="68"/>
        <v>0.96160000000000001</v>
      </c>
    </row>
    <row r="1458" spans="1:8" x14ac:dyDescent="0.2">
      <c r="A1458" s="1">
        <v>32723</v>
      </c>
      <c r="B1458" s="1" t="str">
        <v>2020-05-25</v>
      </c>
      <c r="C1458" s="1">
        <v>2.1135999999999999</v>
      </c>
      <c r="F1458" s="8">
        <f t="shared" si="66"/>
        <v>32723</v>
      </c>
      <c r="G1458" s="9">
        <f t="shared" si="67"/>
        <v>43976</v>
      </c>
      <c r="H1458" s="10">
        <f t="shared" si="68"/>
        <v>2.1135999999999999</v>
      </c>
    </row>
    <row r="1459" spans="1:8" x14ac:dyDescent="0.2">
      <c r="A1459" s="1">
        <v>178</v>
      </c>
      <c r="B1459" s="1" t="str">
        <v>2020-05-25</v>
      </c>
      <c r="C1459" s="1">
        <v>1.6998</v>
      </c>
      <c r="F1459" s="8">
        <f t="shared" si="66"/>
        <v>178</v>
      </c>
      <c r="G1459" s="9">
        <f t="shared" si="67"/>
        <v>43976</v>
      </c>
      <c r="H1459" s="10">
        <f t="shared" si="68"/>
        <v>1.6998</v>
      </c>
    </row>
    <row r="1460" spans="1:8" x14ac:dyDescent="0.2">
      <c r="A1460" s="1">
        <v>89</v>
      </c>
      <c r="B1460" s="1" t="str">
        <v>2020-05-25</v>
      </c>
      <c r="C1460" s="1">
        <v>1.8816999999999999</v>
      </c>
      <c r="F1460" s="8">
        <f t="shared" si="66"/>
        <v>89</v>
      </c>
      <c r="G1460" s="9">
        <f t="shared" si="67"/>
        <v>43976</v>
      </c>
      <c r="H1460" s="10">
        <f t="shared" si="68"/>
        <v>1.8816999999999999</v>
      </c>
    </row>
    <row r="1461" spans="1:8" x14ac:dyDescent="0.2">
      <c r="A1461" s="1">
        <v>32421</v>
      </c>
      <c r="B1461" s="1" t="str">
        <v>2020-05-25</v>
      </c>
      <c r="C1461" s="1">
        <v>1.3617999999999999</v>
      </c>
      <c r="F1461" s="8">
        <f t="shared" si="66"/>
        <v>32421</v>
      </c>
      <c r="G1461" s="9">
        <f t="shared" si="67"/>
        <v>43976</v>
      </c>
      <c r="H1461" s="10">
        <f t="shared" si="68"/>
        <v>1.3617999999999999</v>
      </c>
    </row>
    <row r="1462" spans="1:8" x14ac:dyDescent="0.2">
      <c r="A1462" s="1">
        <v>33103</v>
      </c>
      <c r="B1462" s="1" t="str">
        <v>2020-05-26</v>
      </c>
      <c r="C1462" s="1">
        <v>2.0575999999999999</v>
      </c>
      <c r="F1462" s="8">
        <f t="shared" si="66"/>
        <v>33103</v>
      </c>
      <c r="G1462" s="9">
        <f t="shared" si="67"/>
        <v>43977</v>
      </c>
      <c r="H1462" s="10">
        <f t="shared" si="68"/>
        <v>2.0575999999999999</v>
      </c>
    </row>
    <row r="1463" spans="1:8" x14ac:dyDescent="0.2">
      <c r="A1463" s="1">
        <v>32200</v>
      </c>
      <c r="B1463" s="1" t="str">
        <v>2020-05-26</v>
      </c>
      <c r="C1463" s="1">
        <v>1.1617999999999999</v>
      </c>
      <c r="F1463" s="8">
        <f t="shared" si="66"/>
        <v>32200</v>
      </c>
      <c r="G1463" s="9">
        <f t="shared" si="67"/>
        <v>43977</v>
      </c>
      <c r="H1463" s="10">
        <f t="shared" si="68"/>
        <v>1.1617999999999999</v>
      </c>
    </row>
    <row r="1464" spans="1:8" x14ac:dyDescent="0.2">
      <c r="A1464" s="1">
        <v>32582</v>
      </c>
      <c r="B1464" s="1" t="str">
        <v>2020-05-26</v>
      </c>
      <c r="C1464" s="1">
        <v>1.0097</v>
      </c>
      <c r="F1464" s="8">
        <f t="shared" si="66"/>
        <v>32582</v>
      </c>
      <c r="G1464" s="9">
        <f t="shared" si="67"/>
        <v>43977</v>
      </c>
      <c r="H1464" s="10">
        <f t="shared" si="68"/>
        <v>1.0097</v>
      </c>
    </row>
    <row r="1465" spans="1:8" x14ac:dyDescent="0.2">
      <c r="A1465" s="1">
        <v>33143</v>
      </c>
      <c r="B1465" s="1" t="str">
        <v>2020-05-26</v>
      </c>
      <c r="C1465" s="1">
        <v>2</v>
      </c>
      <c r="F1465" s="8">
        <f t="shared" si="66"/>
        <v>33143</v>
      </c>
      <c r="G1465" s="9">
        <f t="shared" si="67"/>
        <v>43977</v>
      </c>
      <c r="H1465" s="10">
        <f t="shared" si="68"/>
        <v>2</v>
      </c>
    </row>
    <row r="1466" spans="1:8" x14ac:dyDescent="0.2">
      <c r="A1466" s="1">
        <v>32082</v>
      </c>
      <c r="B1466" s="1" t="str">
        <v>2020-05-26</v>
      </c>
      <c r="C1466" s="1">
        <v>1.3248</v>
      </c>
      <c r="F1466" s="8">
        <f t="shared" si="66"/>
        <v>32082</v>
      </c>
      <c r="G1466" s="9">
        <f t="shared" si="67"/>
        <v>43977</v>
      </c>
      <c r="H1466" s="10">
        <f t="shared" si="68"/>
        <v>1.3248</v>
      </c>
    </row>
    <row r="1467" spans="1:8" x14ac:dyDescent="0.2">
      <c r="A1467" s="1">
        <v>1</v>
      </c>
      <c r="B1467" s="1" t="str">
        <v>2020-05-26</v>
      </c>
      <c r="C1467" s="1">
        <v>1.5471999999999999</v>
      </c>
      <c r="F1467" s="8">
        <f t="shared" si="66"/>
        <v>1</v>
      </c>
      <c r="G1467" s="9">
        <f t="shared" si="67"/>
        <v>43977</v>
      </c>
      <c r="H1467" s="10">
        <f t="shared" si="68"/>
        <v>1.5471999999999999</v>
      </c>
    </row>
    <row r="1468" spans="1:8" x14ac:dyDescent="0.2">
      <c r="A1468" s="1">
        <v>32440</v>
      </c>
      <c r="B1468" s="1" t="str">
        <v>2020-05-26</v>
      </c>
      <c r="C1468" s="1">
        <v>2.0554999999999999</v>
      </c>
      <c r="F1468" s="8">
        <f t="shared" si="66"/>
        <v>32440</v>
      </c>
      <c r="G1468" s="9">
        <f t="shared" si="67"/>
        <v>43977</v>
      </c>
      <c r="H1468" s="10">
        <f t="shared" si="68"/>
        <v>2.0554999999999999</v>
      </c>
    </row>
    <row r="1469" spans="1:8" x14ac:dyDescent="0.2">
      <c r="A1469" s="1">
        <v>187</v>
      </c>
      <c r="B1469" s="1" t="str">
        <v>2020-05-26</v>
      </c>
      <c r="C1469" s="1">
        <v>1.6068</v>
      </c>
      <c r="F1469" s="8">
        <f t="shared" si="66"/>
        <v>187</v>
      </c>
      <c r="G1469" s="9">
        <f t="shared" si="67"/>
        <v>43977</v>
      </c>
      <c r="H1469" s="10">
        <f t="shared" si="68"/>
        <v>1.6068</v>
      </c>
    </row>
    <row r="1470" spans="1:8" x14ac:dyDescent="0.2">
      <c r="A1470" s="1">
        <v>77</v>
      </c>
      <c r="B1470" s="1" t="str">
        <v>2020-05-26</v>
      </c>
      <c r="C1470" s="1">
        <v>1.1327</v>
      </c>
      <c r="F1470" s="8">
        <f t="shared" si="66"/>
        <v>77</v>
      </c>
      <c r="G1470" s="9">
        <f t="shared" si="67"/>
        <v>43977</v>
      </c>
      <c r="H1470" s="10">
        <f t="shared" si="68"/>
        <v>1.1327</v>
      </c>
    </row>
    <row r="1471" spans="1:8" x14ac:dyDescent="0.2">
      <c r="A1471" s="1">
        <v>187</v>
      </c>
      <c r="B1471" s="1" t="str">
        <v>2020-05-27</v>
      </c>
      <c r="C1471" s="1">
        <v>1.5567</v>
      </c>
      <c r="F1471" s="8">
        <f t="shared" si="66"/>
        <v>187</v>
      </c>
      <c r="G1471" s="9">
        <f t="shared" si="67"/>
        <v>43978</v>
      </c>
      <c r="H1471" s="10">
        <f t="shared" si="68"/>
        <v>1.5567</v>
      </c>
    </row>
    <row r="1472" spans="1:8" x14ac:dyDescent="0.2">
      <c r="A1472" s="1">
        <v>33125</v>
      </c>
      <c r="B1472" s="1" t="str">
        <v>2020-05-27</v>
      </c>
      <c r="C1472" s="1">
        <v>1.7192000000000001</v>
      </c>
      <c r="F1472" s="8">
        <f t="shared" si="66"/>
        <v>33125</v>
      </c>
      <c r="G1472" s="9">
        <f t="shared" si="67"/>
        <v>43978</v>
      </c>
      <c r="H1472" s="10">
        <f t="shared" si="68"/>
        <v>1.7192000000000001</v>
      </c>
    </row>
    <row r="1473" spans="1:8" x14ac:dyDescent="0.2">
      <c r="A1473" s="1">
        <v>1</v>
      </c>
      <c r="B1473" s="1" t="str">
        <v>2020-05-27</v>
      </c>
      <c r="C1473" s="1">
        <v>1.5569999999999999</v>
      </c>
      <c r="F1473" s="8">
        <f t="shared" si="66"/>
        <v>1</v>
      </c>
      <c r="G1473" s="9">
        <f t="shared" si="67"/>
        <v>43978</v>
      </c>
      <c r="H1473" s="10">
        <f t="shared" si="68"/>
        <v>1.5569999999999999</v>
      </c>
    </row>
    <row r="1474" spans="1:8" x14ac:dyDescent="0.2">
      <c r="A1474" s="1">
        <v>176</v>
      </c>
      <c r="B1474" s="1" t="str">
        <v>2020-05-27</v>
      </c>
      <c r="C1474" s="1">
        <v>1.2937000000000001</v>
      </c>
      <c r="F1474" s="8">
        <f t="shared" si="66"/>
        <v>176</v>
      </c>
      <c r="G1474" s="9">
        <f t="shared" si="67"/>
        <v>43978</v>
      </c>
      <c r="H1474" s="10">
        <f t="shared" si="68"/>
        <v>1.2937000000000001</v>
      </c>
    </row>
    <row r="1475" spans="1:8" x14ac:dyDescent="0.2">
      <c r="A1475" s="1">
        <v>2250</v>
      </c>
      <c r="B1475" s="1" t="str">
        <v>2020-05-27</v>
      </c>
      <c r="C1475" s="1">
        <v>0.8397</v>
      </c>
      <c r="F1475" s="8">
        <f t="shared" si="66"/>
        <v>2250</v>
      </c>
      <c r="G1475" s="9">
        <f t="shared" si="67"/>
        <v>43978</v>
      </c>
      <c r="H1475" s="10">
        <f t="shared" si="68"/>
        <v>0.8397</v>
      </c>
    </row>
    <row r="1476" spans="1:8" x14ac:dyDescent="0.2">
      <c r="A1476" s="1">
        <v>32560</v>
      </c>
      <c r="B1476" s="1" t="str">
        <v>2020-05-27</v>
      </c>
      <c r="C1476" s="1">
        <v>1.486</v>
      </c>
      <c r="F1476" s="8">
        <f t="shared" si="66"/>
        <v>32560</v>
      </c>
      <c r="G1476" s="9">
        <f t="shared" si="67"/>
        <v>43978</v>
      </c>
      <c r="H1476" s="10">
        <f t="shared" si="68"/>
        <v>1.486</v>
      </c>
    </row>
    <row r="1477" spans="1:8" x14ac:dyDescent="0.2">
      <c r="A1477" s="1">
        <v>133</v>
      </c>
      <c r="B1477" s="1" t="str">
        <v>2020-05-28</v>
      </c>
      <c r="C1477" s="1">
        <v>1.8304</v>
      </c>
      <c r="F1477" s="8">
        <f t="shared" si="66"/>
        <v>133</v>
      </c>
      <c r="G1477" s="9">
        <f t="shared" si="67"/>
        <v>43979</v>
      </c>
      <c r="H1477" s="10">
        <f t="shared" si="68"/>
        <v>1.8304</v>
      </c>
    </row>
    <row r="1478" spans="1:8" x14ac:dyDescent="0.2">
      <c r="A1478" s="1">
        <v>8</v>
      </c>
      <c r="B1478" s="1" t="str">
        <v>2020-05-28</v>
      </c>
      <c r="C1478" s="1">
        <v>2.0042</v>
      </c>
      <c r="F1478" s="8">
        <f t="shared" si="66"/>
        <v>8</v>
      </c>
      <c r="G1478" s="9">
        <f t="shared" si="67"/>
        <v>43979</v>
      </c>
      <c r="H1478" s="10">
        <f t="shared" si="68"/>
        <v>2.0042</v>
      </c>
    </row>
    <row r="1479" spans="1:8" x14ac:dyDescent="0.2">
      <c r="A1479" s="1">
        <v>32582</v>
      </c>
      <c r="B1479" s="1" t="str">
        <v>2020-05-28</v>
      </c>
      <c r="C1479" s="1">
        <v>1.1920999999999999</v>
      </c>
      <c r="F1479" s="8">
        <f t="shared" si="66"/>
        <v>32582</v>
      </c>
      <c r="G1479" s="9">
        <f t="shared" si="67"/>
        <v>43979</v>
      </c>
      <c r="H1479" s="10">
        <f t="shared" si="68"/>
        <v>1.1920999999999999</v>
      </c>
    </row>
    <row r="1480" spans="1:8" x14ac:dyDescent="0.2">
      <c r="A1480" s="1">
        <v>49</v>
      </c>
      <c r="B1480" s="1" t="str">
        <v>2020-05-28</v>
      </c>
      <c r="C1480" s="1">
        <v>0.9909</v>
      </c>
      <c r="F1480" s="8">
        <f t="shared" si="66"/>
        <v>49</v>
      </c>
      <c r="G1480" s="9">
        <f t="shared" si="67"/>
        <v>43979</v>
      </c>
      <c r="H1480" s="10">
        <f t="shared" si="68"/>
        <v>0.9909</v>
      </c>
    </row>
    <row r="1481" spans="1:8" x14ac:dyDescent="0.2">
      <c r="A1481" s="1">
        <v>83</v>
      </c>
      <c r="B1481" s="1" t="str">
        <v>2020-05-28</v>
      </c>
      <c r="C1481" s="1">
        <v>1.5469999999999999</v>
      </c>
      <c r="F1481" s="8">
        <f t="shared" ref="F1481:F1544" si="69">A1481</f>
        <v>83</v>
      </c>
      <c r="G1481" s="9">
        <f t="shared" ref="G1481:G1544" si="70">DATE(LEFT(B1481,4),MID(B1481,6,2),RIGHT(B1481,2))</f>
        <v>43979</v>
      </c>
      <c r="H1481" s="10">
        <f t="shared" ref="H1481:H1544" si="71">C1481</f>
        <v>1.5469999999999999</v>
      </c>
    </row>
    <row r="1482" spans="1:8" x14ac:dyDescent="0.2">
      <c r="A1482" s="1">
        <v>32</v>
      </c>
      <c r="B1482" s="1" t="str">
        <v>2020-05-29</v>
      </c>
      <c r="C1482" s="1">
        <v>1.9014</v>
      </c>
      <c r="F1482" s="8">
        <f t="shared" si="69"/>
        <v>32</v>
      </c>
      <c r="G1482" s="9">
        <f t="shared" si="70"/>
        <v>43980</v>
      </c>
      <c r="H1482" s="10">
        <f t="shared" si="71"/>
        <v>1.9014</v>
      </c>
    </row>
    <row r="1483" spans="1:8" x14ac:dyDescent="0.2">
      <c r="A1483" s="1">
        <v>16</v>
      </c>
      <c r="B1483" s="1" t="str">
        <v>2020-05-29</v>
      </c>
      <c r="C1483" s="1">
        <v>1.3873</v>
      </c>
      <c r="F1483" s="8">
        <f t="shared" si="69"/>
        <v>16</v>
      </c>
      <c r="G1483" s="9">
        <f t="shared" si="70"/>
        <v>43980</v>
      </c>
      <c r="H1483" s="10">
        <f t="shared" si="71"/>
        <v>1.3873</v>
      </c>
    </row>
    <row r="1484" spans="1:8" x14ac:dyDescent="0.2">
      <c r="A1484" s="1">
        <v>32420</v>
      </c>
      <c r="B1484" s="1" t="str">
        <v>2020-05-29</v>
      </c>
      <c r="C1484" s="1">
        <v>1.6334</v>
      </c>
      <c r="F1484" s="8">
        <f t="shared" si="69"/>
        <v>32420</v>
      </c>
      <c r="G1484" s="9">
        <f t="shared" si="70"/>
        <v>43980</v>
      </c>
      <c r="H1484" s="10">
        <f t="shared" si="71"/>
        <v>1.6334</v>
      </c>
    </row>
    <row r="1485" spans="1:8" x14ac:dyDescent="0.2">
      <c r="A1485" s="1">
        <v>32340</v>
      </c>
      <c r="B1485" s="1" t="str">
        <v>2020-05-29</v>
      </c>
      <c r="C1485" s="1">
        <v>1.8915</v>
      </c>
      <c r="F1485" s="8">
        <f t="shared" si="69"/>
        <v>32340</v>
      </c>
      <c r="G1485" s="9">
        <f t="shared" si="70"/>
        <v>43980</v>
      </c>
      <c r="H1485" s="10">
        <f t="shared" si="71"/>
        <v>1.8915</v>
      </c>
    </row>
    <row r="1486" spans="1:8" x14ac:dyDescent="0.2">
      <c r="A1486" s="1">
        <v>33103</v>
      </c>
      <c r="B1486" s="1" t="str">
        <v>2020-05-29</v>
      </c>
      <c r="C1486" s="1">
        <v>2.0575999999999999</v>
      </c>
      <c r="F1486" s="8">
        <f t="shared" si="69"/>
        <v>33103</v>
      </c>
      <c r="G1486" s="9">
        <f t="shared" si="70"/>
        <v>43980</v>
      </c>
      <c r="H1486" s="10">
        <f t="shared" si="71"/>
        <v>2.0575999999999999</v>
      </c>
    </row>
    <row r="1487" spans="1:8" x14ac:dyDescent="0.2">
      <c r="A1487" s="1">
        <v>32260</v>
      </c>
      <c r="B1487" s="1" t="str">
        <v>2020-05-29</v>
      </c>
      <c r="C1487" s="1">
        <v>1.7094</v>
      </c>
      <c r="F1487" s="8">
        <f t="shared" si="69"/>
        <v>32260</v>
      </c>
      <c r="G1487" s="9">
        <f t="shared" si="70"/>
        <v>43980</v>
      </c>
      <c r="H1487" s="10">
        <f t="shared" si="71"/>
        <v>1.7094</v>
      </c>
    </row>
    <row r="1488" spans="1:8" x14ac:dyDescent="0.2">
      <c r="A1488" s="1">
        <v>72</v>
      </c>
      <c r="B1488" s="1" t="str">
        <v>2020-05-29</v>
      </c>
      <c r="C1488" s="1">
        <v>1.1620999999999999</v>
      </c>
      <c r="F1488" s="8">
        <f t="shared" si="69"/>
        <v>72</v>
      </c>
      <c r="G1488" s="9">
        <f t="shared" si="70"/>
        <v>43980</v>
      </c>
      <c r="H1488" s="10">
        <f t="shared" si="71"/>
        <v>1.1620999999999999</v>
      </c>
    </row>
    <row r="1489" spans="1:8" x14ac:dyDescent="0.2">
      <c r="A1489" s="1">
        <v>49</v>
      </c>
      <c r="B1489" s="1" t="str">
        <v>2020-05-29</v>
      </c>
      <c r="C1489" s="1">
        <v>0.75929999999999997</v>
      </c>
      <c r="F1489" s="8">
        <f t="shared" si="69"/>
        <v>49</v>
      </c>
      <c r="G1489" s="9">
        <f t="shared" si="70"/>
        <v>43980</v>
      </c>
      <c r="H1489" s="10">
        <f t="shared" si="71"/>
        <v>0.75929999999999997</v>
      </c>
    </row>
    <row r="1490" spans="1:8" x14ac:dyDescent="0.2">
      <c r="A1490" s="1">
        <v>32180</v>
      </c>
      <c r="B1490" s="1" t="str">
        <v>2020-05-29</v>
      </c>
      <c r="C1490" s="1">
        <v>1.6664000000000001</v>
      </c>
      <c r="F1490" s="8">
        <f t="shared" si="69"/>
        <v>32180</v>
      </c>
      <c r="G1490" s="9">
        <f t="shared" si="70"/>
        <v>43980</v>
      </c>
      <c r="H1490" s="10">
        <f t="shared" si="71"/>
        <v>1.6664000000000001</v>
      </c>
    </row>
    <row r="1491" spans="1:8" x14ac:dyDescent="0.2">
      <c r="A1491" s="1">
        <v>2250</v>
      </c>
      <c r="B1491" s="1" t="str">
        <v>2020-05-29</v>
      </c>
      <c r="C1491" s="1">
        <v>0.72860000000000003</v>
      </c>
      <c r="F1491" s="8">
        <f t="shared" si="69"/>
        <v>2250</v>
      </c>
      <c r="G1491" s="9">
        <f t="shared" si="70"/>
        <v>43980</v>
      </c>
      <c r="H1491" s="10">
        <f t="shared" si="71"/>
        <v>0.72860000000000003</v>
      </c>
    </row>
    <row r="1492" spans="1:8" x14ac:dyDescent="0.2">
      <c r="A1492" s="1">
        <v>143</v>
      </c>
      <c r="B1492" s="1" t="str">
        <v>2020-05-29</v>
      </c>
      <c r="C1492" s="1">
        <v>1.3851</v>
      </c>
      <c r="F1492" s="8">
        <f t="shared" si="69"/>
        <v>143</v>
      </c>
      <c r="G1492" s="9">
        <f t="shared" si="70"/>
        <v>43980</v>
      </c>
      <c r="H1492" s="10">
        <f t="shared" si="71"/>
        <v>1.3851</v>
      </c>
    </row>
    <row r="1493" spans="1:8" x14ac:dyDescent="0.2">
      <c r="A1493" s="1">
        <v>143</v>
      </c>
      <c r="B1493" s="1" t="str">
        <v>2020-06-01</v>
      </c>
      <c r="C1493" s="1">
        <v>1.4055</v>
      </c>
      <c r="F1493" s="8">
        <f t="shared" si="69"/>
        <v>143</v>
      </c>
      <c r="G1493" s="9">
        <f t="shared" si="70"/>
        <v>43983</v>
      </c>
      <c r="H1493" s="10">
        <f t="shared" si="71"/>
        <v>1.4055</v>
      </c>
    </row>
    <row r="1494" spans="1:8" x14ac:dyDescent="0.2">
      <c r="A1494" s="1">
        <v>53</v>
      </c>
      <c r="B1494" s="1" t="str">
        <v>2020-06-01</v>
      </c>
      <c r="C1494" s="1">
        <v>1.1624000000000001</v>
      </c>
      <c r="F1494" s="8">
        <f t="shared" si="69"/>
        <v>53</v>
      </c>
      <c r="G1494" s="9">
        <f t="shared" si="70"/>
        <v>43983</v>
      </c>
      <c r="H1494" s="10">
        <f t="shared" si="71"/>
        <v>1.1624000000000001</v>
      </c>
    </row>
    <row r="1495" spans="1:8" x14ac:dyDescent="0.2">
      <c r="A1495" s="1">
        <v>81</v>
      </c>
      <c r="B1495" s="1" t="str">
        <v>2020-06-01</v>
      </c>
      <c r="C1495" s="1">
        <v>1.9843999999999999</v>
      </c>
      <c r="F1495" s="8">
        <f t="shared" si="69"/>
        <v>81</v>
      </c>
      <c r="G1495" s="9">
        <f t="shared" si="70"/>
        <v>43983</v>
      </c>
      <c r="H1495" s="10">
        <f t="shared" si="71"/>
        <v>1.9843999999999999</v>
      </c>
    </row>
    <row r="1496" spans="1:8" x14ac:dyDescent="0.2">
      <c r="A1496" s="1">
        <v>32963</v>
      </c>
      <c r="B1496" s="1" t="str">
        <v>2020-06-01</v>
      </c>
      <c r="C1496" s="1">
        <v>1.1923999999999999</v>
      </c>
      <c r="F1496" s="8">
        <f t="shared" si="69"/>
        <v>32963</v>
      </c>
      <c r="G1496" s="9">
        <f t="shared" si="70"/>
        <v>43983</v>
      </c>
      <c r="H1496" s="10">
        <f t="shared" si="71"/>
        <v>1.1923999999999999</v>
      </c>
    </row>
    <row r="1497" spans="1:8" x14ac:dyDescent="0.2">
      <c r="A1497" s="1">
        <v>32121</v>
      </c>
      <c r="B1497" s="1" t="str">
        <v>2020-06-01</v>
      </c>
      <c r="C1497" s="1">
        <v>1.6375</v>
      </c>
      <c r="F1497" s="8">
        <f t="shared" si="69"/>
        <v>32121</v>
      </c>
      <c r="G1497" s="9">
        <f t="shared" si="70"/>
        <v>43983</v>
      </c>
      <c r="H1497" s="10">
        <f t="shared" si="71"/>
        <v>1.6375</v>
      </c>
    </row>
    <row r="1498" spans="1:8" x14ac:dyDescent="0.2">
      <c r="A1498" s="1">
        <v>32883</v>
      </c>
      <c r="B1498" s="1" t="str">
        <v>2020-06-01</v>
      </c>
      <c r="C1498" s="1">
        <v>2.1162999999999998</v>
      </c>
      <c r="F1498" s="8">
        <f t="shared" si="69"/>
        <v>32883</v>
      </c>
      <c r="G1498" s="9">
        <f t="shared" si="70"/>
        <v>43983</v>
      </c>
      <c r="H1498" s="10">
        <f t="shared" si="71"/>
        <v>2.1162999999999998</v>
      </c>
    </row>
    <row r="1499" spans="1:8" x14ac:dyDescent="0.2">
      <c r="A1499" s="1">
        <v>94</v>
      </c>
      <c r="B1499" s="1" t="str">
        <v>2020-06-01</v>
      </c>
      <c r="C1499" s="1">
        <v>1.45</v>
      </c>
      <c r="F1499" s="8">
        <f t="shared" si="69"/>
        <v>94</v>
      </c>
      <c r="G1499" s="9">
        <f t="shared" si="70"/>
        <v>43983</v>
      </c>
      <c r="H1499" s="10">
        <f t="shared" si="71"/>
        <v>1.45</v>
      </c>
    </row>
    <row r="1500" spans="1:8" x14ac:dyDescent="0.2">
      <c r="A1500" s="1">
        <v>182</v>
      </c>
      <c r="B1500" s="1" t="str">
        <v>2020-06-01</v>
      </c>
      <c r="C1500" s="1">
        <v>1.6988000000000001</v>
      </c>
      <c r="F1500" s="8">
        <f t="shared" si="69"/>
        <v>182</v>
      </c>
      <c r="G1500" s="9">
        <f t="shared" si="70"/>
        <v>43983</v>
      </c>
      <c r="H1500" s="10">
        <f t="shared" si="71"/>
        <v>1.6988000000000001</v>
      </c>
    </row>
    <row r="1501" spans="1:8" x14ac:dyDescent="0.2">
      <c r="A1501" s="1">
        <v>32421</v>
      </c>
      <c r="B1501" s="1" t="str">
        <v>2020-06-01</v>
      </c>
      <c r="C1501" s="1">
        <v>1.4892000000000001</v>
      </c>
      <c r="F1501" s="8">
        <f t="shared" si="69"/>
        <v>32421</v>
      </c>
      <c r="G1501" s="9">
        <f t="shared" si="70"/>
        <v>43983</v>
      </c>
      <c r="H1501" s="10">
        <f t="shared" si="71"/>
        <v>1.4892000000000001</v>
      </c>
    </row>
    <row r="1502" spans="1:8" x14ac:dyDescent="0.2">
      <c r="A1502" s="1">
        <v>178</v>
      </c>
      <c r="B1502" s="1" t="str">
        <v>2020-06-01</v>
      </c>
      <c r="C1502" s="1">
        <v>1.6962999999999999</v>
      </c>
      <c r="F1502" s="8">
        <f t="shared" si="69"/>
        <v>178</v>
      </c>
      <c r="G1502" s="9">
        <f t="shared" si="70"/>
        <v>43983</v>
      </c>
      <c r="H1502" s="10">
        <f t="shared" si="71"/>
        <v>1.6962999999999999</v>
      </c>
    </row>
    <row r="1503" spans="1:8" x14ac:dyDescent="0.2">
      <c r="A1503" s="1">
        <v>32380</v>
      </c>
      <c r="B1503" s="1" t="str">
        <v>2020-06-01</v>
      </c>
      <c r="C1503" s="1">
        <v>1.363</v>
      </c>
      <c r="F1503" s="8">
        <f t="shared" si="69"/>
        <v>32380</v>
      </c>
      <c r="G1503" s="9">
        <f t="shared" si="70"/>
        <v>43983</v>
      </c>
      <c r="H1503" s="10">
        <f t="shared" si="71"/>
        <v>1.363</v>
      </c>
    </row>
    <row r="1504" spans="1:8" x14ac:dyDescent="0.2">
      <c r="A1504" s="1">
        <v>33130</v>
      </c>
      <c r="B1504" s="1" t="str">
        <v>2020-06-02</v>
      </c>
      <c r="C1504" s="1">
        <v>1.4359</v>
      </c>
      <c r="F1504" s="8">
        <f t="shared" si="69"/>
        <v>33130</v>
      </c>
      <c r="G1504" s="9">
        <f t="shared" si="70"/>
        <v>43984</v>
      </c>
      <c r="H1504" s="10">
        <f t="shared" si="71"/>
        <v>1.4359</v>
      </c>
    </row>
    <row r="1505" spans="1:8" x14ac:dyDescent="0.2">
      <c r="A1505" s="1">
        <v>32280</v>
      </c>
      <c r="B1505" s="1" t="str">
        <v>2020-06-02</v>
      </c>
      <c r="C1505" s="1">
        <v>1.5366</v>
      </c>
      <c r="F1505" s="8">
        <f t="shared" si="69"/>
        <v>32280</v>
      </c>
      <c r="G1505" s="9">
        <f t="shared" si="70"/>
        <v>43984</v>
      </c>
      <c r="H1505" s="10">
        <f t="shared" si="71"/>
        <v>1.5366</v>
      </c>
    </row>
    <row r="1506" spans="1:8" x14ac:dyDescent="0.2">
      <c r="A1506" s="1">
        <v>250</v>
      </c>
      <c r="B1506" s="1" t="str">
        <v>2020-06-02</v>
      </c>
      <c r="C1506" s="1">
        <v>1.3658999999999999</v>
      </c>
      <c r="F1506" s="8">
        <f t="shared" si="69"/>
        <v>250</v>
      </c>
      <c r="G1506" s="9">
        <f t="shared" si="70"/>
        <v>43984</v>
      </c>
      <c r="H1506" s="10">
        <f t="shared" si="71"/>
        <v>1.3658999999999999</v>
      </c>
    </row>
    <row r="1507" spans="1:8" x14ac:dyDescent="0.2">
      <c r="A1507" s="1">
        <v>34</v>
      </c>
      <c r="B1507" s="1" t="str">
        <v>2020-06-02</v>
      </c>
      <c r="C1507" s="1">
        <v>2.0034000000000001</v>
      </c>
      <c r="F1507" s="8">
        <f t="shared" si="69"/>
        <v>34</v>
      </c>
      <c r="G1507" s="9">
        <f t="shared" si="70"/>
        <v>43984</v>
      </c>
      <c r="H1507" s="10">
        <f t="shared" si="71"/>
        <v>2.0034000000000001</v>
      </c>
    </row>
    <row r="1508" spans="1:8" x14ac:dyDescent="0.2">
      <c r="A1508" s="1">
        <v>157</v>
      </c>
      <c r="B1508" s="1" t="str">
        <v>2020-06-02</v>
      </c>
      <c r="C1508" s="1">
        <v>1.6</v>
      </c>
      <c r="F1508" s="8">
        <f t="shared" si="69"/>
        <v>157</v>
      </c>
      <c r="G1508" s="9">
        <f t="shared" si="70"/>
        <v>43984</v>
      </c>
      <c r="H1508" s="10">
        <f t="shared" si="71"/>
        <v>1.6</v>
      </c>
    </row>
    <row r="1509" spans="1:8" x14ac:dyDescent="0.2">
      <c r="A1509" s="1">
        <v>30350</v>
      </c>
      <c r="B1509" s="1" t="str">
        <v>2020-06-02</v>
      </c>
      <c r="C1509" s="1">
        <v>1.2629999999999999</v>
      </c>
      <c r="F1509" s="8">
        <f t="shared" si="69"/>
        <v>30350</v>
      </c>
      <c r="G1509" s="9">
        <f t="shared" si="70"/>
        <v>43984</v>
      </c>
      <c r="H1509" s="10">
        <f t="shared" si="71"/>
        <v>1.2629999999999999</v>
      </c>
    </row>
    <row r="1510" spans="1:8" x14ac:dyDescent="0.2">
      <c r="A1510" s="1">
        <v>32480</v>
      </c>
      <c r="B1510" s="1" t="str">
        <v>2020-06-03</v>
      </c>
      <c r="C1510" s="1">
        <v>1.1625000000000001</v>
      </c>
      <c r="F1510" s="8">
        <f t="shared" si="69"/>
        <v>32480</v>
      </c>
      <c r="G1510" s="9">
        <f t="shared" si="70"/>
        <v>43985</v>
      </c>
      <c r="H1510" s="10">
        <f t="shared" si="71"/>
        <v>1.1625000000000001</v>
      </c>
    </row>
    <row r="1511" spans="1:8" x14ac:dyDescent="0.2">
      <c r="A1511" s="1">
        <v>32</v>
      </c>
      <c r="B1511" s="1" t="str">
        <v>2020-06-03</v>
      </c>
      <c r="C1511" s="1">
        <v>1.9014</v>
      </c>
      <c r="F1511" s="8">
        <f t="shared" si="69"/>
        <v>32</v>
      </c>
      <c r="G1511" s="9">
        <f t="shared" si="70"/>
        <v>43985</v>
      </c>
      <c r="H1511" s="10">
        <f t="shared" si="71"/>
        <v>1.9014</v>
      </c>
    </row>
    <row r="1512" spans="1:8" x14ac:dyDescent="0.2">
      <c r="A1512" s="1">
        <v>32724</v>
      </c>
      <c r="B1512" s="1" t="str">
        <v>2020-06-03</v>
      </c>
      <c r="C1512" s="1">
        <v>1.264</v>
      </c>
      <c r="F1512" s="8">
        <f t="shared" si="69"/>
        <v>32724</v>
      </c>
      <c r="G1512" s="9">
        <f t="shared" si="70"/>
        <v>43985</v>
      </c>
      <c r="H1512" s="10">
        <f t="shared" si="71"/>
        <v>1.264</v>
      </c>
    </row>
    <row r="1513" spans="1:8" x14ac:dyDescent="0.2">
      <c r="A1513" s="1">
        <v>32521</v>
      </c>
      <c r="B1513" s="1" t="str">
        <v>2020-06-03</v>
      </c>
      <c r="C1513" s="1">
        <v>1.9932000000000001</v>
      </c>
      <c r="F1513" s="8">
        <f t="shared" si="69"/>
        <v>32521</v>
      </c>
      <c r="G1513" s="9">
        <f t="shared" si="70"/>
        <v>43985</v>
      </c>
      <c r="H1513" s="10">
        <f t="shared" si="71"/>
        <v>1.9932000000000001</v>
      </c>
    </row>
    <row r="1514" spans="1:8" x14ac:dyDescent="0.2">
      <c r="A1514" s="1">
        <v>147</v>
      </c>
      <c r="B1514" s="1" t="str">
        <v>2020-06-03</v>
      </c>
      <c r="C1514" s="1">
        <v>1.1418999999999999</v>
      </c>
      <c r="F1514" s="8">
        <f t="shared" si="69"/>
        <v>147</v>
      </c>
      <c r="G1514" s="9">
        <f t="shared" si="70"/>
        <v>43985</v>
      </c>
      <c r="H1514" s="10">
        <f t="shared" si="71"/>
        <v>1.1418999999999999</v>
      </c>
    </row>
    <row r="1515" spans="1:8" x14ac:dyDescent="0.2">
      <c r="A1515" s="1">
        <v>33130</v>
      </c>
      <c r="B1515" s="1" t="str">
        <v>2020-06-03</v>
      </c>
      <c r="C1515" s="1">
        <v>1.4358</v>
      </c>
      <c r="F1515" s="8">
        <f t="shared" si="69"/>
        <v>33130</v>
      </c>
      <c r="G1515" s="9">
        <f t="shared" si="70"/>
        <v>43985</v>
      </c>
      <c r="H1515" s="10">
        <f t="shared" si="71"/>
        <v>1.4358</v>
      </c>
    </row>
    <row r="1516" spans="1:8" x14ac:dyDescent="0.2">
      <c r="A1516" s="1">
        <v>150</v>
      </c>
      <c r="B1516" s="1" t="str">
        <v>2020-06-04</v>
      </c>
      <c r="C1516" s="1">
        <v>1.5302</v>
      </c>
      <c r="F1516" s="8">
        <f t="shared" si="69"/>
        <v>150</v>
      </c>
      <c r="G1516" s="9">
        <f t="shared" si="70"/>
        <v>43986</v>
      </c>
      <c r="H1516" s="10">
        <f t="shared" si="71"/>
        <v>1.5302</v>
      </c>
    </row>
    <row r="1517" spans="1:8" x14ac:dyDescent="0.2">
      <c r="A1517" s="1">
        <v>31</v>
      </c>
      <c r="B1517" s="1" t="str">
        <v>2020-06-04</v>
      </c>
      <c r="C1517" s="1">
        <v>1.5</v>
      </c>
      <c r="F1517" s="8">
        <f t="shared" si="69"/>
        <v>31</v>
      </c>
      <c r="G1517" s="9">
        <f t="shared" si="70"/>
        <v>43986</v>
      </c>
      <c r="H1517" s="10">
        <f t="shared" si="71"/>
        <v>1.5</v>
      </c>
    </row>
    <row r="1518" spans="1:8" x14ac:dyDescent="0.2">
      <c r="A1518" s="1">
        <v>33023</v>
      </c>
      <c r="B1518" s="1" t="str">
        <v>2020-06-04</v>
      </c>
      <c r="C1518" s="1">
        <v>1.5</v>
      </c>
      <c r="F1518" s="8">
        <f t="shared" si="69"/>
        <v>33023</v>
      </c>
      <c r="G1518" s="9">
        <f t="shared" si="70"/>
        <v>43986</v>
      </c>
      <c r="H1518" s="10">
        <f t="shared" si="71"/>
        <v>1.5</v>
      </c>
    </row>
    <row r="1519" spans="1:8" x14ac:dyDescent="0.2">
      <c r="A1519" s="1">
        <v>32360</v>
      </c>
      <c r="B1519" s="1" t="str">
        <v>2020-06-05</v>
      </c>
      <c r="C1519" s="1">
        <v>1.4363999999999999</v>
      </c>
      <c r="F1519" s="8">
        <f t="shared" si="69"/>
        <v>32360</v>
      </c>
      <c r="G1519" s="9">
        <f t="shared" si="70"/>
        <v>43987</v>
      </c>
      <c r="H1519" s="10">
        <f t="shared" si="71"/>
        <v>1.4363999999999999</v>
      </c>
    </row>
    <row r="1520" spans="1:8" x14ac:dyDescent="0.2">
      <c r="A1520" s="1">
        <v>182</v>
      </c>
      <c r="B1520" s="1" t="str">
        <v>2020-06-05</v>
      </c>
      <c r="C1520" s="1">
        <v>1.6988000000000001</v>
      </c>
      <c r="F1520" s="8">
        <f t="shared" si="69"/>
        <v>182</v>
      </c>
      <c r="G1520" s="9">
        <f t="shared" si="70"/>
        <v>43987</v>
      </c>
      <c r="H1520" s="10">
        <f t="shared" si="71"/>
        <v>1.6988000000000001</v>
      </c>
    </row>
    <row r="1521" spans="1:8" x14ac:dyDescent="0.2">
      <c r="A1521" s="1">
        <v>33129</v>
      </c>
      <c r="B1521" s="1" t="str">
        <v>2020-06-05</v>
      </c>
      <c r="C1521" s="1">
        <v>1.1311</v>
      </c>
      <c r="F1521" s="8">
        <f t="shared" si="69"/>
        <v>33129</v>
      </c>
      <c r="G1521" s="9">
        <f t="shared" si="70"/>
        <v>43987</v>
      </c>
      <c r="H1521" s="10">
        <f t="shared" si="71"/>
        <v>1.1311</v>
      </c>
    </row>
    <row r="1522" spans="1:8" x14ac:dyDescent="0.2">
      <c r="A1522" s="1">
        <v>67</v>
      </c>
      <c r="B1522" s="1" t="str">
        <v>2020-06-05</v>
      </c>
      <c r="C1522" s="1">
        <v>1.8007</v>
      </c>
      <c r="F1522" s="8">
        <f t="shared" si="69"/>
        <v>67</v>
      </c>
      <c r="G1522" s="9">
        <f t="shared" si="70"/>
        <v>43987</v>
      </c>
      <c r="H1522" s="10">
        <f t="shared" si="71"/>
        <v>1.8007</v>
      </c>
    </row>
    <row r="1523" spans="1:8" x14ac:dyDescent="0.2">
      <c r="A1523" s="1">
        <v>32180</v>
      </c>
      <c r="B1523" s="1" t="str">
        <v>2020-06-05</v>
      </c>
      <c r="C1523" s="1">
        <v>1.2692000000000001</v>
      </c>
      <c r="F1523" s="8">
        <f t="shared" si="69"/>
        <v>32180</v>
      </c>
      <c r="G1523" s="9">
        <f t="shared" si="70"/>
        <v>43987</v>
      </c>
      <c r="H1523" s="10">
        <f t="shared" si="71"/>
        <v>1.2692000000000001</v>
      </c>
    </row>
    <row r="1524" spans="1:8" x14ac:dyDescent="0.2">
      <c r="A1524" s="1">
        <v>32400</v>
      </c>
      <c r="B1524" s="1" t="str">
        <v>2020-06-05</v>
      </c>
      <c r="C1524" s="1">
        <v>1.6</v>
      </c>
      <c r="F1524" s="8">
        <f t="shared" si="69"/>
        <v>32400</v>
      </c>
      <c r="G1524" s="9">
        <f t="shared" si="70"/>
        <v>43987</v>
      </c>
      <c r="H1524" s="10">
        <f t="shared" si="71"/>
        <v>1.6</v>
      </c>
    </row>
    <row r="1525" spans="1:8" x14ac:dyDescent="0.2">
      <c r="A1525" s="1">
        <v>16</v>
      </c>
      <c r="B1525" s="1" t="str">
        <v>2020-06-05</v>
      </c>
      <c r="C1525" s="1">
        <v>2.1082999999999998</v>
      </c>
      <c r="F1525" s="8">
        <f t="shared" si="69"/>
        <v>16</v>
      </c>
      <c r="G1525" s="9">
        <f t="shared" si="70"/>
        <v>43987</v>
      </c>
      <c r="H1525" s="10">
        <f t="shared" si="71"/>
        <v>2.1082999999999998</v>
      </c>
    </row>
    <row r="1526" spans="1:8" x14ac:dyDescent="0.2">
      <c r="A1526" s="1">
        <v>250</v>
      </c>
      <c r="B1526" s="1" t="str">
        <v>2020-06-05</v>
      </c>
      <c r="C1526" s="1">
        <v>1.5161</v>
      </c>
      <c r="F1526" s="8">
        <f t="shared" si="69"/>
        <v>250</v>
      </c>
      <c r="G1526" s="9">
        <f t="shared" si="70"/>
        <v>43987</v>
      </c>
      <c r="H1526" s="10">
        <f t="shared" si="71"/>
        <v>1.5161</v>
      </c>
    </row>
    <row r="1527" spans="1:8" x14ac:dyDescent="0.2">
      <c r="A1527" s="1">
        <v>32783</v>
      </c>
      <c r="B1527" s="1" t="str">
        <v>2020-06-05</v>
      </c>
      <c r="C1527" s="1">
        <v>1.9429000000000001</v>
      </c>
      <c r="F1527" s="8">
        <f t="shared" si="69"/>
        <v>32783</v>
      </c>
      <c r="G1527" s="9">
        <f t="shared" si="70"/>
        <v>43987</v>
      </c>
      <c r="H1527" s="10">
        <f t="shared" si="71"/>
        <v>1.9429000000000001</v>
      </c>
    </row>
    <row r="1528" spans="1:8" x14ac:dyDescent="0.2">
      <c r="A1528" s="1">
        <v>133</v>
      </c>
      <c r="B1528" s="1" t="str">
        <v>2020-06-05</v>
      </c>
      <c r="C1528" s="1">
        <v>1.8304</v>
      </c>
      <c r="F1528" s="8">
        <f t="shared" si="69"/>
        <v>133</v>
      </c>
      <c r="G1528" s="9">
        <f t="shared" si="70"/>
        <v>43987</v>
      </c>
      <c r="H1528" s="10">
        <f t="shared" si="71"/>
        <v>1.8304</v>
      </c>
    </row>
    <row r="1529" spans="1:8" x14ac:dyDescent="0.2">
      <c r="A1529" s="1">
        <v>32803</v>
      </c>
      <c r="B1529" s="1" t="str">
        <v>2020-06-05</v>
      </c>
      <c r="C1529" s="1">
        <v>1.0621</v>
      </c>
      <c r="F1529" s="8">
        <f t="shared" si="69"/>
        <v>32803</v>
      </c>
      <c r="G1529" s="9">
        <f t="shared" si="70"/>
        <v>43987</v>
      </c>
      <c r="H1529" s="10">
        <f t="shared" si="71"/>
        <v>1.0621</v>
      </c>
    </row>
    <row r="1530" spans="1:8" x14ac:dyDescent="0.2">
      <c r="A1530" s="1">
        <v>33103</v>
      </c>
      <c r="B1530" s="1" t="str">
        <v>2020-06-05</v>
      </c>
      <c r="C1530" s="1">
        <v>2.0575999999999999</v>
      </c>
      <c r="F1530" s="8">
        <f t="shared" si="69"/>
        <v>33103</v>
      </c>
      <c r="G1530" s="9">
        <f t="shared" si="70"/>
        <v>43987</v>
      </c>
      <c r="H1530" s="10">
        <f t="shared" si="71"/>
        <v>2.0575999999999999</v>
      </c>
    </row>
    <row r="1531" spans="1:8" x14ac:dyDescent="0.2">
      <c r="A1531" s="1">
        <v>90</v>
      </c>
      <c r="B1531" s="1" t="str">
        <v>2020-06-05</v>
      </c>
      <c r="C1531" s="1">
        <v>1.8311999999999999</v>
      </c>
      <c r="F1531" s="8">
        <f t="shared" si="69"/>
        <v>90</v>
      </c>
      <c r="G1531" s="9">
        <f t="shared" si="70"/>
        <v>43987</v>
      </c>
      <c r="H1531" s="10">
        <f t="shared" si="71"/>
        <v>1.8311999999999999</v>
      </c>
    </row>
    <row r="1532" spans="1:8" x14ac:dyDescent="0.2">
      <c r="A1532" s="1">
        <v>115</v>
      </c>
      <c r="B1532" s="1" t="str">
        <v>2020-06-05</v>
      </c>
      <c r="C1532" s="1">
        <v>1.7804</v>
      </c>
      <c r="F1532" s="8">
        <f t="shared" si="69"/>
        <v>115</v>
      </c>
      <c r="G1532" s="9">
        <f t="shared" si="70"/>
        <v>43987</v>
      </c>
      <c r="H1532" s="10">
        <f t="shared" si="71"/>
        <v>1.7804</v>
      </c>
    </row>
    <row r="1533" spans="1:8" x14ac:dyDescent="0.2">
      <c r="A1533" s="1">
        <v>187</v>
      </c>
      <c r="B1533" s="1" t="str">
        <v>2020-06-05</v>
      </c>
      <c r="C1533" s="1">
        <v>1.5567</v>
      </c>
      <c r="F1533" s="8">
        <f t="shared" si="69"/>
        <v>187</v>
      </c>
      <c r="G1533" s="9">
        <f t="shared" si="70"/>
        <v>43987</v>
      </c>
      <c r="H1533" s="10">
        <f t="shared" si="71"/>
        <v>1.5567</v>
      </c>
    </row>
    <row r="1534" spans="1:8" x14ac:dyDescent="0.2">
      <c r="A1534" s="1">
        <v>81</v>
      </c>
      <c r="B1534" s="1" t="str">
        <v>2020-06-05</v>
      </c>
      <c r="C1534" s="1">
        <v>1.9835</v>
      </c>
      <c r="F1534" s="8">
        <f t="shared" si="69"/>
        <v>81</v>
      </c>
      <c r="G1534" s="9">
        <f t="shared" si="70"/>
        <v>43987</v>
      </c>
      <c r="H1534" s="10">
        <f t="shared" si="71"/>
        <v>1.9835</v>
      </c>
    </row>
    <row r="1535" spans="1:8" x14ac:dyDescent="0.2">
      <c r="A1535" s="1">
        <v>49</v>
      </c>
      <c r="B1535" s="1" t="str">
        <v>2020-06-05</v>
      </c>
      <c r="C1535" s="1">
        <v>0.81979999999999997</v>
      </c>
      <c r="F1535" s="8">
        <f t="shared" si="69"/>
        <v>49</v>
      </c>
      <c r="G1535" s="9">
        <f t="shared" si="70"/>
        <v>43987</v>
      </c>
      <c r="H1535" s="10">
        <f t="shared" si="71"/>
        <v>0.81979999999999997</v>
      </c>
    </row>
    <row r="1536" spans="1:8" x14ac:dyDescent="0.2">
      <c r="A1536" s="1">
        <v>147</v>
      </c>
      <c r="B1536" s="1" t="str">
        <v>2020-06-05</v>
      </c>
      <c r="C1536" s="1">
        <v>1.0015000000000001</v>
      </c>
      <c r="F1536" s="8">
        <f t="shared" si="69"/>
        <v>147</v>
      </c>
      <c r="G1536" s="9">
        <f t="shared" si="70"/>
        <v>43987</v>
      </c>
      <c r="H1536" s="10">
        <f t="shared" si="71"/>
        <v>1.0015000000000001</v>
      </c>
    </row>
    <row r="1537" spans="1:8" x14ac:dyDescent="0.2">
      <c r="A1537" s="1">
        <v>101</v>
      </c>
      <c r="B1537" s="1" t="str">
        <v>2020-06-05</v>
      </c>
      <c r="C1537" s="1">
        <v>1.5267999999999999</v>
      </c>
      <c r="F1537" s="8">
        <f t="shared" si="69"/>
        <v>101</v>
      </c>
      <c r="G1537" s="9">
        <f t="shared" si="70"/>
        <v>43987</v>
      </c>
      <c r="H1537" s="10">
        <f t="shared" si="71"/>
        <v>1.5267999999999999</v>
      </c>
    </row>
    <row r="1538" spans="1:8" x14ac:dyDescent="0.2">
      <c r="A1538" s="1">
        <v>136</v>
      </c>
      <c r="B1538" s="1" t="str">
        <v>2020-06-05</v>
      </c>
      <c r="C1538" s="1">
        <v>1.6682999999999999</v>
      </c>
      <c r="F1538" s="8">
        <f t="shared" si="69"/>
        <v>136</v>
      </c>
      <c r="G1538" s="9">
        <f t="shared" si="70"/>
        <v>43987</v>
      </c>
      <c r="H1538" s="10">
        <f t="shared" si="71"/>
        <v>1.6682999999999999</v>
      </c>
    </row>
    <row r="1539" spans="1:8" x14ac:dyDescent="0.2">
      <c r="A1539" s="1">
        <v>156</v>
      </c>
      <c r="B1539" s="1" t="str">
        <v>2020-06-05</v>
      </c>
      <c r="C1539" s="1">
        <v>2.1573000000000002</v>
      </c>
      <c r="F1539" s="8">
        <f t="shared" si="69"/>
        <v>156</v>
      </c>
      <c r="G1539" s="9">
        <f t="shared" si="70"/>
        <v>43987</v>
      </c>
      <c r="H1539" s="10">
        <f t="shared" si="71"/>
        <v>2.1573000000000002</v>
      </c>
    </row>
    <row r="1540" spans="1:8" x14ac:dyDescent="0.2">
      <c r="A1540" s="1">
        <v>2250</v>
      </c>
      <c r="B1540" s="1" t="str">
        <v>2020-06-05</v>
      </c>
      <c r="C1540" s="1">
        <v>0.72860000000000003</v>
      </c>
      <c r="F1540" s="8">
        <f t="shared" si="69"/>
        <v>2250</v>
      </c>
      <c r="G1540" s="9">
        <f t="shared" si="70"/>
        <v>43987</v>
      </c>
      <c r="H1540" s="10">
        <f t="shared" si="71"/>
        <v>0.72860000000000003</v>
      </c>
    </row>
    <row r="1541" spans="1:8" x14ac:dyDescent="0.2">
      <c r="A1541" s="1">
        <v>33083</v>
      </c>
      <c r="B1541" s="1" t="str">
        <v>2020-06-08</v>
      </c>
      <c r="C1541" s="1">
        <v>1.1783999999999999</v>
      </c>
      <c r="F1541" s="8">
        <f t="shared" si="69"/>
        <v>33083</v>
      </c>
      <c r="G1541" s="9">
        <f t="shared" si="70"/>
        <v>43990</v>
      </c>
      <c r="H1541" s="10">
        <f t="shared" si="71"/>
        <v>1.1783999999999999</v>
      </c>
    </row>
    <row r="1542" spans="1:8" x14ac:dyDescent="0.2">
      <c r="A1542" s="1">
        <v>53</v>
      </c>
      <c r="B1542" s="1" t="str">
        <v>2020-06-08</v>
      </c>
      <c r="C1542" s="1">
        <v>1.1728000000000001</v>
      </c>
      <c r="F1542" s="8">
        <f t="shared" si="69"/>
        <v>53</v>
      </c>
      <c r="G1542" s="9">
        <f t="shared" si="70"/>
        <v>43990</v>
      </c>
      <c r="H1542" s="10">
        <f t="shared" si="71"/>
        <v>1.1728000000000001</v>
      </c>
    </row>
    <row r="1543" spans="1:8" x14ac:dyDescent="0.2">
      <c r="A1543" s="1">
        <v>10</v>
      </c>
      <c r="B1543" s="1" t="str">
        <v>2020-06-08</v>
      </c>
      <c r="C1543" s="1">
        <v>1.5069999999999999</v>
      </c>
      <c r="F1543" s="8">
        <f t="shared" si="69"/>
        <v>10</v>
      </c>
      <c r="G1543" s="9">
        <f t="shared" si="70"/>
        <v>43990</v>
      </c>
      <c r="H1543" s="10">
        <f t="shared" si="71"/>
        <v>1.5069999999999999</v>
      </c>
    </row>
    <row r="1544" spans="1:8" x14ac:dyDescent="0.2">
      <c r="A1544" s="1">
        <v>1</v>
      </c>
      <c r="B1544" s="1" t="str">
        <v>2020-06-08</v>
      </c>
      <c r="C1544" s="1">
        <v>1.5470999999999999</v>
      </c>
      <c r="F1544" s="8">
        <f t="shared" si="69"/>
        <v>1</v>
      </c>
      <c r="G1544" s="9">
        <f t="shared" si="70"/>
        <v>43990</v>
      </c>
      <c r="H1544" s="10">
        <f t="shared" si="71"/>
        <v>1.5470999999999999</v>
      </c>
    </row>
    <row r="1545" spans="1:8" x14ac:dyDescent="0.2">
      <c r="A1545" s="1">
        <v>34</v>
      </c>
      <c r="B1545" s="1" t="str">
        <v>2020-06-08</v>
      </c>
      <c r="C1545" s="1">
        <v>2.0034000000000001</v>
      </c>
      <c r="F1545" s="8">
        <f t="shared" ref="F1545:F1608" si="72">A1545</f>
        <v>34</v>
      </c>
      <c r="G1545" s="9">
        <f t="shared" ref="G1545:G1608" si="73">DATE(LEFT(B1545,4),MID(B1545,6,2),RIGHT(B1545,2))</f>
        <v>43990</v>
      </c>
      <c r="H1545" s="10">
        <f t="shared" ref="H1545:H1608" si="74">C1545</f>
        <v>2.0034000000000001</v>
      </c>
    </row>
    <row r="1546" spans="1:8" x14ac:dyDescent="0.2">
      <c r="A1546" s="1">
        <v>32421</v>
      </c>
      <c r="B1546" s="1" t="str">
        <v>2020-06-08</v>
      </c>
      <c r="C1546" s="1">
        <v>1.4323999999999999</v>
      </c>
      <c r="F1546" s="8">
        <f t="shared" si="72"/>
        <v>32421</v>
      </c>
      <c r="G1546" s="9">
        <f t="shared" si="73"/>
        <v>43990</v>
      </c>
      <c r="H1546" s="10">
        <f t="shared" si="74"/>
        <v>1.4323999999999999</v>
      </c>
    </row>
    <row r="1547" spans="1:8" x14ac:dyDescent="0.2">
      <c r="A1547" s="1">
        <v>28</v>
      </c>
      <c r="B1547" s="1" t="str">
        <v>2020-06-08</v>
      </c>
      <c r="C1547" s="1">
        <v>1.4962</v>
      </c>
      <c r="F1547" s="8">
        <f t="shared" si="72"/>
        <v>28</v>
      </c>
      <c r="G1547" s="9">
        <f t="shared" si="73"/>
        <v>43990</v>
      </c>
      <c r="H1547" s="10">
        <f t="shared" si="74"/>
        <v>1.4962</v>
      </c>
    </row>
    <row r="1548" spans="1:8" x14ac:dyDescent="0.2">
      <c r="A1548" s="1">
        <v>13250</v>
      </c>
      <c r="B1548" s="1" t="str">
        <v>2020-06-09</v>
      </c>
      <c r="C1548" s="1">
        <v>1.5971</v>
      </c>
      <c r="F1548" s="8">
        <f t="shared" si="72"/>
        <v>13250</v>
      </c>
      <c r="G1548" s="9">
        <f t="shared" si="73"/>
        <v>43991</v>
      </c>
      <c r="H1548" s="10">
        <f t="shared" si="74"/>
        <v>1.5971</v>
      </c>
    </row>
    <row r="1549" spans="1:8" x14ac:dyDescent="0.2">
      <c r="A1549" s="1">
        <v>32582</v>
      </c>
      <c r="B1549" s="1" t="str">
        <v>2020-06-09</v>
      </c>
      <c r="C1549" s="1">
        <v>1.3849</v>
      </c>
      <c r="F1549" s="8">
        <f t="shared" si="72"/>
        <v>32582</v>
      </c>
      <c r="G1549" s="9">
        <f t="shared" si="73"/>
        <v>43991</v>
      </c>
      <c r="H1549" s="10">
        <f t="shared" si="74"/>
        <v>1.3849</v>
      </c>
    </row>
    <row r="1550" spans="1:8" x14ac:dyDescent="0.2">
      <c r="A1550" s="1">
        <v>178</v>
      </c>
      <c r="B1550" s="1" t="str">
        <v>2020-06-09</v>
      </c>
      <c r="C1550" s="1">
        <v>1.9549000000000001</v>
      </c>
      <c r="F1550" s="8">
        <f t="shared" si="72"/>
        <v>178</v>
      </c>
      <c r="G1550" s="9">
        <f t="shared" si="73"/>
        <v>43991</v>
      </c>
      <c r="H1550" s="10">
        <f t="shared" si="74"/>
        <v>1.9549000000000001</v>
      </c>
    </row>
    <row r="1551" spans="1:8" x14ac:dyDescent="0.2">
      <c r="A1551" s="1">
        <v>132</v>
      </c>
      <c r="B1551" s="1" t="str">
        <v>2020-06-09</v>
      </c>
      <c r="C1551" s="1">
        <v>0.96240000000000003</v>
      </c>
      <c r="F1551" s="8">
        <f t="shared" si="72"/>
        <v>132</v>
      </c>
      <c r="G1551" s="9">
        <f t="shared" si="73"/>
        <v>43991</v>
      </c>
      <c r="H1551" s="10">
        <f t="shared" si="74"/>
        <v>0.96240000000000003</v>
      </c>
    </row>
    <row r="1552" spans="1:8" x14ac:dyDescent="0.2">
      <c r="A1552" s="1">
        <v>32200</v>
      </c>
      <c r="B1552" s="1" t="str">
        <v>2020-06-09</v>
      </c>
      <c r="C1552" s="1">
        <v>1.1617</v>
      </c>
      <c r="F1552" s="8">
        <f t="shared" si="72"/>
        <v>32200</v>
      </c>
      <c r="G1552" s="9">
        <f t="shared" si="73"/>
        <v>43991</v>
      </c>
      <c r="H1552" s="10">
        <f t="shared" si="74"/>
        <v>1.1617</v>
      </c>
    </row>
    <row r="1553" spans="1:8" x14ac:dyDescent="0.2">
      <c r="A1553" s="1">
        <v>30350</v>
      </c>
      <c r="B1553" s="1" t="str">
        <v>2020-06-09</v>
      </c>
      <c r="C1553" s="1">
        <v>1.2629999999999999</v>
      </c>
      <c r="F1553" s="8">
        <f t="shared" si="72"/>
        <v>30350</v>
      </c>
      <c r="G1553" s="9">
        <f t="shared" si="73"/>
        <v>43991</v>
      </c>
      <c r="H1553" s="10">
        <f t="shared" si="74"/>
        <v>1.2629999999999999</v>
      </c>
    </row>
    <row r="1554" spans="1:8" x14ac:dyDescent="0.2">
      <c r="A1554" s="1">
        <v>32843</v>
      </c>
      <c r="B1554" s="1" t="str">
        <v>2020-06-09</v>
      </c>
      <c r="C1554" s="1">
        <v>1.5478000000000001</v>
      </c>
      <c r="F1554" s="8">
        <f t="shared" si="72"/>
        <v>32843</v>
      </c>
      <c r="G1554" s="9">
        <f t="shared" si="73"/>
        <v>43991</v>
      </c>
      <c r="H1554" s="10">
        <f t="shared" si="74"/>
        <v>1.5478000000000001</v>
      </c>
    </row>
    <row r="1555" spans="1:8" x14ac:dyDescent="0.2">
      <c r="A1555" s="1">
        <v>32663</v>
      </c>
      <c r="B1555" s="1" t="str">
        <v>2020-06-09</v>
      </c>
      <c r="C1555" s="1">
        <v>1.4972000000000001</v>
      </c>
      <c r="F1555" s="8">
        <f t="shared" si="72"/>
        <v>32663</v>
      </c>
      <c r="G1555" s="9">
        <f t="shared" si="73"/>
        <v>43991</v>
      </c>
      <c r="H1555" s="10">
        <f t="shared" si="74"/>
        <v>1.4972000000000001</v>
      </c>
    </row>
    <row r="1556" spans="1:8" x14ac:dyDescent="0.2">
      <c r="A1556" s="1">
        <v>32582</v>
      </c>
      <c r="B1556" s="1" t="str">
        <v>2020-06-10</v>
      </c>
      <c r="C1556" s="1">
        <v>1.6085</v>
      </c>
      <c r="F1556" s="8">
        <f t="shared" si="72"/>
        <v>32582</v>
      </c>
      <c r="G1556" s="9">
        <f t="shared" si="73"/>
        <v>43992</v>
      </c>
      <c r="H1556" s="10">
        <f t="shared" si="74"/>
        <v>1.6085</v>
      </c>
    </row>
    <row r="1557" spans="1:8" x14ac:dyDescent="0.2">
      <c r="A1557" s="1">
        <v>59</v>
      </c>
      <c r="B1557" s="1" t="str">
        <v>2020-06-10</v>
      </c>
      <c r="C1557" s="1">
        <v>1.7201</v>
      </c>
      <c r="F1557" s="8">
        <f t="shared" si="72"/>
        <v>59</v>
      </c>
      <c r="G1557" s="9">
        <f t="shared" si="73"/>
        <v>43992</v>
      </c>
      <c r="H1557" s="10">
        <f t="shared" si="74"/>
        <v>1.7201</v>
      </c>
    </row>
    <row r="1558" spans="1:8" x14ac:dyDescent="0.2">
      <c r="A1558" s="1">
        <v>32082</v>
      </c>
      <c r="B1558" s="1" t="str">
        <v>2020-06-10</v>
      </c>
      <c r="C1558" s="1">
        <v>1.4257</v>
      </c>
      <c r="F1558" s="8">
        <f t="shared" si="72"/>
        <v>32082</v>
      </c>
      <c r="G1558" s="9">
        <f t="shared" si="73"/>
        <v>43992</v>
      </c>
      <c r="H1558" s="10">
        <f t="shared" si="74"/>
        <v>1.4257</v>
      </c>
    </row>
    <row r="1559" spans="1:8" x14ac:dyDescent="0.2">
      <c r="A1559" s="1">
        <v>32</v>
      </c>
      <c r="B1559" s="1" t="str">
        <v>2020-06-10</v>
      </c>
      <c r="C1559" s="1">
        <v>1.7303999999999999</v>
      </c>
      <c r="F1559" s="8">
        <f t="shared" si="72"/>
        <v>32</v>
      </c>
      <c r="G1559" s="9">
        <f t="shared" si="73"/>
        <v>43992</v>
      </c>
      <c r="H1559" s="10">
        <f t="shared" si="74"/>
        <v>1.7303999999999999</v>
      </c>
    </row>
    <row r="1560" spans="1:8" x14ac:dyDescent="0.2">
      <c r="A1560" s="1">
        <v>32963</v>
      </c>
      <c r="B1560" s="1" t="str">
        <v>2020-06-10</v>
      </c>
      <c r="C1560" s="1">
        <v>1.3552</v>
      </c>
      <c r="F1560" s="8">
        <f t="shared" si="72"/>
        <v>32963</v>
      </c>
      <c r="G1560" s="9">
        <f t="shared" si="73"/>
        <v>43992</v>
      </c>
      <c r="H1560" s="10">
        <f t="shared" si="74"/>
        <v>1.3552</v>
      </c>
    </row>
    <row r="1561" spans="1:8" x14ac:dyDescent="0.2">
      <c r="A1561" s="1">
        <v>133</v>
      </c>
      <c r="B1561" s="1" t="str">
        <v>2020-06-10</v>
      </c>
      <c r="C1561" s="1">
        <v>2.1671999999999998</v>
      </c>
      <c r="F1561" s="8">
        <f t="shared" si="72"/>
        <v>133</v>
      </c>
      <c r="G1561" s="9">
        <f t="shared" si="73"/>
        <v>43992</v>
      </c>
      <c r="H1561" s="10">
        <f t="shared" si="74"/>
        <v>2.1671999999999998</v>
      </c>
    </row>
    <row r="1562" spans="1:8" x14ac:dyDescent="0.2">
      <c r="A1562" s="1">
        <v>1</v>
      </c>
      <c r="B1562" s="1" t="str">
        <v>2020-06-10</v>
      </c>
      <c r="C1562" s="1">
        <v>1.5476000000000001</v>
      </c>
      <c r="F1562" s="8">
        <f t="shared" si="72"/>
        <v>1</v>
      </c>
      <c r="G1562" s="9">
        <f t="shared" si="73"/>
        <v>43992</v>
      </c>
      <c r="H1562" s="10">
        <f t="shared" si="74"/>
        <v>1.5476000000000001</v>
      </c>
    </row>
    <row r="1563" spans="1:8" x14ac:dyDescent="0.2">
      <c r="A1563" s="1">
        <v>171</v>
      </c>
      <c r="B1563" s="1" t="str">
        <v>2020-06-10</v>
      </c>
      <c r="C1563" s="1">
        <v>1.4970000000000001</v>
      </c>
      <c r="F1563" s="8">
        <f t="shared" si="72"/>
        <v>171</v>
      </c>
      <c r="G1563" s="9">
        <f t="shared" si="73"/>
        <v>43992</v>
      </c>
      <c r="H1563" s="10">
        <f t="shared" si="74"/>
        <v>1.4970000000000001</v>
      </c>
    </row>
    <row r="1564" spans="1:8" x14ac:dyDescent="0.2">
      <c r="A1564" s="1">
        <v>153</v>
      </c>
      <c r="B1564" s="1" t="str">
        <v>2020-06-10</v>
      </c>
      <c r="C1564" s="1">
        <v>1.5478000000000001</v>
      </c>
      <c r="F1564" s="8">
        <f t="shared" si="72"/>
        <v>153</v>
      </c>
      <c r="G1564" s="9">
        <f t="shared" si="73"/>
        <v>43992</v>
      </c>
      <c r="H1564" s="10">
        <f t="shared" si="74"/>
        <v>1.5478000000000001</v>
      </c>
    </row>
    <row r="1565" spans="1:8" x14ac:dyDescent="0.2">
      <c r="A1565" s="1">
        <v>139</v>
      </c>
      <c r="B1565" s="1" t="str">
        <v>2020-06-10</v>
      </c>
      <c r="C1565" s="1">
        <v>1.4972000000000001</v>
      </c>
      <c r="F1565" s="8">
        <f t="shared" si="72"/>
        <v>139</v>
      </c>
      <c r="G1565" s="9">
        <f t="shared" si="73"/>
        <v>43992</v>
      </c>
      <c r="H1565" s="10">
        <f t="shared" si="74"/>
        <v>1.4972000000000001</v>
      </c>
    </row>
    <row r="1566" spans="1:8" x14ac:dyDescent="0.2">
      <c r="A1566" s="1">
        <v>32081</v>
      </c>
      <c r="B1566" s="1" t="str">
        <v>2020-06-10</v>
      </c>
      <c r="C1566" s="1">
        <v>0.7601</v>
      </c>
      <c r="F1566" s="8">
        <f t="shared" si="72"/>
        <v>32081</v>
      </c>
      <c r="G1566" s="9">
        <f t="shared" si="73"/>
        <v>43992</v>
      </c>
      <c r="H1566" s="10">
        <f t="shared" si="74"/>
        <v>0.7601</v>
      </c>
    </row>
    <row r="1567" spans="1:8" x14ac:dyDescent="0.2">
      <c r="A1567" s="1">
        <v>33130</v>
      </c>
      <c r="B1567" s="1" t="str">
        <v>2020-06-10</v>
      </c>
      <c r="C1567" s="1">
        <v>1.649</v>
      </c>
      <c r="F1567" s="8">
        <f t="shared" si="72"/>
        <v>33130</v>
      </c>
      <c r="G1567" s="9">
        <f t="shared" si="73"/>
        <v>43992</v>
      </c>
      <c r="H1567" s="10">
        <f t="shared" si="74"/>
        <v>1.649</v>
      </c>
    </row>
    <row r="1568" spans="1:8" x14ac:dyDescent="0.2">
      <c r="A1568" s="1">
        <v>72</v>
      </c>
      <c r="B1568" s="1" t="str">
        <v>2020-06-10</v>
      </c>
      <c r="C1568" s="1">
        <v>1.6492</v>
      </c>
      <c r="F1568" s="8">
        <f t="shared" si="72"/>
        <v>72</v>
      </c>
      <c r="G1568" s="9">
        <f t="shared" si="73"/>
        <v>43992</v>
      </c>
      <c r="H1568" s="10">
        <f t="shared" si="74"/>
        <v>1.6492</v>
      </c>
    </row>
    <row r="1569" spans="1:8" x14ac:dyDescent="0.2">
      <c r="A1569" s="1">
        <v>187</v>
      </c>
      <c r="B1569" s="1" t="str">
        <v>2020-06-12</v>
      </c>
      <c r="C1569" s="1">
        <v>1.7098</v>
      </c>
      <c r="F1569" s="8">
        <f t="shared" si="72"/>
        <v>187</v>
      </c>
      <c r="G1569" s="9">
        <f t="shared" si="73"/>
        <v>43994</v>
      </c>
      <c r="H1569" s="10">
        <f t="shared" si="74"/>
        <v>1.7098</v>
      </c>
    </row>
    <row r="1570" spans="1:8" x14ac:dyDescent="0.2">
      <c r="A1570" s="1">
        <v>23250</v>
      </c>
      <c r="B1570" s="1" t="str">
        <v>2020-06-12</v>
      </c>
      <c r="C1570" s="1">
        <v>1.6388</v>
      </c>
      <c r="F1570" s="8">
        <f t="shared" si="72"/>
        <v>23250</v>
      </c>
      <c r="G1570" s="9">
        <f t="shared" si="73"/>
        <v>43994</v>
      </c>
      <c r="H1570" s="10">
        <f t="shared" si="74"/>
        <v>1.6388</v>
      </c>
    </row>
    <row r="1571" spans="1:8" x14ac:dyDescent="0.2">
      <c r="A1571" s="1">
        <v>136</v>
      </c>
      <c r="B1571" s="1" t="str">
        <v>2020-06-12</v>
      </c>
      <c r="C1571" s="1">
        <v>1.7906</v>
      </c>
      <c r="F1571" s="8">
        <f t="shared" si="72"/>
        <v>136</v>
      </c>
      <c r="G1571" s="9">
        <f t="shared" si="73"/>
        <v>43994</v>
      </c>
      <c r="H1571" s="10">
        <f t="shared" si="74"/>
        <v>1.7906</v>
      </c>
    </row>
    <row r="1572" spans="1:8" x14ac:dyDescent="0.2">
      <c r="A1572" s="1">
        <v>32340</v>
      </c>
      <c r="B1572" s="1" t="str">
        <v>2020-06-12</v>
      </c>
      <c r="C1572" s="1">
        <v>1.7705</v>
      </c>
      <c r="F1572" s="8">
        <f t="shared" si="72"/>
        <v>32340</v>
      </c>
      <c r="G1572" s="9">
        <f t="shared" si="73"/>
        <v>43994</v>
      </c>
      <c r="H1572" s="10">
        <f t="shared" si="74"/>
        <v>1.7705</v>
      </c>
    </row>
    <row r="1573" spans="1:8" x14ac:dyDescent="0.2">
      <c r="A1573" s="1">
        <v>32724</v>
      </c>
      <c r="B1573" s="1" t="str">
        <v>2020-06-12</v>
      </c>
      <c r="C1573" s="1">
        <v>1.3756999999999999</v>
      </c>
      <c r="F1573" s="8">
        <f t="shared" si="72"/>
        <v>32724</v>
      </c>
      <c r="G1573" s="9">
        <f t="shared" si="73"/>
        <v>43994</v>
      </c>
      <c r="H1573" s="10">
        <f t="shared" si="74"/>
        <v>1.3756999999999999</v>
      </c>
    </row>
    <row r="1574" spans="1:8" x14ac:dyDescent="0.2">
      <c r="A1574" s="1">
        <v>33183</v>
      </c>
      <c r="B1574" s="1" t="str">
        <v>2020-06-12</v>
      </c>
      <c r="C1574" s="1">
        <v>1.4818</v>
      </c>
      <c r="F1574" s="8">
        <f t="shared" si="72"/>
        <v>33183</v>
      </c>
      <c r="G1574" s="9">
        <f t="shared" si="73"/>
        <v>43994</v>
      </c>
      <c r="H1574" s="10">
        <f t="shared" si="74"/>
        <v>1.4818</v>
      </c>
    </row>
    <row r="1575" spans="1:8" x14ac:dyDescent="0.2">
      <c r="A1575" s="1">
        <v>32401</v>
      </c>
      <c r="B1575" s="1" t="str">
        <v>2020-06-12</v>
      </c>
      <c r="C1575" s="1">
        <v>1.9738</v>
      </c>
      <c r="F1575" s="8">
        <f t="shared" si="72"/>
        <v>32401</v>
      </c>
      <c r="G1575" s="9">
        <f t="shared" si="73"/>
        <v>43994</v>
      </c>
      <c r="H1575" s="10">
        <f t="shared" si="74"/>
        <v>1.9738</v>
      </c>
    </row>
    <row r="1576" spans="1:8" x14ac:dyDescent="0.2">
      <c r="A1576" s="1">
        <v>32983</v>
      </c>
      <c r="B1576" s="1" t="str">
        <v>2020-06-12</v>
      </c>
      <c r="C1576" s="1">
        <v>0.94350000000000001</v>
      </c>
      <c r="F1576" s="8">
        <f t="shared" si="72"/>
        <v>32983</v>
      </c>
      <c r="G1576" s="9">
        <f t="shared" si="73"/>
        <v>43994</v>
      </c>
      <c r="H1576" s="10">
        <f t="shared" si="74"/>
        <v>0.94350000000000001</v>
      </c>
    </row>
    <row r="1577" spans="1:8" x14ac:dyDescent="0.2">
      <c r="A1577" s="1">
        <v>110</v>
      </c>
      <c r="B1577" s="1" t="str">
        <v>2020-06-12</v>
      </c>
      <c r="C1577" s="1">
        <v>1.5</v>
      </c>
      <c r="F1577" s="8">
        <f t="shared" si="72"/>
        <v>110</v>
      </c>
      <c r="G1577" s="9">
        <f t="shared" si="73"/>
        <v>43994</v>
      </c>
      <c r="H1577" s="10">
        <f t="shared" si="74"/>
        <v>1.5</v>
      </c>
    </row>
    <row r="1578" spans="1:8" x14ac:dyDescent="0.2">
      <c r="A1578" s="1">
        <v>102</v>
      </c>
      <c r="B1578" s="1" t="str">
        <v>2020-06-12</v>
      </c>
      <c r="C1578" s="1">
        <v>1.4968999999999999</v>
      </c>
      <c r="F1578" s="8">
        <f t="shared" si="72"/>
        <v>102</v>
      </c>
      <c r="G1578" s="9">
        <f t="shared" si="73"/>
        <v>43994</v>
      </c>
      <c r="H1578" s="10">
        <f t="shared" si="74"/>
        <v>1.4968999999999999</v>
      </c>
    </row>
    <row r="1579" spans="1:8" x14ac:dyDescent="0.2">
      <c r="A1579" s="1">
        <v>24</v>
      </c>
      <c r="B1579" s="1" t="str">
        <v>2020-06-12</v>
      </c>
      <c r="C1579" s="1">
        <v>1.7506999999999999</v>
      </c>
      <c r="F1579" s="8">
        <f t="shared" si="72"/>
        <v>24</v>
      </c>
      <c r="G1579" s="9">
        <f t="shared" si="73"/>
        <v>43994</v>
      </c>
      <c r="H1579" s="10">
        <f t="shared" si="74"/>
        <v>1.7506999999999999</v>
      </c>
    </row>
    <row r="1580" spans="1:8" x14ac:dyDescent="0.2">
      <c r="A1580" s="1">
        <v>83</v>
      </c>
      <c r="B1580" s="1" t="str">
        <v>2020-06-12</v>
      </c>
      <c r="C1580" s="1">
        <v>1.7202</v>
      </c>
      <c r="F1580" s="8">
        <f t="shared" si="72"/>
        <v>83</v>
      </c>
      <c r="G1580" s="9">
        <f t="shared" si="73"/>
        <v>43994</v>
      </c>
      <c r="H1580" s="10">
        <f t="shared" si="74"/>
        <v>1.7202</v>
      </c>
    </row>
    <row r="1581" spans="1:8" x14ac:dyDescent="0.2">
      <c r="A1581" s="1">
        <v>191</v>
      </c>
      <c r="B1581" s="1" t="str">
        <v>2020-06-12</v>
      </c>
      <c r="C1581" s="1">
        <v>1.5563</v>
      </c>
      <c r="F1581" s="8">
        <f t="shared" si="72"/>
        <v>191</v>
      </c>
      <c r="G1581" s="9">
        <f t="shared" si="73"/>
        <v>43994</v>
      </c>
      <c r="H1581" s="10">
        <f t="shared" si="74"/>
        <v>1.5563</v>
      </c>
    </row>
    <row r="1582" spans="1:8" x14ac:dyDescent="0.2">
      <c r="A1582" s="1">
        <v>32863</v>
      </c>
      <c r="B1582" s="1" t="str">
        <v>2020-06-12</v>
      </c>
      <c r="C1582" s="1">
        <v>1.3453999999999999</v>
      </c>
      <c r="F1582" s="8">
        <f t="shared" si="72"/>
        <v>32863</v>
      </c>
      <c r="G1582" s="9">
        <f t="shared" si="73"/>
        <v>43994</v>
      </c>
      <c r="H1582" s="10">
        <f t="shared" si="74"/>
        <v>1.3453999999999999</v>
      </c>
    </row>
    <row r="1583" spans="1:8" x14ac:dyDescent="0.2">
      <c r="A1583" s="1">
        <v>137</v>
      </c>
      <c r="B1583" s="1" t="str">
        <v>2020-06-12</v>
      </c>
      <c r="C1583" s="1">
        <v>2.0350999999999999</v>
      </c>
      <c r="F1583" s="8">
        <f t="shared" si="72"/>
        <v>137</v>
      </c>
      <c r="G1583" s="9">
        <f t="shared" si="73"/>
        <v>43994</v>
      </c>
      <c r="H1583" s="10">
        <f t="shared" si="74"/>
        <v>2.0350999999999999</v>
      </c>
    </row>
    <row r="1584" spans="1:8" x14ac:dyDescent="0.2">
      <c r="A1584" s="1">
        <v>32</v>
      </c>
      <c r="B1584" s="1" t="str">
        <v>2020-06-12</v>
      </c>
      <c r="C1584" s="1">
        <v>1.6746000000000001</v>
      </c>
      <c r="F1584" s="8">
        <f t="shared" si="72"/>
        <v>32</v>
      </c>
      <c r="G1584" s="9">
        <f t="shared" si="73"/>
        <v>43994</v>
      </c>
      <c r="H1584" s="10">
        <f t="shared" si="74"/>
        <v>1.6746000000000001</v>
      </c>
    </row>
    <row r="1585" spans="1:8" x14ac:dyDescent="0.2">
      <c r="A1585" s="1">
        <v>34</v>
      </c>
      <c r="B1585" s="1" t="str">
        <v>2020-06-12</v>
      </c>
      <c r="C1585" s="1">
        <v>2.1568999999999998</v>
      </c>
      <c r="F1585" s="8">
        <f t="shared" si="72"/>
        <v>34</v>
      </c>
      <c r="G1585" s="9">
        <f t="shared" si="73"/>
        <v>43994</v>
      </c>
      <c r="H1585" s="10">
        <f t="shared" si="74"/>
        <v>2.1568999999999998</v>
      </c>
    </row>
    <row r="1586" spans="1:8" x14ac:dyDescent="0.2">
      <c r="A1586" s="1">
        <v>67</v>
      </c>
      <c r="B1586" s="1" t="str">
        <v>2020-06-12</v>
      </c>
      <c r="C1586" s="1">
        <v>1.9029</v>
      </c>
      <c r="F1586" s="8">
        <f t="shared" si="72"/>
        <v>67</v>
      </c>
      <c r="G1586" s="9">
        <f t="shared" si="73"/>
        <v>43994</v>
      </c>
      <c r="H1586" s="10">
        <f t="shared" si="74"/>
        <v>1.9029</v>
      </c>
    </row>
    <row r="1587" spans="1:8" x14ac:dyDescent="0.2">
      <c r="A1587" s="1">
        <v>37</v>
      </c>
      <c r="B1587" s="1" t="str">
        <v>2020-06-12</v>
      </c>
      <c r="C1587" s="1">
        <v>2.6364999999999998</v>
      </c>
      <c r="F1587" s="8">
        <f t="shared" si="72"/>
        <v>37</v>
      </c>
      <c r="G1587" s="9">
        <f t="shared" si="73"/>
        <v>43994</v>
      </c>
      <c r="H1587" s="10">
        <f t="shared" si="74"/>
        <v>2.6364999999999998</v>
      </c>
    </row>
    <row r="1588" spans="1:8" x14ac:dyDescent="0.2">
      <c r="A1588" s="1">
        <v>31</v>
      </c>
      <c r="B1588" s="1" t="str">
        <v>2020-06-12</v>
      </c>
      <c r="C1588" s="1">
        <v>1.7</v>
      </c>
      <c r="F1588" s="8">
        <f t="shared" si="72"/>
        <v>31</v>
      </c>
      <c r="G1588" s="9">
        <f t="shared" si="73"/>
        <v>43994</v>
      </c>
      <c r="H1588" s="10">
        <f t="shared" si="74"/>
        <v>1.7</v>
      </c>
    </row>
    <row r="1589" spans="1:8" x14ac:dyDescent="0.2">
      <c r="A1589" s="1">
        <v>16</v>
      </c>
      <c r="B1589" s="1" t="str">
        <v>2020-06-12</v>
      </c>
      <c r="C1589" s="1">
        <v>1.5578000000000001</v>
      </c>
      <c r="F1589" s="8">
        <f t="shared" si="72"/>
        <v>16</v>
      </c>
      <c r="G1589" s="9">
        <f t="shared" si="73"/>
        <v>43994</v>
      </c>
      <c r="H1589" s="10">
        <f t="shared" si="74"/>
        <v>1.5578000000000001</v>
      </c>
    </row>
    <row r="1590" spans="1:8" x14ac:dyDescent="0.2">
      <c r="A1590" s="1">
        <v>30400</v>
      </c>
      <c r="B1590" s="1" t="str">
        <v>2020-06-12</v>
      </c>
      <c r="C1590" s="1">
        <v>1.3147</v>
      </c>
      <c r="F1590" s="8">
        <f t="shared" si="72"/>
        <v>30400</v>
      </c>
      <c r="G1590" s="9">
        <f t="shared" si="73"/>
        <v>43994</v>
      </c>
      <c r="H1590" s="10">
        <f t="shared" si="74"/>
        <v>1.3147</v>
      </c>
    </row>
    <row r="1591" spans="1:8" x14ac:dyDescent="0.2">
      <c r="A1591" s="1">
        <v>1</v>
      </c>
      <c r="B1591" s="1" t="str">
        <v>2020-06-12</v>
      </c>
      <c r="C1591" s="1">
        <v>1.5477000000000001</v>
      </c>
      <c r="F1591" s="8">
        <f t="shared" si="72"/>
        <v>1</v>
      </c>
      <c r="G1591" s="9">
        <f t="shared" si="73"/>
        <v>43994</v>
      </c>
      <c r="H1591" s="10">
        <f t="shared" si="74"/>
        <v>1.5477000000000001</v>
      </c>
    </row>
    <row r="1592" spans="1:8" x14ac:dyDescent="0.2">
      <c r="A1592" s="1">
        <v>33103</v>
      </c>
      <c r="B1592" s="1" t="str">
        <v>2020-06-12</v>
      </c>
      <c r="C1592" s="1">
        <v>1.9351</v>
      </c>
      <c r="F1592" s="8">
        <f t="shared" si="72"/>
        <v>33103</v>
      </c>
      <c r="G1592" s="9">
        <f t="shared" si="73"/>
        <v>43994</v>
      </c>
      <c r="H1592" s="10">
        <f t="shared" si="74"/>
        <v>1.9351</v>
      </c>
    </row>
    <row r="1593" spans="1:8" x14ac:dyDescent="0.2">
      <c r="A1593" s="1">
        <v>32081</v>
      </c>
      <c r="B1593" s="1" t="str">
        <v>2020-06-12</v>
      </c>
      <c r="C1593" s="1">
        <v>0.79020000000000001</v>
      </c>
      <c r="F1593" s="8">
        <f t="shared" si="72"/>
        <v>32081</v>
      </c>
      <c r="G1593" s="9">
        <f t="shared" si="73"/>
        <v>43994</v>
      </c>
      <c r="H1593" s="10">
        <f t="shared" si="74"/>
        <v>0.79020000000000001</v>
      </c>
    </row>
    <row r="1594" spans="1:8" x14ac:dyDescent="0.2">
      <c r="A1594" s="1">
        <v>32260</v>
      </c>
      <c r="B1594" s="1" t="str">
        <v>2020-06-12</v>
      </c>
      <c r="C1594" s="1">
        <v>1.8724000000000001</v>
      </c>
      <c r="F1594" s="8">
        <f t="shared" si="72"/>
        <v>32260</v>
      </c>
      <c r="G1594" s="9">
        <f t="shared" si="73"/>
        <v>43994</v>
      </c>
      <c r="H1594" s="10">
        <f t="shared" si="74"/>
        <v>1.8724000000000001</v>
      </c>
    </row>
    <row r="1595" spans="1:8" x14ac:dyDescent="0.2">
      <c r="A1595" s="1">
        <v>32783</v>
      </c>
      <c r="B1595" s="1" t="str">
        <v>2020-06-12</v>
      </c>
      <c r="C1595" s="1">
        <v>1.9029</v>
      </c>
      <c r="F1595" s="8">
        <f t="shared" si="72"/>
        <v>32783</v>
      </c>
      <c r="G1595" s="9">
        <f t="shared" si="73"/>
        <v>43994</v>
      </c>
      <c r="H1595" s="10">
        <f t="shared" si="74"/>
        <v>1.9029</v>
      </c>
    </row>
    <row r="1596" spans="1:8" x14ac:dyDescent="0.2">
      <c r="A1596" s="1">
        <v>250</v>
      </c>
      <c r="B1596" s="1" t="str">
        <v>2020-06-12</v>
      </c>
      <c r="C1596" s="1">
        <v>1.5875999999999999</v>
      </c>
      <c r="F1596" s="8">
        <f t="shared" si="72"/>
        <v>250</v>
      </c>
      <c r="G1596" s="9">
        <f t="shared" si="73"/>
        <v>43994</v>
      </c>
      <c r="H1596" s="10">
        <f t="shared" si="74"/>
        <v>1.5875999999999999</v>
      </c>
    </row>
    <row r="1597" spans="1:8" x14ac:dyDescent="0.2">
      <c r="A1597" s="1">
        <v>139</v>
      </c>
      <c r="B1597" s="1" t="str">
        <v>2020-06-12</v>
      </c>
      <c r="C1597" s="1">
        <v>1.4972000000000001</v>
      </c>
      <c r="F1597" s="8">
        <f t="shared" si="72"/>
        <v>139</v>
      </c>
      <c r="G1597" s="9">
        <f t="shared" si="73"/>
        <v>43994</v>
      </c>
      <c r="H1597" s="10">
        <f t="shared" si="74"/>
        <v>1.4972000000000001</v>
      </c>
    </row>
    <row r="1598" spans="1:8" x14ac:dyDescent="0.2">
      <c r="A1598" s="1">
        <v>115</v>
      </c>
      <c r="B1598" s="1" t="str">
        <v>2020-06-12</v>
      </c>
      <c r="C1598" s="1">
        <v>1.7404999999999999</v>
      </c>
      <c r="F1598" s="8">
        <f t="shared" si="72"/>
        <v>115</v>
      </c>
      <c r="G1598" s="9">
        <f t="shared" si="73"/>
        <v>43994</v>
      </c>
      <c r="H1598" s="10">
        <f t="shared" si="74"/>
        <v>1.7404999999999999</v>
      </c>
    </row>
    <row r="1599" spans="1:8" x14ac:dyDescent="0.2">
      <c r="A1599" s="1">
        <v>33129</v>
      </c>
      <c r="B1599" s="1" t="str">
        <v>2020-06-12</v>
      </c>
      <c r="C1599" s="1">
        <v>1.3956</v>
      </c>
      <c r="F1599" s="8">
        <f t="shared" si="72"/>
        <v>33129</v>
      </c>
      <c r="G1599" s="9">
        <f t="shared" si="73"/>
        <v>43994</v>
      </c>
      <c r="H1599" s="10">
        <f t="shared" si="74"/>
        <v>1.3956</v>
      </c>
    </row>
    <row r="1600" spans="1:8" x14ac:dyDescent="0.2">
      <c r="A1600" s="1">
        <v>9250</v>
      </c>
      <c r="B1600" s="1" t="str">
        <v>2020-06-12</v>
      </c>
      <c r="C1600" s="1">
        <v>1.77</v>
      </c>
      <c r="F1600" s="8">
        <f t="shared" si="72"/>
        <v>9250</v>
      </c>
      <c r="G1600" s="9">
        <f t="shared" si="73"/>
        <v>43994</v>
      </c>
      <c r="H1600" s="10">
        <f t="shared" si="74"/>
        <v>1.77</v>
      </c>
    </row>
    <row r="1601" spans="1:8" x14ac:dyDescent="0.2">
      <c r="A1601" s="1">
        <v>55</v>
      </c>
      <c r="B1601" s="1" t="str">
        <v>2020-06-12</v>
      </c>
      <c r="C1601" s="1">
        <v>1.3149</v>
      </c>
      <c r="F1601" s="8">
        <f t="shared" si="72"/>
        <v>55</v>
      </c>
      <c r="G1601" s="9">
        <f t="shared" si="73"/>
        <v>43994</v>
      </c>
      <c r="H1601" s="10">
        <f t="shared" si="74"/>
        <v>1.3149</v>
      </c>
    </row>
    <row r="1602" spans="1:8" x14ac:dyDescent="0.2">
      <c r="A1602" s="1">
        <v>72</v>
      </c>
      <c r="B1602" s="1" t="str">
        <v>2020-06-12</v>
      </c>
      <c r="C1602" s="1">
        <v>1.5476000000000001</v>
      </c>
      <c r="F1602" s="8">
        <f t="shared" si="72"/>
        <v>72</v>
      </c>
      <c r="G1602" s="9">
        <f t="shared" si="73"/>
        <v>43994</v>
      </c>
      <c r="H1602" s="10">
        <f t="shared" si="74"/>
        <v>1.5476000000000001</v>
      </c>
    </row>
    <row r="1603" spans="1:8" x14ac:dyDescent="0.2">
      <c r="A1603" s="1">
        <v>32500</v>
      </c>
      <c r="B1603" s="1" t="str">
        <v>2020-06-12</v>
      </c>
      <c r="C1603" s="1">
        <v>1.4867999999999999</v>
      </c>
      <c r="F1603" s="8">
        <f t="shared" si="72"/>
        <v>32500</v>
      </c>
      <c r="G1603" s="9">
        <f t="shared" si="73"/>
        <v>43994</v>
      </c>
      <c r="H1603" s="10">
        <f t="shared" si="74"/>
        <v>1.4867999999999999</v>
      </c>
    </row>
    <row r="1604" spans="1:8" x14ac:dyDescent="0.2">
      <c r="A1604" s="1">
        <v>32883</v>
      </c>
      <c r="B1604" s="1" t="str">
        <v>2020-06-12</v>
      </c>
      <c r="C1604" s="1">
        <v>2.1366000000000001</v>
      </c>
      <c r="F1604" s="8">
        <f t="shared" si="72"/>
        <v>32883</v>
      </c>
      <c r="G1604" s="9">
        <f t="shared" si="73"/>
        <v>43994</v>
      </c>
      <c r="H1604" s="10">
        <f t="shared" si="74"/>
        <v>2.1366000000000001</v>
      </c>
    </row>
    <row r="1605" spans="1:8" x14ac:dyDescent="0.2">
      <c r="A1605" s="1">
        <v>109</v>
      </c>
      <c r="B1605" s="1" t="str">
        <v>2020-06-12</v>
      </c>
      <c r="C1605" s="1">
        <v>1.8115000000000001</v>
      </c>
      <c r="F1605" s="8">
        <f t="shared" si="72"/>
        <v>109</v>
      </c>
      <c r="G1605" s="9">
        <f t="shared" si="73"/>
        <v>43994</v>
      </c>
      <c r="H1605" s="10">
        <f t="shared" si="74"/>
        <v>1.8115000000000001</v>
      </c>
    </row>
    <row r="1606" spans="1:8" x14ac:dyDescent="0.2">
      <c r="A1606" s="1">
        <v>30250</v>
      </c>
      <c r="B1606" s="1" t="str">
        <v>2020-06-12</v>
      </c>
      <c r="C1606" s="1">
        <v>1.6591</v>
      </c>
      <c r="F1606" s="8">
        <f t="shared" si="72"/>
        <v>30250</v>
      </c>
      <c r="G1606" s="9">
        <f t="shared" si="73"/>
        <v>43994</v>
      </c>
      <c r="H1606" s="10">
        <f t="shared" si="74"/>
        <v>1.6591</v>
      </c>
    </row>
    <row r="1607" spans="1:8" x14ac:dyDescent="0.2">
      <c r="A1607" s="1">
        <v>32582</v>
      </c>
      <c r="B1607" s="1" t="str">
        <v>2020-06-12</v>
      </c>
      <c r="C1607" s="1">
        <v>1.6085</v>
      </c>
      <c r="F1607" s="8">
        <f t="shared" si="72"/>
        <v>32582</v>
      </c>
      <c r="G1607" s="9">
        <f t="shared" si="73"/>
        <v>43994</v>
      </c>
      <c r="H1607" s="10">
        <f t="shared" si="74"/>
        <v>1.6085</v>
      </c>
    </row>
    <row r="1608" spans="1:8" x14ac:dyDescent="0.2">
      <c r="A1608" s="1">
        <v>49</v>
      </c>
      <c r="B1608" s="1" t="str">
        <v>2020-06-12</v>
      </c>
      <c r="C1608" s="1">
        <v>1.002</v>
      </c>
      <c r="F1608" s="8">
        <f t="shared" si="72"/>
        <v>49</v>
      </c>
      <c r="G1608" s="9">
        <f t="shared" si="73"/>
        <v>43994</v>
      </c>
      <c r="H1608" s="10">
        <f t="shared" si="74"/>
        <v>1.002</v>
      </c>
    </row>
    <row r="1609" spans="1:8" x14ac:dyDescent="0.2">
      <c r="A1609" s="1">
        <v>59</v>
      </c>
      <c r="B1609" s="1" t="str">
        <v>2020-06-12</v>
      </c>
      <c r="C1609" s="1">
        <v>1.7606999999999999</v>
      </c>
      <c r="F1609" s="8">
        <f t="shared" ref="F1609:F1672" si="75">A1609</f>
        <v>59</v>
      </c>
      <c r="G1609" s="9">
        <f t="shared" ref="G1609:G1672" si="76">DATE(LEFT(B1609,4),MID(B1609,6,2),RIGHT(B1609,2))</f>
        <v>43994</v>
      </c>
      <c r="H1609" s="10">
        <f t="shared" ref="H1609:H1672" si="77">C1609</f>
        <v>1.7606999999999999</v>
      </c>
    </row>
    <row r="1610" spans="1:8" x14ac:dyDescent="0.2">
      <c r="A1610" s="1">
        <v>171</v>
      </c>
      <c r="B1610" s="1" t="str">
        <v>2020-06-12</v>
      </c>
      <c r="C1610" s="1">
        <v>1.5071000000000001</v>
      </c>
      <c r="F1610" s="8">
        <f t="shared" si="75"/>
        <v>171</v>
      </c>
      <c r="G1610" s="9">
        <f t="shared" si="76"/>
        <v>43994</v>
      </c>
      <c r="H1610" s="10">
        <f t="shared" si="77"/>
        <v>1.5071000000000001</v>
      </c>
    </row>
    <row r="1611" spans="1:8" x14ac:dyDescent="0.2">
      <c r="A1611" s="1">
        <v>81</v>
      </c>
      <c r="B1611" s="1" t="str">
        <v>2020-06-12</v>
      </c>
      <c r="C1611" s="1">
        <v>2.004</v>
      </c>
      <c r="F1611" s="8">
        <f t="shared" si="75"/>
        <v>81</v>
      </c>
      <c r="G1611" s="9">
        <f t="shared" si="76"/>
        <v>43994</v>
      </c>
      <c r="H1611" s="10">
        <f t="shared" si="77"/>
        <v>2.004</v>
      </c>
    </row>
    <row r="1612" spans="1:8" x14ac:dyDescent="0.2">
      <c r="A1612" s="1">
        <v>32121</v>
      </c>
      <c r="B1612" s="1" t="str">
        <v>2020-06-12</v>
      </c>
      <c r="C1612" s="1">
        <v>1.9229000000000001</v>
      </c>
      <c r="F1612" s="8">
        <f t="shared" si="75"/>
        <v>32121</v>
      </c>
      <c r="G1612" s="9">
        <f t="shared" si="76"/>
        <v>43994</v>
      </c>
      <c r="H1612" s="10">
        <f t="shared" si="77"/>
        <v>1.9229000000000001</v>
      </c>
    </row>
    <row r="1613" spans="1:8" x14ac:dyDescent="0.2">
      <c r="A1613" s="1">
        <v>32360</v>
      </c>
      <c r="B1613" s="1" t="str">
        <v>2020-06-12</v>
      </c>
      <c r="C1613" s="1">
        <v>1.3758999999999999</v>
      </c>
      <c r="F1613" s="8">
        <f t="shared" si="75"/>
        <v>32360</v>
      </c>
      <c r="G1613" s="9">
        <f t="shared" si="76"/>
        <v>43994</v>
      </c>
      <c r="H1613" s="10">
        <f t="shared" si="77"/>
        <v>1.3758999999999999</v>
      </c>
    </row>
    <row r="1614" spans="1:8" x14ac:dyDescent="0.2">
      <c r="A1614" s="1">
        <v>24250</v>
      </c>
      <c r="B1614" s="1" t="str">
        <v>2020-06-12</v>
      </c>
      <c r="C1614" s="1">
        <v>1.4971000000000001</v>
      </c>
      <c r="F1614" s="8">
        <f t="shared" si="75"/>
        <v>24250</v>
      </c>
      <c r="G1614" s="9">
        <f t="shared" si="76"/>
        <v>43994</v>
      </c>
      <c r="H1614" s="10">
        <f t="shared" si="77"/>
        <v>1.4971000000000001</v>
      </c>
    </row>
    <row r="1615" spans="1:8" x14ac:dyDescent="0.2">
      <c r="A1615" s="1">
        <v>32583</v>
      </c>
      <c r="B1615" s="1" t="str">
        <v>2020-06-12</v>
      </c>
      <c r="C1615" s="1">
        <v>1.4</v>
      </c>
      <c r="F1615" s="8">
        <f t="shared" si="75"/>
        <v>32583</v>
      </c>
      <c r="G1615" s="9">
        <f t="shared" si="76"/>
        <v>43994</v>
      </c>
      <c r="H1615" s="10">
        <f t="shared" si="77"/>
        <v>1.4</v>
      </c>
    </row>
    <row r="1616" spans="1:8" x14ac:dyDescent="0.2">
      <c r="A1616" s="1">
        <v>30300</v>
      </c>
      <c r="B1616" s="1" t="str">
        <v>2020-06-12</v>
      </c>
      <c r="C1616" s="1">
        <v>1.5580000000000001</v>
      </c>
      <c r="F1616" s="8">
        <f t="shared" si="75"/>
        <v>30300</v>
      </c>
      <c r="G1616" s="9">
        <f t="shared" si="76"/>
        <v>43994</v>
      </c>
      <c r="H1616" s="10">
        <f t="shared" si="77"/>
        <v>1.5580000000000001</v>
      </c>
    </row>
    <row r="1617" spans="1:8" x14ac:dyDescent="0.2">
      <c r="A1617" s="1">
        <v>20</v>
      </c>
      <c r="B1617" s="1" t="str">
        <v>2020-06-12</v>
      </c>
      <c r="C1617" s="1">
        <v>1.9028</v>
      </c>
      <c r="F1617" s="8">
        <f t="shared" si="75"/>
        <v>20</v>
      </c>
      <c r="G1617" s="9">
        <f t="shared" si="76"/>
        <v>43994</v>
      </c>
      <c r="H1617" s="10">
        <f t="shared" si="77"/>
        <v>1.9028</v>
      </c>
    </row>
    <row r="1618" spans="1:8" x14ac:dyDescent="0.2">
      <c r="A1618" s="1">
        <v>146</v>
      </c>
      <c r="B1618" s="1" t="str">
        <v>2020-06-12</v>
      </c>
      <c r="C1618" s="1">
        <v>1.821</v>
      </c>
      <c r="F1618" s="8">
        <f t="shared" si="75"/>
        <v>146</v>
      </c>
      <c r="G1618" s="9">
        <f t="shared" si="76"/>
        <v>43994</v>
      </c>
      <c r="H1618" s="10">
        <f t="shared" si="77"/>
        <v>1.821</v>
      </c>
    </row>
    <row r="1619" spans="1:8" x14ac:dyDescent="0.2">
      <c r="A1619" s="1">
        <v>94</v>
      </c>
      <c r="B1619" s="1" t="str">
        <v>2020-06-12</v>
      </c>
      <c r="C1619" s="1">
        <v>1.4512</v>
      </c>
      <c r="F1619" s="8">
        <f t="shared" si="75"/>
        <v>94</v>
      </c>
      <c r="G1619" s="9">
        <f t="shared" si="76"/>
        <v>43994</v>
      </c>
      <c r="H1619" s="10">
        <f t="shared" si="77"/>
        <v>1.4512</v>
      </c>
    </row>
    <row r="1620" spans="1:8" x14ac:dyDescent="0.2">
      <c r="A1620" s="1">
        <v>143</v>
      </c>
      <c r="B1620" s="1" t="str">
        <v>2020-06-12</v>
      </c>
      <c r="C1620" s="1">
        <v>1.5071000000000001</v>
      </c>
      <c r="F1620" s="8">
        <f t="shared" si="75"/>
        <v>143</v>
      </c>
      <c r="G1620" s="9">
        <f t="shared" si="76"/>
        <v>43994</v>
      </c>
      <c r="H1620" s="10">
        <f t="shared" si="77"/>
        <v>1.5071000000000001</v>
      </c>
    </row>
    <row r="1621" spans="1:8" x14ac:dyDescent="0.2">
      <c r="A1621" s="1">
        <v>32803</v>
      </c>
      <c r="B1621" s="1" t="str">
        <v>2020-06-12</v>
      </c>
      <c r="C1621" s="1">
        <v>1.2746</v>
      </c>
      <c r="F1621" s="8">
        <f t="shared" si="75"/>
        <v>32803</v>
      </c>
      <c r="G1621" s="9">
        <f t="shared" si="76"/>
        <v>43994</v>
      </c>
      <c r="H1621" s="10">
        <f t="shared" si="77"/>
        <v>1.2746</v>
      </c>
    </row>
    <row r="1622" spans="1:8" x14ac:dyDescent="0.2">
      <c r="A1622" s="1">
        <v>196</v>
      </c>
      <c r="B1622" s="1" t="str">
        <v>2020-06-12</v>
      </c>
      <c r="C1622" s="1">
        <v>1.4666999999999999</v>
      </c>
      <c r="F1622" s="8">
        <f t="shared" si="75"/>
        <v>196</v>
      </c>
      <c r="G1622" s="9">
        <f t="shared" si="76"/>
        <v>43994</v>
      </c>
      <c r="H1622" s="10">
        <f t="shared" si="77"/>
        <v>1.4666999999999999</v>
      </c>
    </row>
    <row r="1623" spans="1:8" x14ac:dyDescent="0.2">
      <c r="A1623" s="1">
        <v>177</v>
      </c>
      <c r="B1623" s="1" t="str">
        <v>2020-06-12</v>
      </c>
      <c r="C1623" s="1">
        <v>1.8059000000000001</v>
      </c>
      <c r="F1623" s="8">
        <f t="shared" si="75"/>
        <v>177</v>
      </c>
      <c r="G1623" s="9">
        <f t="shared" si="76"/>
        <v>43994</v>
      </c>
      <c r="H1623" s="10">
        <f t="shared" si="77"/>
        <v>1.8059000000000001</v>
      </c>
    </row>
    <row r="1624" spans="1:8" x14ac:dyDescent="0.2">
      <c r="A1624" s="1">
        <v>32502</v>
      </c>
      <c r="B1624" s="1" t="str">
        <v>2020-06-12</v>
      </c>
      <c r="C1624" s="1">
        <v>1.8420000000000001</v>
      </c>
      <c r="F1624" s="8">
        <f t="shared" si="75"/>
        <v>32502</v>
      </c>
      <c r="G1624" s="9">
        <f t="shared" si="76"/>
        <v>43994</v>
      </c>
      <c r="H1624" s="10">
        <f t="shared" si="77"/>
        <v>1.8420000000000001</v>
      </c>
    </row>
    <row r="1625" spans="1:8" x14ac:dyDescent="0.2">
      <c r="A1625" s="1">
        <v>78</v>
      </c>
      <c r="B1625" s="1" t="str">
        <v>2020-06-12</v>
      </c>
      <c r="C1625" s="1">
        <v>1.6991000000000001</v>
      </c>
      <c r="F1625" s="8">
        <f t="shared" si="75"/>
        <v>78</v>
      </c>
      <c r="G1625" s="9">
        <f t="shared" si="76"/>
        <v>43994</v>
      </c>
      <c r="H1625" s="10">
        <f t="shared" si="77"/>
        <v>1.6991000000000001</v>
      </c>
    </row>
    <row r="1626" spans="1:8" x14ac:dyDescent="0.2">
      <c r="A1626" s="1">
        <v>10</v>
      </c>
      <c r="B1626" s="1" t="str">
        <v>2020-06-12</v>
      </c>
      <c r="C1626" s="1">
        <v>1.5275000000000001</v>
      </c>
      <c r="F1626" s="8">
        <f t="shared" si="75"/>
        <v>10</v>
      </c>
      <c r="G1626" s="9">
        <f t="shared" si="76"/>
        <v>43994</v>
      </c>
      <c r="H1626" s="10">
        <f t="shared" si="77"/>
        <v>1.5275000000000001</v>
      </c>
    </row>
    <row r="1627" spans="1:8" x14ac:dyDescent="0.2">
      <c r="A1627" s="1">
        <v>2250</v>
      </c>
      <c r="B1627" s="1" t="str">
        <v>2020-06-12</v>
      </c>
      <c r="C1627" s="1">
        <v>0.95130000000000003</v>
      </c>
      <c r="F1627" s="8">
        <f t="shared" si="75"/>
        <v>2250</v>
      </c>
      <c r="G1627" s="9">
        <f t="shared" si="76"/>
        <v>43994</v>
      </c>
      <c r="H1627" s="10">
        <f t="shared" si="77"/>
        <v>0.95130000000000003</v>
      </c>
    </row>
    <row r="1628" spans="1:8" x14ac:dyDescent="0.2">
      <c r="A1628" s="1">
        <v>33183</v>
      </c>
      <c r="B1628" s="1" t="str">
        <v>2020-06-15</v>
      </c>
      <c r="C1628" s="1">
        <v>1.4818</v>
      </c>
      <c r="F1628" s="8">
        <f t="shared" si="75"/>
        <v>33183</v>
      </c>
      <c r="G1628" s="9">
        <f t="shared" si="76"/>
        <v>43997</v>
      </c>
      <c r="H1628" s="10">
        <f t="shared" si="77"/>
        <v>1.4818</v>
      </c>
    </row>
    <row r="1629" spans="1:8" x14ac:dyDescent="0.2">
      <c r="A1629" s="1">
        <v>32360</v>
      </c>
      <c r="B1629" s="1" t="str">
        <v>2020-06-15</v>
      </c>
      <c r="C1629" s="1">
        <v>1.3758999999999999</v>
      </c>
      <c r="F1629" s="8">
        <f t="shared" si="75"/>
        <v>32360</v>
      </c>
      <c r="G1629" s="9">
        <f t="shared" si="76"/>
        <v>43997</v>
      </c>
      <c r="H1629" s="10">
        <f t="shared" si="77"/>
        <v>1.3758999999999999</v>
      </c>
    </row>
    <row r="1630" spans="1:8" x14ac:dyDescent="0.2">
      <c r="A1630" s="1">
        <v>176</v>
      </c>
      <c r="B1630" s="1" t="str">
        <v>2020-06-15</v>
      </c>
      <c r="C1630" s="1">
        <v>1.4361999999999999</v>
      </c>
      <c r="F1630" s="8">
        <f t="shared" si="75"/>
        <v>176</v>
      </c>
      <c r="G1630" s="9">
        <f t="shared" si="76"/>
        <v>43997</v>
      </c>
      <c r="H1630" s="10">
        <f t="shared" si="77"/>
        <v>1.4361999999999999</v>
      </c>
    </row>
    <row r="1631" spans="1:8" x14ac:dyDescent="0.2">
      <c r="A1631" s="1">
        <v>34</v>
      </c>
      <c r="B1631" s="1" t="str">
        <v>2020-06-15</v>
      </c>
      <c r="C1631" s="1">
        <v>2.2079</v>
      </c>
      <c r="F1631" s="8">
        <f t="shared" si="75"/>
        <v>34</v>
      </c>
      <c r="G1631" s="9">
        <f t="shared" si="76"/>
        <v>43997</v>
      </c>
      <c r="H1631" s="10">
        <f t="shared" si="77"/>
        <v>2.2079</v>
      </c>
    </row>
    <row r="1632" spans="1:8" x14ac:dyDescent="0.2">
      <c r="A1632" s="1">
        <v>32421</v>
      </c>
      <c r="B1632" s="1" t="str">
        <v>2020-06-15</v>
      </c>
      <c r="C1632" s="1">
        <v>1.7557</v>
      </c>
      <c r="F1632" s="8">
        <f t="shared" si="75"/>
        <v>32421</v>
      </c>
      <c r="G1632" s="9">
        <f t="shared" si="76"/>
        <v>43997</v>
      </c>
      <c r="H1632" s="10">
        <f t="shared" si="77"/>
        <v>1.7557</v>
      </c>
    </row>
    <row r="1633" spans="1:8" x14ac:dyDescent="0.2">
      <c r="A1633" s="1">
        <v>178</v>
      </c>
      <c r="B1633" s="1" t="str">
        <v>2020-06-15</v>
      </c>
      <c r="C1633" s="1">
        <v>2.0074000000000001</v>
      </c>
      <c r="F1633" s="8">
        <f t="shared" si="75"/>
        <v>178</v>
      </c>
      <c r="G1633" s="9">
        <f t="shared" si="76"/>
        <v>43997</v>
      </c>
      <c r="H1633" s="10">
        <f t="shared" si="77"/>
        <v>2.0074000000000001</v>
      </c>
    </row>
    <row r="1634" spans="1:8" x14ac:dyDescent="0.2">
      <c r="A1634" s="1">
        <v>53</v>
      </c>
      <c r="B1634" s="1" t="str">
        <v>2020-06-16</v>
      </c>
      <c r="C1634" s="1">
        <v>1.2947</v>
      </c>
      <c r="F1634" s="8">
        <f t="shared" si="75"/>
        <v>53</v>
      </c>
      <c r="G1634" s="9">
        <f t="shared" si="76"/>
        <v>43998</v>
      </c>
      <c r="H1634" s="10">
        <f t="shared" si="77"/>
        <v>1.2947</v>
      </c>
    </row>
    <row r="1635" spans="1:8" x14ac:dyDescent="0.2">
      <c r="A1635" s="1">
        <v>33130</v>
      </c>
      <c r="B1635" s="1" t="str">
        <v>2020-06-16</v>
      </c>
      <c r="C1635" s="1">
        <v>1.4464999999999999</v>
      </c>
      <c r="F1635" s="8">
        <f t="shared" si="75"/>
        <v>33130</v>
      </c>
      <c r="G1635" s="9">
        <f t="shared" si="76"/>
        <v>43998</v>
      </c>
      <c r="H1635" s="10">
        <f t="shared" si="77"/>
        <v>1.4464999999999999</v>
      </c>
    </row>
    <row r="1636" spans="1:8" x14ac:dyDescent="0.2">
      <c r="A1636" s="1">
        <v>32200</v>
      </c>
      <c r="B1636" s="1" t="str">
        <v>2020-06-17</v>
      </c>
      <c r="C1636" s="1">
        <v>1.3958999999999999</v>
      </c>
      <c r="F1636" s="8">
        <f t="shared" si="75"/>
        <v>32200</v>
      </c>
      <c r="G1636" s="9">
        <f t="shared" si="76"/>
        <v>43999</v>
      </c>
      <c r="H1636" s="10">
        <f t="shared" si="77"/>
        <v>1.3958999999999999</v>
      </c>
    </row>
    <row r="1637" spans="1:8" x14ac:dyDescent="0.2">
      <c r="A1637" s="1">
        <v>8</v>
      </c>
      <c r="B1637" s="1" t="str">
        <v>2020-06-17</v>
      </c>
      <c r="C1637" s="1">
        <v>2.0247000000000002</v>
      </c>
      <c r="F1637" s="8">
        <f t="shared" si="75"/>
        <v>8</v>
      </c>
      <c r="G1637" s="9">
        <f t="shared" si="76"/>
        <v>43999</v>
      </c>
      <c r="H1637" s="10">
        <f t="shared" si="77"/>
        <v>2.0247000000000002</v>
      </c>
    </row>
    <row r="1638" spans="1:8" x14ac:dyDescent="0.2">
      <c r="A1638" s="1">
        <v>33103</v>
      </c>
      <c r="B1638" s="1" t="str">
        <v>2020-06-17</v>
      </c>
      <c r="C1638" s="1">
        <v>2.0026000000000002</v>
      </c>
      <c r="F1638" s="8">
        <f t="shared" si="75"/>
        <v>33103</v>
      </c>
      <c r="G1638" s="9">
        <f t="shared" si="76"/>
        <v>43999</v>
      </c>
      <c r="H1638" s="10">
        <f t="shared" si="77"/>
        <v>2.0026000000000002</v>
      </c>
    </row>
    <row r="1639" spans="1:8" x14ac:dyDescent="0.2">
      <c r="A1639" s="1">
        <v>32963</v>
      </c>
      <c r="B1639" s="1" t="str">
        <v>2020-06-17</v>
      </c>
      <c r="C1639" s="1">
        <v>1.4362999999999999</v>
      </c>
      <c r="F1639" s="8">
        <f t="shared" si="75"/>
        <v>32963</v>
      </c>
      <c r="G1639" s="9">
        <f t="shared" si="76"/>
        <v>43999</v>
      </c>
      <c r="H1639" s="10">
        <f t="shared" si="77"/>
        <v>1.4362999999999999</v>
      </c>
    </row>
    <row r="1640" spans="1:8" x14ac:dyDescent="0.2">
      <c r="A1640" s="1">
        <v>32222</v>
      </c>
      <c r="B1640" s="1" t="str">
        <v>2020-06-26</v>
      </c>
      <c r="C1640" s="1">
        <v>1.6285000000000001</v>
      </c>
      <c r="F1640" s="8">
        <f t="shared" si="75"/>
        <v>32222</v>
      </c>
      <c r="G1640" s="9">
        <f t="shared" si="76"/>
        <v>44008</v>
      </c>
      <c r="H1640" s="10">
        <f t="shared" si="77"/>
        <v>1.6285000000000001</v>
      </c>
    </row>
    <row r="1641" spans="1:8" x14ac:dyDescent="0.2">
      <c r="A1641" s="1">
        <v>32200</v>
      </c>
      <c r="B1641" s="1" t="str">
        <v>2020-06-26</v>
      </c>
      <c r="C1641" s="1">
        <v>1.3958999999999999</v>
      </c>
      <c r="F1641" s="8">
        <f t="shared" si="75"/>
        <v>32200</v>
      </c>
      <c r="G1641" s="9">
        <f t="shared" si="76"/>
        <v>44008</v>
      </c>
      <c r="H1641" s="10">
        <f t="shared" si="77"/>
        <v>1.3958999999999999</v>
      </c>
    </row>
    <row r="1642" spans="1:8" x14ac:dyDescent="0.2">
      <c r="A1642" s="1">
        <v>33130</v>
      </c>
      <c r="B1642" s="1" t="str">
        <v>2020-06-26</v>
      </c>
      <c r="C1642" s="1">
        <v>1.5983000000000001</v>
      </c>
      <c r="F1642" s="8">
        <f t="shared" si="75"/>
        <v>33130</v>
      </c>
      <c r="G1642" s="9">
        <f t="shared" si="76"/>
        <v>44008</v>
      </c>
      <c r="H1642" s="10">
        <f t="shared" si="77"/>
        <v>1.5983000000000001</v>
      </c>
    </row>
    <row r="1643" spans="1:8" x14ac:dyDescent="0.2">
      <c r="A1643" s="1">
        <v>156</v>
      </c>
      <c r="B1643" s="1" t="str">
        <v>2020-06-26</v>
      </c>
      <c r="C1643" s="1">
        <v>2.1164999999999998</v>
      </c>
      <c r="F1643" s="8">
        <f t="shared" si="75"/>
        <v>156</v>
      </c>
      <c r="G1643" s="9">
        <f t="shared" si="76"/>
        <v>44008</v>
      </c>
      <c r="H1643" s="10">
        <f t="shared" si="77"/>
        <v>2.1164999999999998</v>
      </c>
    </row>
    <row r="1644" spans="1:8" x14ac:dyDescent="0.2">
      <c r="A1644" s="1">
        <v>147</v>
      </c>
      <c r="B1644" s="1" t="str">
        <v>2020-06-26</v>
      </c>
      <c r="C1644" s="1">
        <v>1.1327</v>
      </c>
      <c r="F1644" s="8">
        <f t="shared" si="75"/>
        <v>147</v>
      </c>
      <c r="G1644" s="9">
        <f t="shared" si="76"/>
        <v>44008</v>
      </c>
      <c r="H1644" s="10">
        <f t="shared" si="77"/>
        <v>1.1327</v>
      </c>
    </row>
    <row r="1645" spans="1:8" x14ac:dyDescent="0.2">
      <c r="A1645" s="1">
        <v>24</v>
      </c>
      <c r="B1645" s="1" t="str">
        <v>2020-06-26</v>
      </c>
      <c r="C1645" s="1">
        <v>1.8218000000000001</v>
      </c>
      <c r="F1645" s="8">
        <f t="shared" si="75"/>
        <v>24</v>
      </c>
      <c r="G1645" s="9">
        <f t="shared" si="76"/>
        <v>44008</v>
      </c>
      <c r="H1645" s="10">
        <f t="shared" si="77"/>
        <v>1.8218000000000001</v>
      </c>
    </row>
    <row r="1646" spans="1:8" x14ac:dyDescent="0.2">
      <c r="A1646" s="1">
        <v>153</v>
      </c>
      <c r="B1646" s="1" t="str">
        <v>2020-06-26</v>
      </c>
      <c r="C1646" s="1">
        <v>1.6796</v>
      </c>
      <c r="F1646" s="8">
        <f t="shared" si="75"/>
        <v>153</v>
      </c>
      <c r="G1646" s="9">
        <f t="shared" si="76"/>
        <v>44008</v>
      </c>
      <c r="H1646" s="10">
        <f t="shared" si="77"/>
        <v>1.6796</v>
      </c>
    </row>
    <row r="1647" spans="1:8" x14ac:dyDescent="0.2">
      <c r="A1647" s="1">
        <v>16</v>
      </c>
      <c r="B1647" s="1" t="str">
        <v>2020-06-26</v>
      </c>
      <c r="C1647" s="1">
        <v>1.3858999999999999</v>
      </c>
      <c r="F1647" s="8">
        <f t="shared" si="75"/>
        <v>16</v>
      </c>
      <c r="G1647" s="9">
        <f t="shared" si="76"/>
        <v>44008</v>
      </c>
      <c r="H1647" s="10">
        <f t="shared" si="77"/>
        <v>1.3858999999999999</v>
      </c>
    </row>
    <row r="1648" spans="1:8" x14ac:dyDescent="0.2">
      <c r="A1648" s="1">
        <v>32783</v>
      </c>
      <c r="B1648" s="1" t="str">
        <v>2020-06-26</v>
      </c>
      <c r="C1648" s="1">
        <v>2.0047000000000001</v>
      </c>
      <c r="F1648" s="8">
        <f t="shared" si="75"/>
        <v>32783</v>
      </c>
      <c r="G1648" s="9">
        <f t="shared" si="76"/>
        <v>44008</v>
      </c>
      <c r="H1648" s="10">
        <f t="shared" si="77"/>
        <v>2.0047000000000001</v>
      </c>
    </row>
    <row r="1649" spans="1:8" x14ac:dyDescent="0.2">
      <c r="A1649" s="1">
        <v>33125</v>
      </c>
      <c r="B1649" s="1" t="str">
        <v>2020-06-26</v>
      </c>
      <c r="C1649" s="1">
        <v>1.7604</v>
      </c>
      <c r="F1649" s="8">
        <f t="shared" si="75"/>
        <v>33125</v>
      </c>
      <c r="G1649" s="9">
        <f t="shared" si="76"/>
        <v>44008</v>
      </c>
      <c r="H1649" s="10">
        <f t="shared" si="77"/>
        <v>1.7604</v>
      </c>
    </row>
    <row r="1650" spans="1:8" x14ac:dyDescent="0.2">
      <c r="A1650" s="1">
        <v>150</v>
      </c>
      <c r="B1650" s="1" t="str">
        <v>2020-06-26</v>
      </c>
      <c r="C1650" s="1">
        <v>1.4066000000000001</v>
      </c>
      <c r="F1650" s="8">
        <f t="shared" si="75"/>
        <v>150</v>
      </c>
      <c r="G1650" s="9">
        <f t="shared" si="76"/>
        <v>44008</v>
      </c>
      <c r="H1650" s="10">
        <f t="shared" si="77"/>
        <v>1.4066000000000001</v>
      </c>
    </row>
    <row r="1651" spans="1:8" x14ac:dyDescent="0.2">
      <c r="A1651" s="1">
        <v>139</v>
      </c>
      <c r="B1651" s="1" t="str">
        <v>2020-06-26</v>
      </c>
      <c r="C1651" s="1">
        <v>1.6084000000000001</v>
      </c>
      <c r="F1651" s="8">
        <f t="shared" si="75"/>
        <v>139</v>
      </c>
      <c r="G1651" s="9">
        <f t="shared" si="76"/>
        <v>44008</v>
      </c>
      <c r="H1651" s="10">
        <f t="shared" si="77"/>
        <v>1.6084000000000001</v>
      </c>
    </row>
    <row r="1652" spans="1:8" x14ac:dyDescent="0.2">
      <c r="A1652" s="1">
        <v>181</v>
      </c>
      <c r="B1652" s="1" t="str">
        <v>2020-06-26</v>
      </c>
      <c r="C1652" s="1">
        <v>1.9433</v>
      </c>
      <c r="F1652" s="8">
        <f t="shared" si="75"/>
        <v>181</v>
      </c>
      <c r="G1652" s="9">
        <f t="shared" si="76"/>
        <v>44008</v>
      </c>
      <c r="H1652" s="10">
        <f t="shared" si="77"/>
        <v>1.9433</v>
      </c>
    </row>
    <row r="1653" spans="1:8" x14ac:dyDescent="0.2">
      <c r="A1653" s="1">
        <v>32724</v>
      </c>
      <c r="B1653" s="1" t="str">
        <v>2020-06-26</v>
      </c>
      <c r="C1653" s="1">
        <v>1.7201</v>
      </c>
      <c r="F1653" s="8">
        <f t="shared" si="75"/>
        <v>32724</v>
      </c>
      <c r="G1653" s="9">
        <f t="shared" si="76"/>
        <v>44008</v>
      </c>
      <c r="H1653" s="10">
        <f t="shared" si="77"/>
        <v>1.7201</v>
      </c>
    </row>
    <row r="1654" spans="1:8" x14ac:dyDescent="0.2">
      <c r="A1654" s="1">
        <v>30400</v>
      </c>
      <c r="B1654" s="1" t="str">
        <v>2020-06-26</v>
      </c>
      <c r="C1654" s="1">
        <v>1.5674999999999999</v>
      </c>
      <c r="F1654" s="8">
        <f t="shared" si="75"/>
        <v>30400</v>
      </c>
      <c r="G1654" s="9">
        <f t="shared" si="76"/>
        <v>44008</v>
      </c>
      <c r="H1654" s="10">
        <f t="shared" si="77"/>
        <v>1.5674999999999999</v>
      </c>
    </row>
    <row r="1655" spans="1:8" x14ac:dyDescent="0.2">
      <c r="A1655" s="1">
        <v>250</v>
      </c>
      <c r="B1655" s="1" t="str">
        <v>2020-06-26</v>
      </c>
      <c r="C1655" s="1">
        <v>1.6893</v>
      </c>
      <c r="F1655" s="8">
        <f t="shared" si="75"/>
        <v>250</v>
      </c>
      <c r="G1655" s="9">
        <f t="shared" si="76"/>
        <v>44008</v>
      </c>
      <c r="H1655" s="10">
        <f t="shared" si="77"/>
        <v>1.6893</v>
      </c>
    </row>
    <row r="1656" spans="1:8" x14ac:dyDescent="0.2">
      <c r="A1656" s="1">
        <v>32883</v>
      </c>
      <c r="B1656" s="1" t="str">
        <v>2020-06-26</v>
      </c>
      <c r="C1656" s="1">
        <v>2.1366000000000001</v>
      </c>
      <c r="F1656" s="8">
        <f t="shared" si="75"/>
        <v>32883</v>
      </c>
      <c r="G1656" s="9">
        <f t="shared" si="76"/>
        <v>44008</v>
      </c>
      <c r="H1656" s="10">
        <f t="shared" si="77"/>
        <v>2.1366000000000001</v>
      </c>
    </row>
    <row r="1657" spans="1:8" x14ac:dyDescent="0.2">
      <c r="A1657" s="1">
        <v>81</v>
      </c>
      <c r="B1657" s="1" t="str">
        <v>2020-06-26</v>
      </c>
      <c r="C1657" s="1">
        <v>2.0043000000000002</v>
      </c>
      <c r="F1657" s="8">
        <f t="shared" si="75"/>
        <v>81</v>
      </c>
      <c r="G1657" s="9">
        <f t="shared" si="76"/>
        <v>44008</v>
      </c>
      <c r="H1657" s="10">
        <f t="shared" si="77"/>
        <v>2.0043000000000002</v>
      </c>
    </row>
    <row r="1658" spans="1:8" x14ac:dyDescent="0.2">
      <c r="A1658" s="1">
        <v>102</v>
      </c>
      <c r="B1658" s="1" t="str">
        <v>2020-06-26</v>
      </c>
      <c r="C1658" s="1">
        <v>1.4968999999999999</v>
      </c>
      <c r="F1658" s="8">
        <f t="shared" si="75"/>
        <v>102</v>
      </c>
      <c r="G1658" s="9">
        <f t="shared" si="76"/>
        <v>44008</v>
      </c>
      <c r="H1658" s="10">
        <f t="shared" si="77"/>
        <v>1.4968999999999999</v>
      </c>
    </row>
    <row r="1659" spans="1:8" x14ac:dyDescent="0.2">
      <c r="A1659" s="1">
        <v>115</v>
      </c>
      <c r="B1659" s="1" t="str">
        <v>2020-06-26</v>
      </c>
      <c r="C1659" s="1">
        <v>1.8115000000000001</v>
      </c>
      <c r="F1659" s="8">
        <f t="shared" si="75"/>
        <v>115</v>
      </c>
      <c r="G1659" s="9">
        <f t="shared" si="76"/>
        <v>44008</v>
      </c>
      <c r="H1659" s="10">
        <f t="shared" si="77"/>
        <v>1.8115000000000001</v>
      </c>
    </row>
    <row r="1660" spans="1:8" x14ac:dyDescent="0.2">
      <c r="A1660" s="1">
        <v>109</v>
      </c>
      <c r="B1660" s="1" t="str">
        <v>2020-06-26</v>
      </c>
      <c r="C1660" s="1">
        <v>1.8113999999999999</v>
      </c>
      <c r="F1660" s="8">
        <f t="shared" si="75"/>
        <v>109</v>
      </c>
      <c r="G1660" s="9">
        <f t="shared" si="76"/>
        <v>44008</v>
      </c>
      <c r="H1660" s="10">
        <f t="shared" si="77"/>
        <v>1.8113999999999999</v>
      </c>
    </row>
    <row r="1661" spans="1:8" x14ac:dyDescent="0.2">
      <c r="A1661" s="1">
        <v>24250</v>
      </c>
      <c r="B1661" s="1" t="str">
        <v>2020-06-26</v>
      </c>
      <c r="C1661" s="1">
        <v>1.5172000000000001</v>
      </c>
      <c r="F1661" s="8">
        <f t="shared" si="75"/>
        <v>24250</v>
      </c>
      <c r="G1661" s="9">
        <f t="shared" si="76"/>
        <v>44008</v>
      </c>
      <c r="H1661" s="10">
        <f t="shared" si="77"/>
        <v>1.5172000000000001</v>
      </c>
    </row>
    <row r="1662" spans="1:8" x14ac:dyDescent="0.2">
      <c r="A1662" s="1">
        <v>10</v>
      </c>
      <c r="B1662" s="1" t="str">
        <v>2020-06-26</v>
      </c>
      <c r="C1662" s="1">
        <v>1.649</v>
      </c>
      <c r="F1662" s="8">
        <f t="shared" si="75"/>
        <v>10</v>
      </c>
      <c r="G1662" s="9">
        <f t="shared" si="76"/>
        <v>44008</v>
      </c>
      <c r="H1662" s="10">
        <f t="shared" si="77"/>
        <v>1.649</v>
      </c>
    </row>
    <row r="1663" spans="1:8" x14ac:dyDescent="0.2">
      <c r="A1663" s="1">
        <v>32582</v>
      </c>
      <c r="B1663" s="1" t="str">
        <v>2020-06-26</v>
      </c>
      <c r="C1663" s="1">
        <v>1.6085</v>
      </c>
      <c r="F1663" s="8">
        <f t="shared" si="75"/>
        <v>32582</v>
      </c>
      <c r="G1663" s="9">
        <f t="shared" si="76"/>
        <v>44008</v>
      </c>
      <c r="H1663" s="10">
        <f t="shared" si="77"/>
        <v>1.6085</v>
      </c>
    </row>
    <row r="1664" spans="1:8" x14ac:dyDescent="0.2">
      <c r="A1664" s="1">
        <v>187</v>
      </c>
      <c r="B1664" s="1" t="str">
        <v>2020-06-26</v>
      </c>
      <c r="C1664" s="1">
        <v>1.6896</v>
      </c>
      <c r="F1664" s="8">
        <f t="shared" si="75"/>
        <v>187</v>
      </c>
      <c r="G1664" s="9">
        <f t="shared" si="76"/>
        <v>44008</v>
      </c>
      <c r="H1664" s="10">
        <f t="shared" si="77"/>
        <v>1.6896</v>
      </c>
    </row>
    <row r="1665" spans="1:8" x14ac:dyDescent="0.2">
      <c r="A1665" s="1">
        <v>101</v>
      </c>
      <c r="B1665" s="1" t="str">
        <v>2020-06-26</v>
      </c>
      <c r="C1665" s="1">
        <v>1.7097</v>
      </c>
      <c r="F1665" s="8">
        <f t="shared" si="75"/>
        <v>101</v>
      </c>
      <c r="G1665" s="9">
        <f t="shared" si="76"/>
        <v>44008</v>
      </c>
      <c r="H1665" s="10">
        <f t="shared" si="77"/>
        <v>1.7097</v>
      </c>
    </row>
    <row r="1666" spans="1:8" x14ac:dyDescent="0.2">
      <c r="A1666" s="1">
        <v>177</v>
      </c>
      <c r="B1666" s="1" t="str">
        <v>2020-06-26</v>
      </c>
      <c r="C1666" s="1">
        <v>1.9888999999999999</v>
      </c>
      <c r="F1666" s="8">
        <f t="shared" si="75"/>
        <v>177</v>
      </c>
      <c r="G1666" s="9">
        <f t="shared" si="76"/>
        <v>44008</v>
      </c>
      <c r="H1666" s="10">
        <f t="shared" si="77"/>
        <v>1.9888999999999999</v>
      </c>
    </row>
    <row r="1667" spans="1:8" x14ac:dyDescent="0.2">
      <c r="A1667" s="1">
        <v>32560</v>
      </c>
      <c r="B1667" s="1" t="str">
        <v>2020-06-25</v>
      </c>
      <c r="C1667" s="1">
        <v>1.6188</v>
      </c>
      <c r="F1667" s="8">
        <f t="shared" si="75"/>
        <v>32560</v>
      </c>
      <c r="G1667" s="9">
        <f t="shared" si="76"/>
        <v>44007</v>
      </c>
      <c r="H1667" s="10">
        <f t="shared" si="77"/>
        <v>1.6188</v>
      </c>
    </row>
    <row r="1668" spans="1:8" x14ac:dyDescent="0.2">
      <c r="A1668" s="1">
        <v>32040</v>
      </c>
      <c r="B1668" s="1" t="str">
        <v>2020-06-25</v>
      </c>
      <c r="C1668" s="1">
        <v>1.4804999999999999</v>
      </c>
      <c r="F1668" s="8">
        <f t="shared" si="75"/>
        <v>32040</v>
      </c>
      <c r="G1668" s="9">
        <f t="shared" si="76"/>
        <v>44007</v>
      </c>
      <c r="H1668" s="10">
        <f t="shared" si="77"/>
        <v>1.4804999999999999</v>
      </c>
    </row>
    <row r="1669" spans="1:8" x14ac:dyDescent="0.2">
      <c r="A1669" s="1">
        <v>133</v>
      </c>
      <c r="B1669" s="1" t="str">
        <v>2020-06-25</v>
      </c>
      <c r="C1669" s="1">
        <v>1.8011999999999999</v>
      </c>
      <c r="F1669" s="8">
        <f t="shared" si="75"/>
        <v>133</v>
      </c>
      <c r="G1669" s="9">
        <f t="shared" si="76"/>
        <v>44007</v>
      </c>
      <c r="H1669" s="10">
        <f t="shared" si="77"/>
        <v>1.8011999999999999</v>
      </c>
    </row>
    <row r="1670" spans="1:8" x14ac:dyDescent="0.2">
      <c r="A1670" s="1">
        <v>157</v>
      </c>
      <c r="B1670" s="1" t="str">
        <v>2020-06-25</v>
      </c>
      <c r="C1670" s="1">
        <v>1.6</v>
      </c>
      <c r="F1670" s="8">
        <f t="shared" si="75"/>
        <v>157</v>
      </c>
      <c r="G1670" s="9">
        <f t="shared" si="76"/>
        <v>44007</v>
      </c>
      <c r="H1670" s="10">
        <f t="shared" si="77"/>
        <v>1.6</v>
      </c>
    </row>
    <row r="1671" spans="1:8" x14ac:dyDescent="0.2">
      <c r="A1671" s="1">
        <v>32724</v>
      </c>
      <c r="B1671" s="1" t="str">
        <v>2020-06-25</v>
      </c>
      <c r="C1671" s="1">
        <v>1.6086</v>
      </c>
      <c r="F1671" s="8">
        <f t="shared" si="75"/>
        <v>32724</v>
      </c>
      <c r="G1671" s="9">
        <f t="shared" si="76"/>
        <v>44007</v>
      </c>
      <c r="H1671" s="10">
        <f t="shared" si="77"/>
        <v>1.6086</v>
      </c>
    </row>
    <row r="1672" spans="1:8" x14ac:dyDescent="0.2">
      <c r="A1672" s="1">
        <v>55</v>
      </c>
      <c r="B1672" s="1" t="str">
        <v>2020-06-25</v>
      </c>
      <c r="C1672" s="1">
        <v>1.3754999999999999</v>
      </c>
      <c r="F1672" s="8">
        <f t="shared" si="75"/>
        <v>55</v>
      </c>
      <c r="G1672" s="9">
        <f t="shared" si="76"/>
        <v>44007</v>
      </c>
      <c r="H1672" s="10">
        <f t="shared" si="77"/>
        <v>1.3754999999999999</v>
      </c>
    </row>
    <row r="1673" spans="1:8" x14ac:dyDescent="0.2">
      <c r="A1673" s="1">
        <v>89</v>
      </c>
      <c r="B1673" s="1" t="str">
        <v>2020-06-24</v>
      </c>
      <c r="C1673" s="1">
        <v>2.0449999999999999</v>
      </c>
      <c r="F1673" s="8">
        <f t="shared" ref="F1673:F1736" si="78">A1673</f>
        <v>89</v>
      </c>
      <c r="G1673" s="9">
        <f t="shared" ref="G1673:G1736" si="79">DATE(LEFT(B1673,4),MID(B1673,6,2),RIGHT(B1673,2))</f>
        <v>44006</v>
      </c>
      <c r="H1673" s="10">
        <f t="shared" ref="H1673:H1736" si="80">C1673</f>
        <v>2.0449999999999999</v>
      </c>
    </row>
    <row r="1674" spans="1:8" x14ac:dyDescent="0.2">
      <c r="A1674" s="1">
        <v>32400</v>
      </c>
      <c r="B1674" s="1" t="str">
        <v>2020-06-24</v>
      </c>
      <c r="C1674" s="1">
        <v>1.7</v>
      </c>
      <c r="F1674" s="8">
        <f t="shared" si="78"/>
        <v>32400</v>
      </c>
      <c r="G1674" s="9">
        <f t="shared" si="79"/>
        <v>44006</v>
      </c>
      <c r="H1674" s="10">
        <f t="shared" si="80"/>
        <v>1.7</v>
      </c>
    </row>
    <row r="1675" spans="1:8" x14ac:dyDescent="0.2">
      <c r="A1675" s="1">
        <v>187</v>
      </c>
      <c r="B1675" s="1" t="str">
        <v>2020-06-24</v>
      </c>
      <c r="C1675" s="1">
        <v>1.5985</v>
      </c>
      <c r="F1675" s="8">
        <f t="shared" si="78"/>
        <v>187</v>
      </c>
      <c r="G1675" s="9">
        <f t="shared" si="79"/>
        <v>44006</v>
      </c>
      <c r="H1675" s="10">
        <f t="shared" si="80"/>
        <v>1.5985</v>
      </c>
    </row>
    <row r="1676" spans="1:8" x14ac:dyDescent="0.2">
      <c r="A1676" s="1">
        <v>32</v>
      </c>
      <c r="B1676" s="1" t="str">
        <v>2020-06-24</v>
      </c>
      <c r="C1676" s="1">
        <v>1.7250000000000001</v>
      </c>
      <c r="F1676" s="8">
        <f t="shared" si="78"/>
        <v>32</v>
      </c>
      <c r="G1676" s="9">
        <f t="shared" si="79"/>
        <v>44006</v>
      </c>
      <c r="H1676" s="10">
        <f t="shared" si="80"/>
        <v>1.7250000000000001</v>
      </c>
    </row>
    <row r="1677" spans="1:8" x14ac:dyDescent="0.2">
      <c r="A1677" s="1">
        <v>33103</v>
      </c>
      <c r="B1677" s="1" t="str">
        <v>2020-06-23</v>
      </c>
      <c r="C1677" s="1">
        <v>2.0956999999999999</v>
      </c>
      <c r="F1677" s="8">
        <f t="shared" si="78"/>
        <v>33103</v>
      </c>
      <c r="G1677" s="9">
        <f t="shared" si="79"/>
        <v>44005</v>
      </c>
      <c r="H1677" s="10">
        <f t="shared" si="80"/>
        <v>2.0956999999999999</v>
      </c>
    </row>
    <row r="1678" spans="1:8" x14ac:dyDescent="0.2">
      <c r="A1678" s="1">
        <v>33130</v>
      </c>
      <c r="B1678" s="1" t="str">
        <v>2020-06-23</v>
      </c>
      <c r="C1678" s="1">
        <v>1.8214999999999999</v>
      </c>
      <c r="F1678" s="8">
        <f t="shared" si="78"/>
        <v>33130</v>
      </c>
      <c r="G1678" s="9">
        <f t="shared" si="79"/>
        <v>44005</v>
      </c>
      <c r="H1678" s="10">
        <f t="shared" si="80"/>
        <v>1.8214999999999999</v>
      </c>
    </row>
    <row r="1679" spans="1:8" x14ac:dyDescent="0.2">
      <c r="A1679" s="1">
        <v>33023</v>
      </c>
      <c r="B1679" s="1" t="str">
        <v>2020-06-23</v>
      </c>
      <c r="C1679" s="1">
        <v>1.5</v>
      </c>
      <c r="F1679" s="8">
        <f t="shared" si="78"/>
        <v>33023</v>
      </c>
      <c r="G1679" s="9">
        <f t="shared" si="79"/>
        <v>44005</v>
      </c>
      <c r="H1679" s="10">
        <f t="shared" si="80"/>
        <v>1.5</v>
      </c>
    </row>
    <row r="1680" spans="1:8" x14ac:dyDescent="0.2">
      <c r="A1680" s="1">
        <v>32380</v>
      </c>
      <c r="B1680" s="1" t="str">
        <v>2020-06-23</v>
      </c>
      <c r="C1680" s="1">
        <v>2.0706000000000002</v>
      </c>
      <c r="F1680" s="8">
        <f t="shared" si="78"/>
        <v>32380</v>
      </c>
      <c r="G1680" s="9">
        <f t="shared" si="79"/>
        <v>44005</v>
      </c>
      <c r="H1680" s="10">
        <f t="shared" si="80"/>
        <v>2.0706000000000002</v>
      </c>
    </row>
    <row r="1681" spans="1:8" x14ac:dyDescent="0.2">
      <c r="A1681" s="1">
        <v>89</v>
      </c>
      <c r="B1681" s="1" t="str">
        <v>2020-06-23</v>
      </c>
      <c r="C1681" s="1">
        <v>2.0449999999999999</v>
      </c>
      <c r="F1681" s="8">
        <f t="shared" si="78"/>
        <v>89</v>
      </c>
      <c r="G1681" s="9">
        <f t="shared" si="79"/>
        <v>44005</v>
      </c>
      <c r="H1681" s="10">
        <f t="shared" si="80"/>
        <v>2.0449999999999999</v>
      </c>
    </row>
    <row r="1682" spans="1:8" x14ac:dyDescent="0.2">
      <c r="A1682" s="1">
        <v>33143</v>
      </c>
      <c r="B1682" s="1" t="str">
        <v>2020-06-22</v>
      </c>
      <c r="C1682" s="1">
        <v>1.5</v>
      </c>
      <c r="F1682" s="8">
        <f t="shared" si="78"/>
        <v>33143</v>
      </c>
      <c r="G1682" s="9">
        <f t="shared" si="79"/>
        <v>44004</v>
      </c>
      <c r="H1682" s="10">
        <f t="shared" si="80"/>
        <v>1.5</v>
      </c>
    </row>
    <row r="1683" spans="1:8" x14ac:dyDescent="0.2">
      <c r="A1683" s="1">
        <v>77</v>
      </c>
      <c r="B1683" s="1" t="str">
        <v>2020-06-22</v>
      </c>
      <c r="C1683" s="1">
        <v>1.6287</v>
      </c>
      <c r="F1683" s="8">
        <f t="shared" si="78"/>
        <v>77</v>
      </c>
      <c r="G1683" s="9">
        <f t="shared" si="79"/>
        <v>44004</v>
      </c>
      <c r="H1683" s="10">
        <f t="shared" si="80"/>
        <v>1.6287</v>
      </c>
    </row>
    <row r="1684" spans="1:8" x14ac:dyDescent="0.2">
      <c r="A1684" s="1">
        <v>34</v>
      </c>
      <c r="B1684" s="1" t="str">
        <v>2020-06-22</v>
      </c>
      <c r="C1684" s="1">
        <v>2.2079</v>
      </c>
      <c r="F1684" s="8">
        <f t="shared" si="78"/>
        <v>34</v>
      </c>
      <c r="G1684" s="9">
        <f t="shared" si="79"/>
        <v>44004</v>
      </c>
      <c r="H1684" s="10">
        <f t="shared" si="80"/>
        <v>2.2079</v>
      </c>
    </row>
    <row r="1685" spans="1:8" x14ac:dyDescent="0.2">
      <c r="A1685" s="1">
        <v>10</v>
      </c>
      <c r="B1685" s="1" t="str">
        <v>2020-06-22</v>
      </c>
      <c r="C1685" s="1">
        <v>1.6693</v>
      </c>
      <c r="F1685" s="8">
        <f t="shared" si="78"/>
        <v>10</v>
      </c>
      <c r="G1685" s="9">
        <f t="shared" si="79"/>
        <v>44004</v>
      </c>
      <c r="H1685" s="10">
        <f t="shared" si="80"/>
        <v>1.6693</v>
      </c>
    </row>
    <row r="1686" spans="1:8" x14ac:dyDescent="0.2">
      <c r="A1686" s="1">
        <v>178</v>
      </c>
      <c r="B1686" s="1" t="str">
        <v>2020-06-22</v>
      </c>
      <c r="C1686" s="1">
        <v>1.9734</v>
      </c>
      <c r="F1686" s="8">
        <f t="shared" si="78"/>
        <v>178</v>
      </c>
      <c r="G1686" s="9">
        <f t="shared" si="79"/>
        <v>44004</v>
      </c>
      <c r="H1686" s="10">
        <f t="shared" si="80"/>
        <v>1.9734</v>
      </c>
    </row>
    <row r="1687" spans="1:8" x14ac:dyDescent="0.2">
      <c r="A1687" s="1">
        <v>16</v>
      </c>
      <c r="B1687" s="1" t="str">
        <v>2020-06-19</v>
      </c>
      <c r="C1687" s="1">
        <v>1.3858999999999999</v>
      </c>
      <c r="F1687" s="8">
        <f t="shared" si="78"/>
        <v>16</v>
      </c>
      <c r="G1687" s="9">
        <f t="shared" si="79"/>
        <v>44001</v>
      </c>
      <c r="H1687" s="10">
        <f t="shared" si="80"/>
        <v>1.3858999999999999</v>
      </c>
    </row>
    <row r="1688" spans="1:8" x14ac:dyDescent="0.2">
      <c r="A1688" s="1">
        <v>30350</v>
      </c>
      <c r="B1688" s="1" t="str">
        <v>2020-06-19</v>
      </c>
      <c r="C1688" s="1">
        <v>1.3452999999999999</v>
      </c>
      <c r="F1688" s="8">
        <f t="shared" si="78"/>
        <v>30350</v>
      </c>
      <c r="G1688" s="9">
        <f t="shared" si="79"/>
        <v>44001</v>
      </c>
      <c r="H1688" s="10">
        <f t="shared" si="80"/>
        <v>1.3452999999999999</v>
      </c>
    </row>
    <row r="1689" spans="1:8" x14ac:dyDescent="0.2">
      <c r="A1689" s="1">
        <v>187</v>
      </c>
      <c r="B1689" s="1" t="str">
        <v>2020-06-19</v>
      </c>
      <c r="C1689" s="1">
        <v>1.6592</v>
      </c>
      <c r="F1689" s="8">
        <f t="shared" si="78"/>
        <v>187</v>
      </c>
      <c r="G1689" s="9">
        <f t="shared" si="79"/>
        <v>44001</v>
      </c>
      <c r="H1689" s="10">
        <f t="shared" si="80"/>
        <v>1.6592</v>
      </c>
    </row>
    <row r="1690" spans="1:8" x14ac:dyDescent="0.2">
      <c r="A1690" s="1">
        <v>81</v>
      </c>
      <c r="B1690" s="1" t="str">
        <v>2020-06-19</v>
      </c>
      <c r="C1690" s="1">
        <v>2.004</v>
      </c>
      <c r="F1690" s="8">
        <f t="shared" si="78"/>
        <v>81</v>
      </c>
      <c r="G1690" s="9">
        <f t="shared" si="79"/>
        <v>44001</v>
      </c>
      <c r="H1690" s="10">
        <f t="shared" si="80"/>
        <v>2.004</v>
      </c>
    </row>
    <row r="1691" spans="1:8" x14ac:dyDescent="0.2">
      <c r="A1691" s="1">
        <v>250</v>
      </c>
      <c r="B1691" s="1" t="str">
        <v>2020-06-19</v>
      </c>
      <c r="C1691" s="1">
        <v>1.5875999999999999</v>
      </c>
      <c r="F1691" s="8">
        <f t="shared" si="78"/>
        <v>250</v>
      </c>
      <c r="G1691" s="9">
        <f t="shared" si="79"/>
        <v>44001</v>
      </c>
      <c r="H1691" s="10">
        <f t="shared" si="80"/>
        <v>1.5875999999999999</v>
      </c>
    </row>
    <row r="1692" spans="1:8" x14ac:dyDescent="0.2">
      <c r="A1692" s="1">
        <v>8</v>
      </c>
      <c r="B1692" s="1" t="str">
        <v>2020-06-19</v>
      </c>
      <c r="C1692" s="1">
        <v>2.1674000000000002</v>
      </c>
      <c r="F1692" s="8">
        <f t="shared" si="78"/>
        <v>8</v>
      </c>
      <c r="G1692" s="9">
        <f t="shared" si="79"/>
        <v>44001</v>
      </c>
      <c r="H1692" s="10">
        <f t="shared" si="80"/>
        <v>2.1674000000000002</v>
      </c>
    </row>
    <row r="1693" spans="1:8" x14ac:dyDescent="0.2">
      <c r="A1693" s="1">
        <v>139</v>
      </c>
      <c r="B1693" s="1" t="str">
        <v>2020-06-19</v>
      </c>
      <c r="C1693" s="1">
        <v>1.4972000000000001</v>
      </c>
      <c r="F1693" s="8">
        <f t="shared" si="78"/>
        <v>139</v>
      </c>
      <c r="G1693" s="9">
        <f t="shared" si="79"/>
        <v>44001</v>
      </c>
      <c r="H1693" s="10">
        <f t="shared" si="80"/>
        <v>1.4972000000000001</v>
      </c>
    </row>
    <row r="1694" spans="1:8" x14ac:dyDescent="0.2">
      <c r="A1694" s="1">
        <v>32081</v>
      </c>
      <c r="B1694" s="1" t="str">
        <v>2020-06-19</v>
      </c>
      <c r="C1694" s="1">
        <v>0.82020000000000004</v>
      </c>
      <c r="F1694" s="8">
        <f t="shared" si="78"/>
        <v>32081</v>
      </c>
      <c r="G1694" s="9">
        <f t="shared" si="79"/>
        <v>44001</v>
      </c>
      <c r="H1694" s="10">
        <f t="shared" si="80"/>
        <v>0.82020000000000004</v>
      </c>
    </row>
    <row r="1695" spans="1:8" x14ac:dyDescent="0.2">
      <c r="A1695" s="1">
        <v>32724</v>
      </c>
      <c r="B1695" s="1" t="str">
        <v>2020-06-19</v>
      </c>
      <c r="C1695" s="1">
        <v>1.4870000000000001</v>
      </c>
      <c r="F1695" s="8">
        <f t="shared" si="78"/>
        <v>32724</v>
      </c>
      <c r="G1695" s="9">
        <f t="shared" si="79"/>
        <v>44001</v>
      </c>
      <c r="H1695" s="10">
        <f t="shared" si="80"/>
        <v>1.4870000000000001</v>
      </c>
    </row>
    <row r="1696" spans="1:8" x14ac:dyDescent="0.2">
      <c r="A1696" s="1">
        <v>32222</v>
      </c>
      <c r="B1696" s="1" t="str">
        <v>2020-06-19</v>
      </c>
      <c r="C1696" s="1">
        <v>1.6285000000000001</v>
      </c>
      <c r="F1696" s="8">
        <f t="shared" si="78"/>
        <v>32222</v>
      </c>
      <c r="G1696" s="9">
        <f t="shared" si="79"/>
        <v>44001</v>
      </c>
      <c r="H1696" s="10">
        <f t="shared" si="80"/>
        <v>1.6285000000000001</v>
      </c>
    </row>
    <row r="1697" spans="1:8" x14ac:dyDescent="0.2">
      <c r="A1697" s="1">
        <v>13250</v>
      </c>
      <c r="B1697" s="1" t="str">
        <v>2020-06-19</v>
      </c>
      <c r="C1697" s="1">
        <v>1.7298</v>
      </c>
      <c r="F1697" s="8">
        <f t="shared" si="78"/>
        <v>13250</v>
      </c>
      <c r="G1697" s="9">
        <f t="shared" si="79"/>
        <v>44001</v>
      </c>
      <c r="H1697" s="10">
        <f t="shared" si="80"/>
        <v>1.7298</v>
      </c>
    </row>
    <row r="1698" spans="1:8" x14ac:dyDescent="0.2">
      <c r="A1698" s="1">
        <v>101</v>
      </c>
      <c r="B1698" s="1" t="str">
        <v>2020-06-19</v>
      </c>
      <c r="C1698" s="1">
        <v>1.7402</v>
      </c>
      <c r="F1698" s="8">
        <f t="shared" si="78"/>
        <v>101</v>
      </c>
      <c r="G1698" s="9">
        <f t="shared" si="79"/>
        <v>44001</v>
      </c>
      <c r="H1698" s="10">
        <f t="shared" si="80"/>
        <v>1.7402</v>
      </c>
    </row>
    <row r="1699" spans="1:8" x14ac:dyDescent="0.2">
      <c r="A1699" s="1">
        <v>32200</v>
      </c>
      <c r="B1699" s="1" t="str">
        <v>2020-06-19</v>
      </c>
      <c r="C1699" s="1">
        <v>1.3958999999999999</v>
      </c>
      <c r="F1699" s="8">
        <f t="shared" si="78"/>
        <v>32200</v>
      </c>
      <c r="G1699" s="9">
        <f t="shared" si="79"/>
        <v>44001</v>
      </c>
      <c r="H1699" s="10">
        <f t="shared" si="80"/>
        <v>1.3958999999999999</v>
      </c>
    </row>
    <row r="1700" spans="1:8" x14ac:dyDescent="0.2">
      <c r="A1700" s="1">
        <v>49</v>
      </c>
      <c r="B1700" s="1" t="str">
        <v>2020-06-19</v>
      </c>
      <c r="C1700" s="1">
        <v>1.002</v>
      </c>
      <c r="F1700" s="8">
        <f t="shared" si="78"/>
        <v>49</v>
      </c>
      <c r="G1700" s="9">
        <f t="shared" si="79"/>
        <v>44001</v>
      </c>
      <c r="H1700" s="10">
        <f t="shared" si="80"/>
        <v>1.002</v>
      </c>
    </row>
    <row r="1701" spans="1:8" x14ac:dyDescent="0.2">
      <c r="A1701" s="1">
        <v>53</v>
      </c>
      <c r="B1701" s="1" t="str">
        <v>2020-06-19</v>
      </c>
      <c r="C1701" s="1">
        <v>1.4769000000000001</v>
      </c>
      <c r="F1701" s="8">
        <f t="shared" si="78"/>
        <v>53</v>
      </c>
      <c r="G1701" s="9">
        <f t="shared" si="79"/>
        <v>44001</v>
      </c>
      <c r="H1701" s="10">
        <f t="shared" si="80"/>
        <v>1.4769000000000001</v>
      </c>
    </row>
    <row r="1702" spans="1:8" x14ac:dyDescent="0.2">
      <c r="A1702" s="1">
        <v>33125</v>
      </c>
      <c r="B1702" s="1" t="str">
        <v>2020-06-18</v>
      </c>
      <c r="C1702" s="1">
        <v>2.0246</v>
      </c>
      <c r="F1702" s="8">
        <f t="shared" si="78"/>
        <v>33125</v>
      </c>
      <c r="G1702" s="9">
        <f t="shared" si="79"/>
        <v>44000</v>
      </c>
      <c r="H1702" s="10">
        <f t="shared" si="80"/>
        <v>2.0246</v>
      </c>
    </row>
    <row r="1703" spans="1:8" x14ac:dyDescent="0.2">
      <c r="A1703" s="1">
        <v>32</v>
      </c>
      <c r="B1703" s="1" t="str">
        <v>2020-06-18</v>
      </c>
      <c r="C1703" s="1">
        <v>1.7050000000000001</v>
      </c>
      <c r="F1703" s="8">
        <f t="shared" si="78"/>
        <v>32</v>
      </c>
      <c r="G1703" s="9">
        <f t="shared" si="79"/>
        <v>44000</v>
      </c>
      <c r="H1703" s="10">
        <f t="shared" si="80"/>
        <v>1.7050000000000001</v>
      </c>
    </row>
    <row r="1704" spans="1:8" x14ac:dyDescent="0.2">
      <c r="A1704" s="1">
        <v>33103</v>
      </c>
      <c r="B1704" s="1" t="str">
        <v>2020-06-29</v>
      </c>
      <c r="C1704" s="1">
        <v>2.0956999999999999</v>
      </c>
      <c r="F1704" s="8">
        <f t="shared" si="78"/>
        <v>33103</v>
      </c>
      <c r="G1704" s="9">
        <f t="shared" si="79"/>
        <v>44011</v>
      </c>
      <c r="H1704" s="10">
        <f t="shared" si="80"/>
        <v>2.0956999999999999</v>
      </c>
    </row>
    <row r="1705" spans="1:8" x14ac:dyDescent="0.2">
      <c r="A1705" s="1">
        <v>67</v>
      </c>
      <c r="B1705" s="1" t="str">
        <v>2020-06-29</v>
      </c>
      <c r="C1705" s="1">
        <v>1.8927</v>
      </c>
      <c r="F1705" s="8">
        <f t="shared" si="78"/>
        <v>67</v>
      </c>
      <c r="G1705" s="9">
        <f t="shared" si="79"/>
        <v>44011</v>
      </c>
      <c r="H1705" s="10">
        <f t="shared" si="80"/>
        <v>1.8927</v>
      </c>
    </row>
    <row r="1706" spans="1:8" x14ac:dyDescent="0.2">
      <c r="A1706" s="1">
        <v>32582</v>
      </c>
      <c r="B1706" s="1" t="str">
        <v>2020-06-29</v>
      </c>
      <c r="C1706" s="1">
        <v>1.5779000000000001</v>
      </c>
      <c r="F1706" s="8">
        <f t="shared" si="78"/>
        <v>32582</v>
      </c>
      <c r="G1706" s="9">
        <f t="shared" si="79"/>
        <v>44011</v>
      </c>
      <c r="H1706" s="10">
        <f t="shared" si="80"/>
        <v>1.5779000000000001</v>
      </c>
    </row>
    <row r="1707" spans="1:8" x14ac:dyDescent="0.2">
      <c r="A1707" s="1">
        <v>32421</v>
      </c>
      <c r="B1707" s="1" t="str">
        <v>2020-06-29</v>
      </c>
      <c r="C1707" s="1">
        <v>1.7803</v>
      </c>
      <c r="F1707" s="8">
        <f t="shared" si="78"/>
        <v>32421</v>
      </c>
      <c r="G1707" s="9">
        <f t="shared" si="79"/>
        <v>44011</v>
      </c>
      <c r="H1707" s="10">
        <f t="shared" si="80"/>
        <v>1.7803</v>
      </c>
    </row>
    <row r="1708" spans="1:8" x14ac:dyDescent="0.2">
      <c r="A1708" s="1">
        <v>32400</v>
      </c>
      <c r="B1708" s="1" t="str">
        <v>2020-06-29</v>
      </c>
      <c r="C1708" s="1">
        <v>1.79</v>
      </c>
      <c r="F1708" s="8">
        <f t="shared" si="78"/>
        <v>32400</v>
      </c>
      <c r="G1708" s="9">
        <f t="shared" si="79"/>
        <v>44011</v>
      </c>
      <c r="H1708" s="10">
        <f t="shared" si="80"/>
        <v>1.79</v>
      </c>
    </row>
    <row r="1709" spans="1:8" x14ac:dyDescent="0.2">
      <c r="A1709" s="1">
        <v>32963</v>
      </c>
      <c r="B1709" s="1" t="str">
        <v>2020-06-29</v>
      </c>
      <c r="C1709" s="1">
        <v>1.5071000000000001</v>
      </c>
      <c r="F1709" s="8">
        <f t="shared" si="78"/>
        <v>32963</v>
      </c>
      <c r="G1709" s="9">
        <f t="shared" si="79"/>
        <v>44011</v>
      </c>
      <c r="H1709" s="10">
        <f t="shared" si="80"/>
        <v>1.5071000000000001</v>
      </c>
    </row>
    <row r="1710" spans="1:8" x14ac:dyDescent="0.2">
      <c r="A1710" s="1">
        <v>178</v>
      </c>
      <c r="B1710" s="1" t="str">
        <v>2020-06-29</v>
      </c>
      <c r="C1710" s="1">
        <v>1.9158999999999999</v>
      </c>
      <c r="F1710" s="8">
        <f t="shared" si="78"/>
        <v>178</v>
      </c>
      <c r="G1710" s="9">
        <f t="shared" si="79"/>
        <v>44011</v>
      </c>
      <c r="H1710" s="10">
        <f t="shared" si="80"/>
        <v>1.9158999999999999</v>
      </c>
    </row>
    <row r="1711" spans="1:8" x14ac:dyDescent="0.2">
      <c r="A1711" s="1">
        <v>32260</v>
      </c>
      <c r="B1711" s="1" t="str">
        <v>2020-06-29</v>
      </c>
      <c r="C1711" s="1">
        <v>1.7909999999999999</v>
      </c>
      <c r="F1711" s="8">
        <f t="shared" si="78"/>
        <v>32260</v>
      </c>
      <c r="G1711" s="9">
        <f t="shared" si="79"/>
        <v>44011</v>
      </c>
      <c r="H1711" s="10">
        <f t="shared" si="80"/>
        <v>1.7909999999999999</v>
      </c>
    </row>
    <row r="1712" spans="1:8" x14ac:dyDescent="0.2">
      <c r="A1712" s="1">
        <v>187</v>
      </c>
      <c r="B1712" s="1" t="str">
        <v>2020-07-01</v>
      </c>
      <c r="C1712" s="1">
        <v>1.6289</v>
      </c>
      <c r="F1712" s="8">
        <f t="shared" si="78"/>
        <v>187</v>
      </c>
      <c r="G1712" s="9">
        <f t="shared" si="79"/>
        <v>44013</v>
      </c>
      <c r="H1712" s="10">
        <f t="shared" si="80"/>
        <v>1.6289</v>
      </c>
    </row>
    <row r="1713" spans="1:8" x14ac:dyDescent="0.2">
      <c r="A1713" s="1">
        <v>115</v>
      </c>
      <c r="B1713" s="1" t="str">
        <v>2020-07-01</v>
      </c>
      <c r="C1713" s="1">
        <v>1.8115000000000001</v>
      </c>
      <c r="F1713" s="8">
        <f t="shared" si="78"/>
        <v>115</v>
      </c>
      <c r="G1713" s="9">
        <f t="shared" si="79"/>
        <v>44013</v>
      </c>
      <c r="H1713" s="10">
        <f t="shared" si="80"/>
        <v>1.8115000000000001</v>
      </c>
    </row>
    <row r="1714" spans="1:8" x14ac:dyDescent="0.2">
      <c r="A1714" s="1">
        <v>94</v>
      </c>
      <c r="B1714" s="1" t="str">
        <v>2020-07-01</v>
      </c>
      <c r="C1714" s="1">
        <v>1.4512</v>
      </c>
      <c r="F1714" s="8">
        <f t="shared" si="78"/>
        <v>94</v>
      </c>
      <c r="G1714" s="9">
        <f t="shared" si="79"/>
        <v>44013</v>
      </c>
      <c r="H1714" s="10">
        <f t="shared" si="80"/>
        <v>1.4512</v>
      </c>
    </row>
    <row r="1715" spans="1:8" x14ac:dyDescent="0.2">
      <c r="A1715" s="1">
        <v>32200</v>
      </c>
      <c r="B1715" s="1" t="str">
        <v>2020-07-01</v>
      </c>
      <c r="C1715" s="1">
        <v>1.4258999999999999</v>
      </c>
      <c r="F1715" s="8">
        <f t="shared" si="78"/>
        <v>32200</v>
      </c>
      <c r="G1715" s="9">
        <f t="shared" si="79"/>
        <v>44013</v>
      </c>
      <c r="H1715" s="10">
        <f t="shared" si="80"/>
        <v>1.4258999999999999</v>
      </c>
    </row>
    <row r="1716" spans="1:8" x14ac:dyDescent="0.2">
      <c r="A1716" s="1">
        <v>33183</v>
      </c>
      <c r="B1716" s="1" t="str">
        <v>2020-07-01</v>
      </c>
      <c r="C1716" s="1">
        <v>1.4818</v>
      </c>
      <c r="F1716" s="8">
        <f t="shared" si="78"/>
        <v>33183</v>
      </c>
      <c r="G1716" s="9">
        <f t="shared" si="79"/>
        <v>44013</v>
      </c>
      <c r="H1716" s="10">
        <f t="shared" si="80"/>
        <v>1.4818</v>
      </c>
    </row>
    <row r="1717" spans="1:8" x14ac:dyDescent="0.2">
      <c r="A1717" s="1">
        <v>32480</v>
      </c>
      <c r="B1717" s="1" t="str">
        <v>2020-07-01</v>
      </c>
      <c r="C1717" s="1">
        <v>1.5885</v>
      </c>
      <c r="F1717" s="8">
        <f t="shared" si="78"/>
        <v>32480</v>
      </c>
      <c r="G1717" s="9">
        <f t="shared" si="79"/>
        <v>44013</v>
      </c>
      <c r="H1717" s="10">
        <f t="shared" si="80"/>
        <v>1.5885</v>
      </c>
    </row>
    <row r="1718" spans="1:8" x14ac:dyDescent="0.2">
      <c r="A1718" s="1">
        <v>77</v>
      </c>
      <c r="B1718" s="1" t="str">
        <v>2020-07-01</v>
      </c>
      <c r="C1718" s="1">
        <v>1.6287</v>
      </c>
      <c r="F1718" s="8">
        <f t="shared" si="78"/>
        <v>77</v>
      </c>
      <c r="G1718" s="9">
        <f t="shared" si="79"/>
        <v>44013</v>
      </c>
      <c r="H1718" s="10">
        <f t="shared" si="80"/>
        <v>1.6287</v>
      </c>
    </row>
    <row r="1719" spans="1:8" x14ac:dyDescent="0.2">
      <c r="A1719" s="1">
        <v>33130</v>
      </c>
      <c r="B1719" s="1" t="str">
        <v>2020-07-01</v>
      </c>
      <c r="C1719" s="1">
        <v>1.6487000000000001</v>
      </c>
      <c r="F1719" s="8">
        <f t="shared" si="78"/>
        <v>33130</v>
      </c>
      <c r="G1719" s="9">
        <f t="shared" si="79"/>
        <v>44013</v>
      </c>
      <c r="H1719" s="10">
        <f t="shared" si="80"/>
        <v>1.6487000000000001</v>
      </c>
    </row>
    <row r="1720" spans="1:8" x14ac:dyDescent="0.2">
      <c r="A1720" s="1">
        <v>139</v>
      </c>
      <c r="B1720" s="1" t="str">
        <v>2020-06-30</v>
      </c>
      <c r="C1720" s="1">
        <v>1.6084000000000001</v>
      </c>
      <c r="F1720" s="8">
        <f t="shared" si="78"/>
        <v>139</v>
      </c>
      <c r="G1720" s="9">
        <f t="shared" si="79"/>
        <v>44012</v>
      </c>
      <c r="H1720" s="10">
        <f t="shared" si="80"/>
        <v>1.6084000000000001</v>
      </c>
    </row>
    <row r="1721" spans="1:8" x14ac:dyDescent="0.2">
      <c r="A1721" s="1">
        <v>34</v>
      </c>
      <c r="B1721" s="1" t="str">
        <v>2020-06-30</v>
      </c>
      <c r="C1721" s="1">
        <v>2.2793000000000001</v>
      </c>
      <c r="F1721" s="8">
        <f t="shared" si="78"/>
        <v>34</v>
      </c>
      <c r="G1721" s="9">
        <f t="shared" si="79"/>
        <v>44012</v>
      </c>
      <c r="H1721" s="10">
        <f t="shared" si="80"/>
        <v>2.2793000000000001</v>
      </c>
    </row>
    <row r="1722" spans="1:8" x14ac:dyDescent="0.2">
      <c r="A1722" s="1">
        <v>83</v>
      </c>
      <c r="B1722" s="1" t="str">
        <v>2020-06-30</v>
      </c>
      <c r="C1722" s="1">
        <v>1.7199</v>
      </c>
      <c r="F1722" s="8">
        <f t="shared" si="78"/>
        <v>83</v>
      </c>
      <c r="G1722" s="9">
        <f t="shared" si="79"/>
        <v>44012</v>
      </c>
      <c r="H1722" s="10">
        <f t="shared" si="80"/>
        <v>1.7199</v>
      </c>
    </row>
    <row r="1723" spans="1:8" x14ac:dyDescent="0.2">
      <c r="A1723" s="1">
        <v>32440</v>
      </c>
      <c r="B1723" s="1" t="str">
        <v>2020-06-30</v>
      </c>
      <c r="C1723" s="1">
        <v>2.0247999999999999</v>
      </c>
      <c r="F1723" s="8">
        <f t="shared" si="78"/>
        <v>32440</v>
      </c>
      <c r="G1723" s="9">
        <f t="shared" si="79"/>
        <v>44012</v>
      </c>
      <c r="H1723" s="10">
        <f t="shared" si="80"/>
        <v>2.0247999999999999</v>
      </c>
    </row>
    <row r="1724" spans="1:8" x14ac:dyDescent="0.2">
      <c r="A1724" s="1">
        <v>139</v>
      </c>
      <c r="B1724" s="1" t="str">
        <v>2020-07-02</v>
      </c>
      <c r="C1724" s="1">
        <v>1.6084000000000001</v>
      </c>
      <c r="F1724" s="8">
        <f t="shared" si="78"/>
        <v>139</v>
      </c>
      <c r="G1724" s="9">
        <f t="shared" si="79"/>
        <v>44014</v>
      </c>
      <c r="H1724" s="10">
        <f t="shared" si="80"/>
        <v>1.6084000000000001</v>
      </c>
    </row>
    <row r="1725" spans="1:8" x14ac:dyDescent="0.2">
      <c r="A1725" s="1">
        <v>32401</v>
      </c>
      <c r="B1725" s="1" t="str">
        <v>2020-07-02</v>
      </c>
      <c r="C1725" s="1">
        <v>1.6186</v>
      </c>
      <c r="F1725" s="8">
        <f t="shared" si="78"/>
        <v>32401</v>
      </c>
      <c r="G1725" s="9">
        <f t="shared" si="79"/>
        <v>44014</v>
      </c>
      <c r="H1725" s="10">
        <f t="shared" si="80"/>
        <v>1.6186</v>
      </c>
    </row>
    <row r="1726" spans="1:8" x14ac:dyDescent="0.2">
      <c r="A1726" s="1">
        <v>32560</v>
      </c>
      <c r="B1726" s="1" t="str">
        <v>2020-07-02</v>
      </c>
      <c r="C1726" s="1">
        <v>1.5983000000000001</v>
      </c>
      <c r="F1726" s="8">
        <f t="shared" si="78"/>
        <v>32560</v>
      </c>
      <c r="G1726" s="9">
        <f t="shared" si="79"/>
        <v>44014</v>
      </c>
      <c r="H1726" s="10">
        <f t="shared" si="80"/>
        <v>1.5983000000000001</v>
      </c>
    </row>
    <row r="1727" spans="1:8" x14ac:dyDescent="0.2">
      <c r="A1727" s="1">
        <v>32923</v>
      </c>
      <c r="B1727" s="1" t="str">
        <v>2020-07-02</v>
      </c>
      <c r="C1727" s="1">
        <v>1.964</v>
      </c>
      <c r="F1727" s="8">
        <f t="shared" si="78"/>
        <v>32923</v>
      </c>
      <c r="G1727" s="9">
        <f t="shared" si="79"/>
        <v>44014</v>
      </c>
      <c r="H1727" s="10">
        <f t="shared" si="80"/>
        <v>1.964</v>
      </c>
    </row>
    <row r="1728" spans="1:8" x14ac:dyDescent="0.2">
      <c r="A1728" s="1">
        <v>32280</v>
      </c>
      <c r="B1728" s="1" t="str">
        <v>2020-07-02</v>
      </c>
      <c r="C1728" s="1">
        <v>1.8521000000000001</v>
      </c>
      <c r="F1728" s="8">
        <f t="shared" si="78"/>
        <v>32280</v>
      </c>
      <c r="G1728" s="9">
        <f t="shared" si="79"/>
        <v>44014</v>
      </c>
      <c r="H1728" s="10">
        <f t="shared" si="80"/>
        <v>1.8521000000000001</v>
      </c>
    </row>
    <row r="1729" spans="1:8" x14ac:dyDescent="0.2">
      <c r="A1729" s="1">
        <v>33203</v>
      </c>
      <c r="B1729" s="1" t="str">
        <v>2020-07-03</v>
      </c>
      <c r="C1729" s="1">
        <v>1.335</v>
      </c>
      <c r="F1729" s="8">
        <f t="shared" si="78"/>
        <v>33203</v>
      </c>
      <c r="G1729" s="9">
        <f t="shared" si="79"/>
        <v>44015</v>
      </c>
      <c r="H1729" s="10">
        <f t="shared" si="80"/>
        <v>1.335</v>
      </c>
    </row>
    <row r="1730" spans="1:8" x14ac:dyDescent="0.2">
      <c r="A1730" s="1">
        <v>16</v>
      </c>
      <c r="B1730" s="1" t="str">
        <v>2020-07-03</v>
      </c>
      <c r="C1730" s="1">
        <v>1.3858999999999999</v>
      </c>
      <c r="F1730" s="8">
        <f t="shared" si="78"/>
        <v>16</v>
      </c>
      <c r="G1730" s="9">
        <f t="shared" si="79"/>
        <v>44015</v>
      </c>
      <c r="H1730" s="10">
        <f t="shared" si="80"/>
        <v>1.3858999999999999</v>
      </c>
    </row>
    <row r="1731" spans="1:8" x14ac:dyDescent="0.2">
      <c r="A1731" s="1">
        <v>67</v>
      </c>
      <c r="B1731" s="1" t="str">
        <v>2020-07-03</v>
      </c>
      <c r="C1731" s="1">
        <v>1.7604</v>
      </c>
      <c r="F1731" s="8">
        <f t="shared" si="78"/>
        <v>67</v>
      </c>
      <c r="G1731" s="9">
        <f t="shared" si="79"/>
        <v>44015</v>
      </c>
      <c r="H1731" s="10">
        <f t="shared" si="80"/>
        <v>1.7604</v>
      </c>
    </row>
    <row r="1732" spans="1:8" x14ac:dyDescent="0.2">
      <c r="A1732" s="1">
        <v>32180</v>
      </c>
      <c r="B1732" s="1" t="str">
        <v>2020-07-03</v>
      </c>
      <c r="C1732" s="1">
        <v>1.6037999999999999</v>
      </c>
      <c r="F1732" s="8">
        <f t="shared" si="78"/>
        <v>32180</v>
      </c>
      <c r="G1732" s="9">
        <f t="shared" si="79"/>
        <v>44015</v>
      </c>
      <c r="H1732" s="10">
        <f t="shared" si="80"/>
        <v>1.6037999999999999</v>
      </c>
    </row>
    <row r="1733" spans="1:8" x14ac:dyDescent="0.2">
      <c r="A1733" s="1">
        <v>32420</v>
      </c>
      <c r="B1733" s="1" t="str">
        <v>2020-07-03</v>
      </c>
      <c r="C1733" s="1">
        <v>1.8980999999999999</v>
      </c>
      <c r="F1733" s="8">
        <f t="shared" si="78"/>
        <v>32420</v>
      </c>
      <c r="G1733" s="9">
        <f t="shared" si="79"/>
        <v>44015</v>
      </c>
      <c r="H1733" s="10">
        <f t="shared" si="80"/>
        <v>1.8980999999999999</v>
      </c>
    </row>
    <row r="1734" spans="1:8" x14ac:dyDescent="0.2">
      <c r="A1734" s="1">
        <v>24</v>
      </c>
      <c r="B1734" s="1" t="str">
        <v>2020-07-03</v>
      </c>
      <c r="C1734" s="1">
        <v>1.9029</v>
      </c>
      <c r="F1734" s="8">
        <f t="shared" si="78"/>
        <v>24</v>
      </c>
      <c r="G1734" s="9">
        <f t="shared" si="79"/>
        <v>44015</v>
      </c>
      <c r="H1734" s="10">
        <f t="shared" si="80"/>
        <v>1.9029</v>
      </c>
    </row>
    <row r="1735" spans="1:8" x14ac:dyDescent="0.2">
      <c r="A1735" s="1">
        <v>81</v>
      </c>
      <c r="B1735" s="1" t="str">
        <v>2020-07-03</v>
      </c>
      <c r="C1735" s="1">
        <v>2.0449999999999999</v>
      </c>
      <c r="F1735" s="8">
        <f t="shared" si="78"/>
        <v>81</v>
      </c>
      <c r="G1735" s="9">
        <f t="shared" si="79"/>
        <v>44015</v>
      </c>
      <c r="H1735" s="10">
        <f t="shared" si="80"/>
        <v>2.0449999999999999</v>
      </c>
    </row>
    <row r="1736" spans="1:8" x14ac:dyDescent="0.2">
      <c r="A1736" s="1">
        <v>32340</v>
      </c>
      <c r="B1736" s="1" t="str">
        <v>2020-07-03</v>
      </c>
      <c r="C1736" s="1">
        <v>1.6689000000000001</v>
      </c>
      <c r="F1736" s="8">
        <f t="shared" si="78"/>
        <v>32340</v>
      </c>
      <c r="G1736" s="9">
        <f t="shared" si="79"/>
        <v>44015</v>
      </c>
      <c r="H1736" s="10">
        <f t="shared" si="80"/>
        <v>1.6689000000000001</v>
      </c>
    </row>
    <row r="1737" spans="1:8" x14ac:dyDescent="0.2">
      <c r="A1737" s="1">
        <v>32</v>
      </c>
      <c r="B1737" s="1" t="str">
        <v>2020-07-03</v>
      </c>
      <c r="C1737" s="1">
        <v>1.7806999999999999</v>
      </c>
      <c r="F1737" s="8">
        <f t="shared" ref="F1737:F1800" si="81">A1737</f>
        <v>32</v>
      </c>
      <c r="G1737" s="9">
        <f t="shared" ref="G1737:G1800" si="82">DATE(LEFT(B1737,4),MID(B1737,6,2),RIGHT(B1737,2))</f>
        <v>44015</v>
      </c>
      <c r="H1737" s="10">
        <f t="shared" ref="H1737:H1800" si="83">C1737</f>
        <v>1.7806999999999999</v>
      </c>
    </row>
    <row r="1738" spans="1:8" x14ac:dyDescent="0.2">
      <c r="A1738" s="1">
        <v>32260</v>
      </c>
      <c r="B1738" s="1" t="str">
        <v>2020-07-03</v>
      </c>
      <c r="C1738" s="1">
        <v>1.7909999999999999</v>
      </c>
      <c r="F1738" s="8">
        <f t="shared" si="81"/>
        <v>32260</v>
      </c>
      <c r="G1738" s="9">
        <f t="shared" si="82"/>
        <v>44015</v>
      </c>
      <c r="H1738" s="10">
        <f t="shared" si="83"/>
        <v>1.7909999999999999</v>
      </c>
    </row>
    <row r="1739" spans="1:8" x14ac:dyDescent="0.2">
      <c r="A1739" s="1">
        <v>32521</v>
      </c>
      <c r="B1739" s="1" t="str">
        <v>2020-07-03</v>
      </c>
      <c r="C1739" s="1">
        <v>1.9639</v>
      </c>
      <c r="F1739" s="8">
        <f t="shared" si="81"/>
        <v>32521</v>
      </c>
      <c r="G1739" s="9">
        <f t="shared" si="82"/>
        <v>44015</v>
      </c>
      <c r="H1739" s="10">
        <f t="shared" si="83"/>
        <v>1.9639</v>
      </c>
    </row>
    <row r="1740" spans="1:8" x14ac:dyDescent="0.2">
      <c r="A1740" s="1">
        <v>150</v>
      </c>
      <c r="B1740" s="1" t="str">
        <v>2020-07-03</v>
      </c>
      <c r="C1740" s="1">
        <v>1.4066000000000001</v>
      </c>
      <c r="F1740" s="8">
        <f t="shared" si="81"/>
        <v>150</v>
      </c>
      <c r="G1740" s="9">
        <f t="shared" si="82"/>
        <v>44015</v>
      </c>
      <c r="H1740" s="10">
        <f t="shared" si="83"/>
        <v>1.4066000000000001</v>
      </c>
    </row>
    <row r="1741" spans="1:8" x14ac:dyDescent="0.2">
      <c r="A1741" s="1">
        <v>13250</v>
      </c>
      <c r="B1741" s="1" t="str">
        <v>2020-07-03</v>
      </c>
      <c r="C1741" s="1">
        <v>1.5883</v>
      </c>
      <c r="F1741" s="8">
        <f t="shared" si="81"/>
        <v>13250</v>
      </c>
      <c r="G1741" s="9">
        <f t="shared" si="82"/>
        <v>44015</v>
      </c>
      <c r="H1741" s="10">
        <f t="shared" si="83"/>
        <v>1.5883</v>
      </c>
    </row>
    <row r="1742" spans="1:8" x14ac:dyDescent="0.2">
      <c r="A1742" s="1">
        <v>187</v>
      </c>
      <c r="B1742" s="1" t="str">
        <v>2020-07-03</v>
      </c>
      <c r="C1742" s="1">
        <v>1.6289</v>
      </c>
      <c r="F1742" s="8">
        <f t="shared" si="81"/>
        <v>187</v>
      </c>
      <c r="G1742" s="9">
        <f t="shared" si="82"/>
        <v>44015</v>
      </c>
      <c r="H1742" s="10">
        <f t="shared" si="83"/>
        <v>1.6289</v>
      </c>
    </row>
    <row r="1743" spans="1:8" x14ac:dyDescent="0.2">
      <c r="A1743" s="1">
        <v>10</v>
      </c>
      <c r="B1743" s="1" t="str">
        <v>2020-07-03</v>
      </c>
      <c r="C1743" s="1">
        <v>1.7201</v>
      </c>
      <c r="F1743" s="8">
        <f t="shared" si="81"/>
        <v>10</v>
      </c>
      <c r="G1743" s="9">
        <f t="shared" si="82"/>
        <v>44015</v>
      </c>
      <c r="H1743" s="10">
        <f t="shared" si="83"/>
        <v>1.7201</v>
      </c>
    </row>
    <row r="1744" spans="1:8" x14ac:dyDescent="0.2">
      <c r="A1744" s="1">
        <v>101</v>
      </c>
      <c r="B1744" s="1" t="str">
        <v>2020-07-06</v>
      </c>
      <c r="C1744" s="1">
        <v>1.7097</v>
      </c>
      <c r="F1744" s="8">
        <f t="shared" si="81"/>
        <v>101</v>
      </c>
      <c r="G1744" s="9">
        <f t="shared" si="82"/>
        <v>44018</v>
      </c>
      <c r="H1744" s="10">
        <f t="shared" si="83"/>
        <v>1.7097</v>
      </c>
    </row>
    <row r="1745" spans="1:8" x14ac:dyDescent="0.2">
      <c r="A1745" s="1">
        <v>33063</v>
      </c>
      <c r="B1745" s="1" t="str">
        <v>2020-07-06</v>
      </c>
      <c r="C1745" s="1">
        <v>2.073</v>
      </c>
      <c r="F1745" s="8">
        <f t="shared" si="81"/>
        <v>33063</v>
      </c>
      <c r="G1745" s="9">
        <f t="shared" si="82"/>
        <v>44018</v>
      </c>
      <c r="H1745" s="10">
        <f t="shared" si="83"/>
        <v>2.073</v>
      </c>
    </row>
    <row r="1746" spans="1:8" x14ac:dyDescent="0.2">
      <c r="A1746" s="1">
        <v>33164</v>
      </c>
      <c r="B1746" s="1" t="str">
        <v>2020-07-06</v>
      </c>
      <c r="C1746" s="1">
        <v>1.7201</v>
      </c>
      <c r="F1746" s="8">
        <f t="shared" si="81"/>
        <v>33164</v>
      </c>
      <c r="G1746" s="9">
        <f t="shared" si="82"/>
        <v>44018</v>
      </c>
      <c r="H1746" s="10">
        <f t="shared" si="83"/>
        <v>1.7201</v>
      </c>
    </row>
    <row r="1747" spans="1:8" x14ac:dyDescent="0.2">
      <c r="A1747" s="1">
        <v>34</v>
      </c>
      <c r="B1747" s="1" t="str">
        <v>2020-07-06</v>
      </c>
      <c r="C1747" s="1">
        <v>2.3302999999999998</v>
      </c>
      <c r="F1747" s="8">
        <f t="shared" si="81"/>
        <v>34</v>
      </c>
      <c r="G1747" s="9">
        <f t="shared" si="82"/>
        <v>44018</v>
      </c>
      <c r="H1747" s="10">
        <f t="shared" si="83"/>
        <v>2.3302999999999998</v>
      </c>
    </row>
    <row r="1748" spans="1:8" x14ac:dyDescent="0.2">
      <c r="A1748" s="1">
        <v>137</v>
      </c>
      <c r="B1748" s="1" t="str">
        <v>2020-07-06</v>
      </c>
      <c r="C1748" s="1">
        <v>2.1877</v>
      </c>
      <c r="F1748" s="8">
        <f t="shared" si="81"/>
        <v>137</v>
      </c>
      <c r="G1748" s="9">
        <f t="shared" si="82"/>
        <v>44018</v>
      </c>
      <c r="H1748" s="10">
        <f t="shared" si="83"/>
        <v>2.1877</v>
      </c>
    </row>
    <row r="1749" spans="1:8" x14ac:dyDescent="0.2">
      <c r="A1749" s="1">
        <v>157</v>
      </c>
      <c r="B1749" s="1" t="str">
        <v>2020-07-06</v>
      </c>
      <c r="C1749" s="1">
        <v>1.6</v>
      </c>
      <c r="F1749" s="8">
        <f t="shared" si="81"/>
        <v>157</v>
      </c>
      <c r="G1749" s="9">
        <f t="shared" si="82"/>
        <v>44018</v>
      </c>
      <c r="H1749" s="10">
        <f t="shared" si="83"/>
        <v>1.6</v>
      </c>
    </row>
    <row r="1750" spans="1:8" x14ac:dyDescent="0.2">
      <c r="A1750" s="1">
        <v>28</v>
      </c>
      <c r="B1750" s="1" t="str">
        <v>2020-07-06</v>
      </c>
      <c r="C1750" s="1">
        <v>1.5165999999999999</v>
      </c>
      <c r="F1750" s="8">
        <f t="shared" si="81"/>
        <v>28</v>
      </c>
      <c r="G1750" s="9">
        <f t="shared" si="82"/>
        <v>44018</v>
      </c>
      <c r="H1750" s="10">
        <f t="shared" si="83"/>
        <v>1.5165999999999999</v>
      </c>
    </row>
    <row r="1751" spans="1:8" x14ac:dyDescent="0.2">
      <c r="A1751" s="1">
        <v>32963</v>
      </c>
      <c r="B1751" s="1" t="str">
        <v>2020-07-06</v>
      </c>
      <c r="C1751" s="1">
        <v>1.5476000000000001</v>
      </c>
      <c r="F1751" s="8">
        <f t="shared" si="81"/>
        <v>32963</v>
      </c>
      <c r="G1751" s="9">
        <f t="shared" si="82"/>
        <v>44018</v>
      </c>
      <c r="H1751" s="10">
        <f t="shared" si="83"/>
        <v>1.5476000000000001</v>
      </c>
    </row>
    <row r="1752" spans="1:8" x14ac:dyDescent="0.2">
      <c r="A1752" s="1">
        <v>32421</v>
      </c>
      <c r="B1752" s="1" t="str">
        <v>2020-07-06</v>
      </c>
      <c r="C1752" s="1">
        <v>1.6991000000000001</v>
      </c>
      <c r="F1752" s="8">
        <f t="shared" si="81"/>
        <v>32421</v>
      </c>
      <c r="G1752" s="9">
        <f t="shared" si="82"/>
        <v>44018</v>
      </c>
      <c r="H1752" s="10">
        <f t="shared" si="83"/>
        <v>1.6991000000000001</v>
      </c>
    </row>
    <row r="1753" spans="1:8" x14ac:dyDescent="0.2">
      <c r="A1753" s="1">
        <v>32803</v>
      </c>
      <c r="B1753" s="1" t="str">
        <v>2020-07-06</v>
      </c>
      <c r="C1753" s="1">
        <v>1.3551</v>
      </c>
      <c r="F1753" s="8">
        <f t="shared" si="81"/>
        <v>32803</v>
      </c>
      <c r="G1753" s="9">
        <f t="shared" si="82"/>
        <v>44018</v>
      </c>
      <c r="H1753" s="10">
        <f t="shared" si="83"/>
        <v>1.3551</v>
      </c>
    </row>
    <row r="1754" spans="1:8" x14ac:dyDescent="0.2">
      <c r="A1754" s="1">
        <v>182</v>
      </c>
      <c r="B1754" s="1" t="str">
        <v>2020-07-06</v>
      </c>
      <c r="C1754" s="1">
        <v>2.0453000000000001</v>
      </c>
      <c r="F1754" s="8">
        <f t="shared" si="81"/>
        <v>182</v>
      </c>
      <c r="G1754" s="9">
        <f t="shared" si="82"/>
        <v>44018</v>
      </c>
      <c r="H1754" s="10">
        <f t="shared" si="83"/>
        <v>2.0453000000000001</v>
      </c>
    </row>
    <row r="1755" spans="1:8" x14ac:dyDescent="0.2">
      <c r="A1755" s="1">
        <v>32</v>
      </c>
      <c r="B1755" s="1" t="str">
        <v>2020-07-06</v>
      </c>
      <c r="C1755" s="1">
        <v>1.7806999999999999</v>
      </c>
      <c r="F1755" s="8">
        <f t="shared" si="81"/>
        <v>32</v>
      </c>
      <c r="G1755" s="9">
        <f t="shared" si="82"/>
        <v>44018</v>
      </c>
      <c r="H1755" s="10">
        <f t="shared" si="83"/>
        <v>1.7806999999999999</v>
      </c>
    </row>
    <row r="1756" spans="1:8" x14ac:dyDescent="0.2">
      <c r="A1756" s="1">
        <v>32724</v>
      </c>
      <c r="B1756" s="1" t="str">
        <v>2020-07-06</v>
      </c>
      <c r="C1756" s="1">
        <v>1.6897</v>
      </c>
      <c r="F1756" s="8">
        <f t="shared" si="81"/>
        <v>32724</v>
      </c>
      <c r="G1756" s="9">
        <f t="shared" si="82"/>
        <v>44018</v>
      </c>
      <c r="H1756" s="10">
        <f t="shared" si="83"/>
        <v>1.6897</v>
      </c>
    </row>
    <row r="1757" spans="1:8" x14ac:dyDescent="0.2">
      <c r="A1757" s="1">
        <v>32200</v>
      </c>
      <c r="B1757" s="1" t="str">
        <v>2020-07-06</v>
      </c>
      <c r="C1757" s="1">
        <v>1.5469999999999999</v>
      </c>
      <c r="F1757" s="8">
        <f t="shared" si="81"/>
        <v>32200</v>
      </c>
      <c r="G1757" s="9">
        <f t="shared" si="82"/>
        <v>44018</v>
      </c>
      <c r="H1757" s="10">
        <f t="shared" si="83"/>
        <v>1.5469999999999999</v>
      </c>
    </row>
    <row r="1758" spans="1:8" x14ac:dyDescent="0.2">
      <c r="A1758" s="1">
        <v>178</v>
      </c>
      <c r="B1758" s="1" t="str">
        <v>2020-07-06</v>
      </c>
      <c r="C1758" s="1">
        <v>1.9883999999999999</v>
      </c>
      <c r="F1758" s="8">
        <f t="shared" si="81"/>
        <v>178</v>
      </c>
      <c r="G1758" s="9">
        <f t="shared" si="82"/>
        <v>44018</v>
      </c>
      <c r="H1758" s="10">
        <f t="shared" si="83"/>
        <v>1.9883999999999999</v>
      </c>
    </row>
    <row r="1759" spans="1:8" x14ac:dyDescent="0.2">
      <c r="A1759" s="1">
        <v>181</v>
      </c>
      <c r="B1759" s="1" t="str">
        <v>2020-07-06</v>
      </c>
      <c r="C1759" s="1">
        <v>1.9431</v>
      </c>
      <c r="F1759" s="8">
        <f t="shared" si="81"/>
        <v>181</v>
      </c>
      <c r="G1759" s="9">
        <f t="shared" si="82"/>
        <v>44018</v>
      </c>
      <c r="H1759" s="10">
        <f t="shared" si="83"/>
        <v>1.9431</v>
      </c>
    </row>
    <row r="1760" spans="1:8" x14ac:dyDescent="0.2">
      <c r="A1760" s="1">
        <v>1</v>
      </c>
      <c r="B1760" s="1" t="str">
        <v>2020-07-06</v>
      </c>
      <c r="C1760" s="1">
        <v>1.6085</v>
      </c>
      <c r="F1760" s="8">
        <f t="shared" si="81"/>
        <v>1</v>
      </c>
      <c r="G1760" s="9">
        <f t="shared" si="82"/>
        <v>44018</v>
      </c>
      <c r="H1760" s="10">
        <f t="shared" si="83"/>
        <v>1.6085</v>
      </c>
    </row>
    <row r="1761" spans="1:8" x14ac:dyDescent="0.2">
      <c r="A1761" s="1">
        <v>99</v>
      </c>
      <c r="B1761" s="1" t="str">
        <v>2020-07-07</v>
      </c>
      <c r="C1761" s="1">
        <v>2.6671</v>
      </c>
      <c r="F1761" s="8">
        <f t="shared" si="81"/>
        <v>99</v>
      </c>
      <c r="G1761" s="9">
        <f t="shared" si="82"/>
        <v>44019</v>
      </c>
      <c r="H1761" s="10">
        <f t="shared" si="83"/>
        <v>2.6671</v>
      </c>
    </row>
    <row r="1762" spans="1:8" x14ac:dyDescent="0.2">
      <c r="A1762" s="1">
        <v>30350</v>
      </c>
      <c r="B1762" s="1" t="str">
        <v>2020-07-07</v>
      </c>
      <c r="C1762" s="1">
        <v>1.6087</v>
      </c>
      <c r="F1762" s="8">
        <f t="shared" si="81"/>
        <v>30350</v>
      </c>
      <c r="G1762" s="9">
        <f t="shared" si="82"/>
        <v>44019</v>
      </c>
      <c r="H1762" s="10">
        <f t="shared" si="83"/>
        <v>1.6087</v>
      </c>
    </row>
    <row r="1763" spans="1:8" x14ac:dyDescent="0.2">
      <c r="A1763" s="1">
        <v>2250</v>
      </c>
      <c r="B1763" s="1" t="str">
        <v>2020-07-07</v>
      </c>
      <c r="C1763" s="1">
        <v>1.4562999999999999</v>
      </c>
      <c r="F1763" s="8">
        <f t="shared" si="81"/>
        <v>2250</v>
      </c>
      <c r="G1763" s="9">
        <f t="shared" si="82"/>
        <v>44019</v>
      </c>
      <c r="H1763" s="10">
        <f t="shared" si="83"/>
        <v>1.4562999999999999</v>
      </c>
    </row>
    <row r="1764" spans="1:8" x14ac:dyDescent="0.2">
      <c r="A1764" s="1">
        <v>32560</v>
      </c>
      <c r="B1764" s="1" t="str">
        <v>2020-07-07</v>
      </c>
      <c r="C1764" s="1">
        <v>1.7099</v>
      </c>
      <c r="F1764" s="8">
        <f t="shared" si="81"/>
        <v>32560</v>
      </c>
      <c r="G1764" s="9">
        <f t="shared" si="82"/>
        <v>44019</v>
      </c>
      <c r="H1764" s="10">
        <f t="shared" si="83"/>
        <v>1.7099</v>
      </c>
    </row>
    <row r="1765" spans="1:8" x14ac:dyDescent="0.2">
      <c r="A1765" s="1">
        <v>32964</v>
      </c>
      <c r="B1765" s="1" t="str">
        <v>2020-07-07</v>
      </c>
      <c r="C1765" s="1">
        <v>1.4423999999999999</v>
      </c>
      <c r="F1765" s="8">
        <f t="shared" si="81"/>
        <v>32964</v>
      </c>
      <c r="G1765" s="9">
        <f t="shared" si="82"/>
        <v>44019</v>
      </c>
      <c r="H1765" s="10">
        <f t="shared" si="83"/>
        <v>1.4423999999999999</v>
      </c>
    </row>
    <row r="1766" spans="1:8" x14ac:dyDescent="0.2">
      <c r="A1766" s="1">
        <v>176</v>
      </c>
      <c r="B1766" s="1" t="str">
        <v>2020-07-07</v>
      </c>
      <c r="C1766" s="1">
        <v>1.6996</v>
      </c>
      <c r="F1766" s="8">
        <f t="shared" si="81"/>
        <v>176</v>
      </c>
      <c r="G1766" s="9">
        <f t="shared" si="82"/>
        <v>44019</v>
      </c>
      <c r="H1766" s="10">
        <f t="shared" si="83"/>
        <v>1.6996</v>
      </c>
    </row>
    <row r="1767" spans="1:8" x14ac:dyDescent="0.2">
      <c r="A1767" s="1">
        <v>32663</v>
      </c>
      <c r="B1767" s="1" t="str">
        <v>2020-07-08</v>
      </c>
      <c r="C1767" s="1">
        <v>1.6183000000000001</v>
      </c>
      <c r="F1767" s="8">
        <f t="shared" si="81"/>
        <v>32663</v>
      </c>
      <c r="G1767" s="9">
        <f t="shared" si="82"/>
        <v>44020</v>
      </c>
      <c r="H1767" s="10">
        <f t="shared" si="83"/>
        <v>1.6183000000000001</v>
      </c>
    </row>
    <row r="1768" spans="1:8" x14ac:dyDescent="0.2">
      <c r="A1768" s="1">
        <v>32400</v>
      </c>
      <c r="B1768" s="1" t="str">
        <v>2020-07-08</v>
      </c>
      <c r="C1768" s="1">
        <v>1.79</v>
      </c>
      <c r="F1768" s="8">
        <f t="shared" si="81"/>
        <v>32400</v>
      </c>
      <c r="G1768" s="9">
        <f t="shared" si="82"/>
        <v>44020</v>
      </c>
      <c r="H1768" s="10">
        <f t="shared" si="83"/>
        <v>1.79</v>
      </c>
    </row>
    <row r="1769" spans="1:8" x14ac:dyDescent="0.2">
      <c r="A1769" s="1">
        <v>32783</v>
      </c>
      <c r="B1769" s="1" t="str">
        <v>2020-07-08</v>
      </c>
      <c r="C1769" s="1">
        <v>2.0047000000000001</v>
      </c>
      <c r="F1769" s="8">
        <f t="shared" si="81"/>
        <v>32783</v>
      </c>
      <c r="G1769" s="9">
        <f t="shared" si="82"/>
        <v>44020</v>
      </c>
      <c r="H1769" s="10">
        <f t="shared" si="83"/>
        <v>2.0047000000000001</v>
      </c>
    </row>
    <row r="1770" spans="1:8" x14ac:dyDescent="0.2">
      <c r="A1770" s="1">
        <v>32724</v>
      </c>
      <c r="B1770" s="1" t="str">
        <v>2020-07-08</v>
      </c>
      <c r="C1770" s="1">
        <v>1.8722000000000001</v>
      </c>
      <c r="F1770" s="8">
        <f t="shared" si="81"/>
        <v>32724</v>
      </c>
      <c r="G1770" s="9">
        <f t="shared" si="82"/>
        <v>44020</v>
      </c>
      <c r="H1770" s="10">
        <f t="shared" si="83"/>
        <v>1.8722000000000001</v>
      </c>
    </row>
    <row r="1771" spans="1:8" x14ac:dyDescent="0.2">
      <c r="A1771" s="1">
        <v>143</v>
      </c>
      <c r="B1771" s="1" t="str">
        <v>2020-07-08</v>
      </c>
      <c r="C1771" s="1">
        <v>1.5876999999999999</v>
      </c>
      <c r="F1771" s="8">
        <f t="shared" si="81"/>
        <v>143</v>
      </c>
      <c r="G1771" s="9">
        <f t="shared" si="82"/>
        <v>44020</v>
      </c>
      <c r="H1771" s="10">
        <f t="shared" si="83"/>
        <v>1.5876999999999999</v>
      </c>
    </row>
    <row r="1772" spans="1:8" x14ac:dyDescent="0.2">
      <c r="A1772" s="1">
        <v>33103</v>
      </c>
      <c r="B1772" s="1" t="str">
        <v>2020-07-09</v>
      </c>
      <c r="C1772" s="1">
        <v>2.2707000000000002</v>
      </c>
      <c r="F1772" s="8">
        <f t="shared" si="81"/>
        <v>33103</v>
      </c>
      <c r="G1772" s="9">
        <f t="shared" si="82"/>
        <v>44021</v>
      </c>
      <c r="H1772" s="10">
        <f t="shared" si="83"/>
        <v>2.2707000000000002</v>
      </c>
    </row>
    <row r="1773" spans="1:8" x14ac:dyDescent="0.2">
      <c r="A1773" s="1">
        <v>49</v>
      </c>
      <c r="B1773" s="1" t="str">
        <v>2020-07-10</v>
      </c>
      <c r="C1773" s="1">
        <v>1.1027</v>
      </c>
      <c r="F1773" s="8">
        <f t="shared" si="81"/>
        <v>49</v>
      </c>
      <c r="G1773" s="9">
        <f t="shared" si="82"/>
        <v>44022</v>
      </c>
      <c r="H1773" s="10">
        <f t="shared" si="83"/>
        <v>1.1027</v>
      </c>
    </row>
    <row r="1774" spans="1:8" x14ac:dyDescent="0.2">
      <c r="A1774" s="1">
        <v>139</v>
      </c>
      <c r="B1774" s="1" t="str">
        <v>2020-07-10</v>
      </c>
      <c r="C1774" s="1">
        <v>1.6084000000000001</v>
      </c>
      <c r="F1774" s="8">
        <f t="shared" si="81"/>
        <v>139</v>
      </c>
      <c r="G1774" s="9">
        <f t="shared" si="82"/>
        <v>44022</v>
      </c>
      <c r="H1774" s="10">
        <f t="shared" si="83"/>
        <v>1.6084000000000001</v>
      </c>
    </row>
    <row r="1775" spans="1:8" x14ac:dyDescent="0.2">
      <c r="A1775" s="1">
        <v>171</v>
      </c>
      <c r="B1775" s="1" t="str">
        <v>2020-07-10</v>
      </c>
      <c r="C1775" s="1">
        <v>1.5673999999999999</v>
      </c>
      <c r="F1775" s="8">
        <f t="shared" si="81"/>
        <v>171</v>
      </c>
      <c r="G1775" s="9">
        <f t="shared" si="82"/>
        <v>44022</v>
      </c>
      <c r="H1775" s="10">
        <f t="shared" si="83"/>
        <v>1.5673999999999999</v>
      </c>
    </row>
    <row r="1776" spans="1:8" x14ac:dyDescent="0.2">
      <c r="A1776" s="1">
        <v>33103</v>
      </c>
      <c r="B1776" s="1" t="str">
        <v>2020-07-10</v>
      </c>
      <c r="C1776" s="1">
        <v>2.3445999999999998</v>
      </c>
      <c r="F1776" s="8">
        <f t="shared" si="81"/>
        <v>33103</v>
      </c>
      <c r="G1776" s="9">
        <f t="shared" si="82"/>
        <v>44022</v>
      </c>
      <c r="H1776" s="10">
        <f t="shared" si="83"/>
        <v>2.3445999999999998</v>
      </c>
    </row>
    <row r="1777" spans="1:8" x14ac:dyDescent="0.2">
      <c r="A1777" s="1">
        <v>32420</v>
      </c>
      <c r="B1777" s="1" t="str">
        <v>2020-07-10</v>
      </c>
      <c r="C1777" s="1">
        <v>1.8689</v>
      </c>
      <c r="F1777" s="8">
        <f t="shared" si="81"/>
        <v>32420</v>
      </c>
      <c r="G1777" s="9">
        <f t="shared" si="82"/>
        <v>44022</v>
      </c>
      <c r="H1777" s="10">
        <f t="shared" si="83"/>
        <v>1.8689</v>
      </c>
    </row>
    <row r="1778" spans="1:8" x14ac:dyDescent="0.2">
      <c r="A1778" s="1">
        <v>33125</v>
      </c>
      <c r="B1778" s="1" t="str">
        <v>2020-07-10</v>
      </c>
      <c r="C1778" s="1">
        <v>1.7196</v>
      </c>
      <c r="F1778" s="8">
        <f t="shared" si="81"/>
        <v>33125</v>
      </c>
      <c r="G1778" s="9">
        <f t="shared" si="82"/>
        <v>44022</v>
      </c>
      <c r="H1778" s="10">
        <f t="shared" si="83"/>
        <v>1.7196</v>
      </c>
    </row>
    <row r="1779" spans="1:8" x14ac:dyDescent="0.2">
      <c r="A1779" s="1">
        <v>143</v>
      </c>
      <c r="B1779" s="1" t="str">
        <v>2020-07-10</v>
      </c>
      <c r="C1779" s="1">
        <v>1.6180000000000001</v>
      </c>
      <c r="F1779" s="8">
        <f t="shared" si="81"/>
        <v>143</v>
      </c>
      <c r="G1779" s="9">
        <f t="shared" si="82"/>
        <v>44022</v>
      </c>
      <c r="H1779" s="10">
        <f t="shared" si="83"/>
        <v>1.6180000000000001</v>
      </c>
    </row>
    <row r="1780" spans="1:8" x14ac:dyDescent="0.2">
      <c r="A1780" s="1">
        <v>33203</v>
      </c>
      <c r="B1780" s="1" t="str">
        <v>2020-07-10</v>
      </c>
      <c r="C1780" s="1">
        <v>1.6692</v>
      </c>
      <c r="F1780" s="8">
        <f t="shared" si="81"/>
        <v>33203</v>
      </c>
      <c r="G1780" s="9">
        <f t="shared" si="82"/>
        <v>44022</v>
      </c>
      <c r="H1780" s="10">
        <f t="shared" si="83"/>
        <v>1.6692</v>
      </c>
    </row>
    <row r="1781" spans="1:8" x14ac:dyDescent="0.2">
      <c r="A1781" s="1">
        <v>32081</v>
      </c>
      <c r="B1781" s="1" t="str">
        <v>2020-07-10</v>
      </c>
      <c r="C1781" s="1">
        <v>0.9002</v>
      </c>
      <c r="F1781" s="8">
        <f t="shared" si="81"/>
        <v>32081</v>
      </c>
      <c r="G1781" s="9">
        <f t="shared" si="82"/>
        <v>44022</v>
      </c>
      <c r="H1781" s="10">
        <f t="shared" si="83"/>
        <v>0.9002</v>
      </c>
    </row>
    <row r="1782" spans="1:8" x14ac:dyDescent="0.2">
      <c r="A1782" s="1">
        <v>81</v>
      </c>
      <c r="B1782" s="1" t="str">
        <v>2020-07-10</v>
      </c>
      <c r="C1782" s="1">
        <v>2.0041000000000002</v>
      </c>
      <c r="F1782" s="8">
        <f t="shared" si="81"/>
        <v>81</v>
      </c>
      <c r="G1782" s="9">
        <f t="shared" si="82"/>
        <v>44022</v>
      </c>
      <c r="H1782" s="10">
        <f t="shared" si="83"/>
        <v>2.0041000000000002</v>
      </c>
    </row>
    <row r="1783" spans="1:8" x14ac:dyDescent="0.2">
      <c r="A1783" s="1">
        <v>55</v>
      </c>
      <c r="B1783" s="1" t="str">
        <v>2020-07-10</v>
      </c>
      <c r="C1783" s="1">
        <v>1.355</v>
      </c>
      <c r="F1783" s="8">
        <f t="shared" si="81"/>
        <v>55</v>
      </c>
      <c r="G1783" s="9">
        <f t="shared" si="82"/>
        <v>44022</v>
      </c>
      <c r="H1783" s="10">
        <f t="shared" si="83"/>
        <v>1.355</v>
      </c>
    </row>
    <row r="1784" spans="1:8" x14ac:dyDescent="0.2">
      <c r="A1784" s="1">
        <v>32121</v>
      </c>
      <c r="B1784" s="1" t="str">
        <v>2020-07-10</v>
      </c>
      <c r="C1784" s="1">
        <v>2.0449999999999999</v>
      </c>
      <c r="F1784" s="8">
        <f t="shared" si="81"/>
        <v>32121</v>
      </c>
      <c r="G1784" s="9">
        <f t="shared" si="82"/>
        <v>44022</v>
      </c>
      <c r="H1784" s="10">
        <f t="shared" si="83"/>
        <v>2.0449999999999999</v>
      </c>
    </row>
    <row r="1785" spans="1:8" x14ac:dyDescent="0.2">
      <c r="A1785" s="1">
        <v>1</v>
      </c>
      <c r="B1785" s="1" t="str">
        <v>2020-07-10</v>
      </c>
      <c r="C1785" s="1">
        <v>1.5469999999999999</v>
      </c>
      <c r="F1785" s="8">
        <f t="shared" si="81"/>
        <v>1</v>
      </c>
      <c r="G1785" s="9">
        <f t="shared" si="82"/>
        <v>44022</v>
      </c>
      <c r="H1785" s="10">
        <f t="shared" si="83"/>
        <v>1.5469999999999999</v>
      </c>
    </row>
    <row r="1786" spans="1:8" x14ac:dyDescent="0.2">
      <c r="A1786" s="1">
        <v>133</v>
      </c>
      <c r="B1786" s="1" t="str">
        <v>2020-07-10</v>
      </c>
      <c r="C1786" s="1">
        <v>1.74</v>
      </c>
      <c r="F1786" s="8">
        <f t="shared" si="81"/>
        <v>133</v>
      </c>
      <c r="G1786" s="9">
        <f t="shared" si="82"/>
        <v>44022</v>
      </c>
      <c r="H1786" s="10">
        <f t="shared" si="83"/>
        <v>1.74</v>
      </c>
    </row>
    <row r="1787" spans="1:8" x14ac:dyDescent="0.2">
      <c r="A1787" s="1">
        <v>8</v>
      </c>
      <c r="B1787" s="1" t="str">
        <v>2020-07-10</v>
      </c>
      <c r="C1787" s="1">
        <v>2.4119000000000002</v>
      </c>
      <c r="F1787" s="8">
        <f t="shared" si="81"/>
        <v>8</v>
      </c>
      <c r="G1787" s="9">
        <f t="shared" si="82"/>
        <v>44022</v>
      </c>
      <c r="H1787" s="10">
        <f t="shared" si="83"/>
        <v>2.4119000000000002</v>
      </c>
    </row>
    <row r="1788" spans="1:8" x14ac:dyDescent="0.2">
      <c r="A1788" s="1">
        <v>90</v>
      </c>
      <c r="B1788" s="1" t="str">
        <v>2020-07-10</v>
      </c>
      <c r="C1788" s="1">
        <v>1.8620000000000001</v>
      </c>
      <c r="F1788" s="8">
        <f t="shared" si="81"/>
        <v>90</v>
      </c>
      <c r="G1788" s="9">
        <f t="shared" si="82"/>
        <v>44022</v>
      </c>
      <c r="H1788" s="10">
        <f t="shared" si="83"/>
        <v>1.8620000000000001</v>
      </c>
    </row>
    <row r="1789" spans="1:8" x14ac:dyDescent="0.2">
      <c r="A1789" s="1">
        <v>150</v>
      </c>
      <c r="B1789" s="1" t="str">
        <v>2020-07-10</v>
      </c>
      <c r="C1789" s="1">
        <v>1.899</v>
      </c>
      <c r="F1789" s="8">
        <f t="shared" si="81"/>
        <v>150</v>
      </c>
      <c r="G1789" s="9">
        <f t="shared" si="82"/>
        <v>44022</v>
      </c>
      <c r="H1789" s="10">
        <f t="shared" si="83"/>
        <v>1.899</v>
      </c>
    </row>
    <row r="1790" spans="1:8" x14ac:dyDescent="0.2">
      <c r="A1790" s="1">
        <v>156</v>
      </c>
      <c r="B1790" s="1" t="str">
        <v>2020-07-10</v>
      </c>
      <c r="C1790" s="1">
        <v>2.1164999999999998</v>
      </c>
      <c r="F1790" s="8">
        <f t="shared" si="81"/>
        <v>156</v>
      </c>
      <c r="G1790" s="9">
        <f t="shared" si="82"/>
        <v>44022</v>
      </c>
      <c r="H1790" s="10">
        <f t="shared" si="83"/>
        <v>2.1164999999999998</v>
      </c>
    </row>
    <row r="1791" spans="1:8" x14ac:dyDescent="0.2">
      <c r="A1791" s="1">
        <v>101</v>
      </c>
      <c r="B1791" s="1" t="str">
        <v>2020-07-10</v>
      </c>
      <c r="C1791" s="1">
        <v>1.7198</v>
      </c>
      <c r="F1791" s="8">
        <f t="shared" si="81"/>
        <v>101</v>
      </c>
      <c r="G1791" s="9">
        <f t="shared" si="82"/>
        <v>44022</v>
      </c>
      <c r="H1791" s="10">
        <f t="shared" si="83"/>
        <v>1.7198</v>
      </c>
    </row>
    <row r="1792" spans="1:8" x14ac:dyDescent="0.2">
      <c r="A1792" s="1">
        <v>115</v>
      </c>
      <c r="B1792" s="1" t="str">
        <v>2020-07-10</v>
      </c>
      <c r="C1792" s="1">
        <v>2.0449000000000002</v>
      </c>
      <c r="F1792" s="8">
        <f t="shared" si="81"/>
        <v>115</v>
      </c>
      <c r="G1792" s="9">
        <f t="shared" si="82"/>
        <v>44022</v>
      </c>
      <c r="H1792" s="10">
        <f t="shared" si="83"/>
        <v>2.0449000000000002</v>
      </c>
    </row>
    <row r="1793" spans="1:8" x14ac:dyDescent="0.2">
      <c r="A1793" s="1">
        <v>33130</v>
      </c>
      <c r="B1793" s="1" t="str">
        <v>2020-07-10</v>
      </c>
      <c r="C1793" s="1">
        <v>1.7602</v>
      </c>
      <c r="F1793" s="8">
        <f t="shared" si="81"/>
        <v>33130</v>
      </c>
      <c r="G1793" s="9">
        <f t="shared" si="82"/>
        <v>44022</v>
      </c>
      <c r="H1793" s="10">
        <f t="shared" si="83"/>
        <v>1.7602</v>
      </c>
    </row>
    <row r="1794" spans="1:8" x14ac:dyDescent="0.2">
      <c r="A1794" s="1">
        <v>102</v>
      </c>
      <c r="B1794" s="1" t="str">
        <v>2020-07-10</v>
      </c>
      <c r="C1794" s="1">
        <v>1.5982000000000001</v>
      </c>
      <c r="F1794" s="8">
        <f t="shared" si="81"/>
        <v>102</v>
      </c>
      <c r="G1794" s="9">
        <f t="shared" si="82"/>
        <v>44022</v>
      </c>
      <c r="H1794" s="10">
        <f t="shared" si="83"/>
        <v>1.5982000000000001</v>
      </c>
    </row>
    <row r="1795" spans="1:8" x14ac:dyDescent="0.2">
      <c r="A1795" s="1">
        <v>33083</v>
      </c>
      <c r="B1795" s="1" t="str">
        <v>2020-07-10</v>
      </c>
      <c r="C1795" s="1">
        <v>1.6942999999999999</v>
      </c>
      <c r="F1795" s="8">
        <f t="shared" si="81"/>
        <v>33083</v>
      </c>
      <c r="G1795" s="9">
        <f t="shared" si="82"/>
        <v>44022</v>
      </c>
      <c r="H1795" s="10">
        <f t="shared" si="83"/>
        <v>1.6942999999999999</v>
      </c>
    </row>
    <row r="1796" spans="1:8" x14ac:dyDescent="0.2">
      <c r="A1796" s="1">
        <v>187</v>
      </c>
      <c r="B1796" s="1" t="str">
        <v>2020-07-10</v>
      </c>
      <c r="C1796" s="1">
        <v>1.8112999999999999</v>
      </c>
      <c r="F1796" s="8">
        <f t="shared" si="81"/>
        <v>187</v>
      </c>
      <c r="G1796" s="9">
        <f t="shared" si="82"/>
        <v>44022</v>
      </c>
      <c r="H1796" s="10">
        <f t="shared" si="83"/>
        <v>1.8112999999999999</v>
      </c>
    </row>
    <row r="1797" spans="1:8" x14ac:dyDescent="0.2">
      <c r="A1797" s="1">
        <v>23250</v>
      </c>
      <c r="B1797" s="1" t="str">
        <v>2020-07-10</v>
      </c>
      <c r="C1797" s="1">
        <v>1.7398</v>
      </c>
      <c r="F1797" s="8">
        <f t="shared" si="81"/>
        <v>23250</v>
      </c>
      <c r="G1797" s="9">
        <f t="shared" si="82"/>
        <v>44022</v>
      </c>
      <c r="H1797" s="10">
        <f t="shared" si="83"/>
        <v>1.7398</v>
      </c>
    </row>
    <row r="1798" spans="1:8" x14ac:dyDescent="0.2">
      <c r="A1798" s="1">
        <v>94</v>
      </c>
      <c r="B1798" s="1" t="str">
        <v>2020-07-10</v>
      </c>
      <c r="C1798" s="1">
        <v>1.7458</v>
      </c>
      <c r="F1798" s="8">
        <f t="shared" si="81"/>
        <v>94</v>
      </c>
      <c r="G1798" s="9">
        <f t="shared" si="82"/>
        <v>44022</v>
      </c>
      <c r="H1798" s="10">
        <f t="shared" si="83"/>
        <v>1.7458</v>
      </c>
    </row>
    <row r="1799" spans="1:8" x14ac:dyDescent="0.2">
      <c r="A1799" s="1">
        <v>33023</v>
      </c>
      <c r="B1799" s="1" t="str">
        <v>2020-07-10</v>
      </c>
      <c r="C1799" s="1">
        <v>1.5074000000000001</v>
      </c>
      <c r="F1799" s="8">
        <f t="shared" si="81"/>
        <v>33023</v>
      </c>
      <c r="G1799" s="9">
        <f t="shared" si="82"/>
        <v>44022</v>
      </c>
      <c r="H1799" s="10">
        <f t="shared" si="83"/>
        <v>1.5074000000000001</v>
      </c>
    </row>
    <row r="1800" spans="1:8" x14ac:dyDescent="0.2">
      <c r="A1800" s="1">
        <v>32583</v>
      </c>
      <c r="B1800" s="1" t="str">
        <v>2020-07-10</v>
      </c>
      <c r="C1800" s="1">
        <v>1.6</v>
      </c>
      <c r="F1800" s="8">
        <f t="shared" si="81"/>
        <v>32583</v>
      </c>
      <c r="G1800" s="9">
        <f t="shared" si="82"/>
        <v>44022</v>
      </c>
      <c r="H1800" s="10">
        <f t="shared" si="83"/>
        <v>1.6</v>
      </c>
    </row>
    <row r="1801" spans="1:8" x14ac:dyDescent="0.2">
      <c r="A1801" s="1">
        <v>13250</v>
      </c>
      <c r="B1801" s="1" t="str">
        <v>2020-07-10</v>
      </c>
      <c r="C1801" s="1">
        <v>1.5375000000000001</v>
      </c>
      <c r="F1801" s="8">
        <f t="shared" ref="F1801:F1864" si="84">A1801</f>
        <v>13250</v>
      </c>
      <c r="G1801" s="9">
        <f t="shared" ref="G1801:G1864" si="85">DATE(LEFT(B1801,4),MID(B1801,6,2),RIGHT(B1801,2))</f>
        <v>44022</v>
      </c>
      <c r="H1801" s="10">
        <f t="shared" ref="H1801:H1864" si="86">C1801</f>
        <v>1.5375000000000001</v>
      </c>
    </row>
    <row r="1802" spans="1:8" x14ac:dyDescent="0.2">
      <c r="A1802" s="1">
        <v>32260</v>
      </c>
      <c r="B1802" s="1" t="str">
        <v>2020-07-10</v>
      </c>
      <c r="C1802" s="1">
        <v>1.8515999999999999</v>
      </c>
      <c r="F1802" s="8">
        <f t="shared" si="84"/>
        <v>32260</v>
      </c>
      <c r="G1802" s="9">
        <f t="shared" si="85"/>
        <v>44022</v>
      </c>
      <c r="H1802" s="10">
        <f t="shared" si="86"/>
        <v>1.8515999999999999</v>
      </c>
    </row>
    <row r="1803" spans="1:8" x14ac:dyDescent="0.2">
      <c r="A1803" s="1">
        <v>10</v>
      </c>
      <c r="B1803" s="1" t="str">
        <v>2020-07-13</v>
      </c>
      <c r="C1803" s="1">
        <v>1.7501</v>
      </c>
      <c r="F1803" s="8">
        <f t="shared" si="84"/>
        <v>10</v>
      </c>
      <c r="G1803" s="9">
        <f t="shared" si="85"/>
        <v>44025</v>
      </c>
      <c r="H1803" s="10">
        <f t="shared" si="86"/>
        <v>1.7501</v>
      </c>
    </row>
    <row r="1804" spans="1:8" x14ac:dyDescent="0.2">
      <c r="A1804" s="1">
        <v>33130</v>
      </c>
      <c r="B1804" s="1" t="str">
        <v>2020-07-13</v>
      </c>
      <c r="C1804" s="1">
        <v>1.7907</v>
      </c>
      <c r="F1804" s="8">
        <f t="shared" si="84"/>
        <v>33130</v>
      </c>
      <c r="G1804" s="9">
        <f t="shared" si="85"/>
        <v>44025</v>
      </c>
      <c r="H1804" s="10">
        <f t="shared" si="86"/>
        <v>1.7907</v>
      </c>
    </row>
    <row r="1805" spans="1:8" x14ac:dyDescent="0.2">
      <c r="A1805" s="1">
        <v>33023</v>
      </c>
      <c r="B1805" s="1" t="str">
        <v>2020-07-13</v>
      </c>
      <c r="C1805" s="1">
        <v>1.6086</v>
      </c>
      <c r="F1805" s="8">
        <f t="shared" si="84"/>
        <v>33023</v>
      </c>
      <c r="G1805" s="9">
        <f t="shared" si="85"/>
        <v>44025</v>
      </c>
      <c r="H1805" s="10">
        <f t="shared" si="86"/>
        <v>1.6086</v>
      </c>
    </row>
    <row r="1806" spans="1:8" x14ac:dyDescent="0.2">
      <c r="A1806" s="1">
        <v>32983</v>
      </c>
      <c r="B1806" s="1" t="str">
        <v>2020-07-13</v>
      </c>
      <c r="C1806" s="1">
        <v>1.2746999999999999</v>
      </c>
      <c r="F1806" s="8">
        <f t="shared" si="84"/>
        <v>32983</v>
      </c>
      <c r="G1806" s="9">
        <f t="shared" si="85"/>
        <v>44025</v>
      </c>
      <c r="H1806" s="10">
        <f t="shared" si="86"/>
        <v>1.2746999999999999</v>
      </c>
    </row>
    <row r="1807" spans="1:8" x14ac:dyDescent="0.2">
      <c r="A1807" s="1">
        <v>32082</v>
      </c>
      <c r="B1807" s="1" t="str">
        <v>2020-07-13</v>
      </c>
      <c r="C1807" s="1">
        <v>1.5472999999999999</v>
      </c>
      <c r="F1807" s="8">
        <f t="shared" si="84"/>
        <v>32082</v>
      </c>
      <c r="G1807" s="9">
        <f t="shared" si="85"/>
        <v>44025</v>
      </c>
      <c r="H1807" s="10">
        <f t="shared" si="86"/>
        <v>1.5472999999999999</v>
      </c>
    </row>
    <row r="1808" spans="1:8" x14ac:dyDescent="0.2">
      <c r="A1808" s="1">
        <v>32222</v>
      </c>
      <c r="B1808" s="1" t="str">
        <v>2020-07-13</v>
      </c>
      <c r="C1808" s="1">
        <v>1.7093</v>
      </c>
      <c r="F1808" s="8">
        <f t="shared" si="84"/>
        <v>32222</v>
      </c>
      <c r="G1808" s="9">
        <f t="shared" si="85"/>
        <v>44025</v>
      </c>
      <c r="H1808" s="10">
        <f t="shared" si="86"/>
        <v>1.7093</v>
      </c>
    </row>
    <row r="1809" spans="1:8" x14ac:dyDescent="0.2">
      <c r="A1809" s="1">
        <v>32863</v>
      </c>
      <c r="B1809" s="1" t="str">
        <v>2020-07-13</v>
      </c>
      <c r="C1809" s="1">
        <v>1.4565999999999999</v>
      </c>
      <c r="F1809" s="8">
        <f t="shared" si="84"/>
        <v>32863</v>
      </c>
      <c r="G1809" s="9">
        <f t="shared" si="85"/>
        <v>44025</v>
      </c>
      <c r="H1809" s="10">
        <f t="shared" si="86"/>
        <v>1.4565999999999999</v>
      </c>
    </row>
    <row r="1810" spans="1:8" x14ac:dyDescent="0.2">
      <c r="A1810" s="1">
        <v>31</v>
      </c>
      <c r="B1810" s="1" t="str">
        <v>2020-07-13</v>
      </c>
      <c r="C1810" s="1">
        <v>1.7</v>
      </c>
      <c r="F1810" s="8">
        <f t="shared" si="84"/>
        <v>31</v>
      </c>
      <c r="G1810" s="9">
        <f t="shared" si="85"/>
        <v>44025</v>
      </c>
      <c r="H1810" s="10">
        <f t="shared" si="86"/>
        <v>1.7</v>
      </c>
    </row>
    <row r="1811" spans="1:8" x14ac:dyDescent="0.2">
      <c r="A1811" s="1">
        <v>33203</v>
      </c>
      <c r="B1811" s="1" t="str">
        <v>2020-07-13</v>
      </c>
      <c r="C1811" s="1">
        <v>1.6681999999999999</v>
      </c>
      <c r="F1811" s="8">
        <f t="shared" si="84"/>
        <v>33203</v>
      </c>
      <c r="G1811" s="9">
        <f t="shared" si="85"/>
        <v>44025</v>
      </c>
      <c r="H1811" s="10">
        <f t="shared" si="86"/>
        <v>1.6681999999999999</v>
      </c>
    </row>
    <row r="1812" spans="1:8" x14ac:dyDescent="0.2">
      <c r="A1812" s="1">
        <v>34</v>
      </c>
      <c r="B1812" s="1" t="str">
        <v>2020-07-13</v>
      </c>
      <c r="C1812" s="1">
        <v>2.1362000000000001</v>
      </c>
      <c r="F1812" s="8">
        <f t="shared" si="84"/>
        <v>34</v>
      </c>
      <c r="G1812" s="9">
        <f t="shared" si="85"/>
        <v>44025</v>
      </c>
      <c r="H1812" s="10">
        <f t="shared" si="86"/>
        <v>2.1362000000000001</v>
      </c>
    </row>
    <row r="1813" spans="1:8" x14ac:dyDescent="0.2">
      <c r="A1813" s="1">
        <v>59</v>
      </c>
      <c r="B1813" s="1" t="str">
        <v>2020-07-13</v>
      </c>
      <c r="C1813" s="1">
        <v>1.7910999999999999</v>
      </c>
      <c r="F1813" s="8">
        <f t="shared" si="84"/>
        <v>59</v>
      </c>
      <c r="G1813" s="9">
        <f t="shared" si="85"/>
        <v>44025</v>
      </c>
      <c r="H1813" s="10">
        <f t="shared" si="86"/>
        <v>1.7910999999999999</v>
      </c>
    </row>
    <row r="1814" spans="1:8" x14ac:dyDescent="0.2">
      <c r="A1814" s="1">
        <v>32400</v>
      </c>
      <c r="B1814" s="1" t="str">
        <v>2020-07-13</v>
      </c>
      <c r="C1814" s="1">
        <v>1.79</v>
      </c>
      <c r="F1814" s="8">
        <f t="shared" si="84"/>
        <v>32400</v>
      </c>
      <c r="G1814" s="9">
        <f t="shared" si="85"/>
        <v>44025</v>
      </c>
      <c r="H1814" s="10">
        <f t="shared" si="86"/>
        <v>1.79</v>
      </c>
    </row>
    <row r="1815" spans="1:8" x14ac:dyDescent="0.2">
      <c r="A1815" s="1">
        <v>37</v>
      </c>
      <c r="B1815" s="1" t="str">
        <v>2020-07-13</v>
      </c>
      <c r="C1815" s="1">
        <v>2.0851999999999999</v>
      </c>
      <c r="F1815" s="8">
        <f t="shared" si="84"/>
        <v>37</v>
      </c>
      <c r="G1815" s="9">
        <f t="shared" si="85"/>
        <v>44025</v>
      </c>
      <c r="H1815" s="10">
        <f t="shared" si="86"/>
        <v>2.0851999999999999</v>
      </c>
    </row>
    <row r="1816" spans="1:8" x14ac:dyDescent="0.2">
      <c r="A1816" s="1">
        <v>32360</v>
      </c>
      <c r="B1816" s="1" t="str">
        <v>2020-07-13</v>
      </c>
      <c r="C1816" s="1">
        <v>1.7198</v>
      </c>
      <c r="F1816" s="8">
        <f t="shared" si="84"/>
        <v>32360</v>
      </c>
      <c r="G1816" s="9">
        <f t="shared" si="85"/>
        <v>44025</v>
      </c>
      <c r="H1816" s="10">
        <f t="shared" si="86"/>
        <v>1.7198</v>
      </c>
    </row>
    <row r="1817" spans="1:8" x14ac:dyDescent="0.2">
      <c r="A1817" s="1">
        <v>32421</v>
      </c>
      <c r="B1817" s="1" t="str">
        <v>2020-07-13</v>
      </c>
      <c r="C1817" s="1">
        <v>1.778</v>
      </c>
      <c r="F1817" s="8">
        <f t="shared" si="84"/>
        <v>32421</v>
      </c>
      <c r="G1817" s="9">
        <f t="shared" si="85"/>
        <v>44025</v>
      </c>
      <c r="H1817" s="10">
        <f t="shared" si="86"/>
        <v>1.778</v>
      </c>
    </row>
    <row r="1818" spans="1:8" x14ac:dyDescent="0.2">
      <c r="A1818" s="1">
        <v>178</v>
      </c>
      <c r="B1818" s="1" t="str">
        <v>2020-07-13</v>
      </c>
      <c r="C1818" s="1">
        <v>2.0013000000000001</v>
      </c>
      <c r="F1818" s="8">
        <f t="shared" si="84"/>
        <v>178</v>
      </c>
      <c r="G1818" s="9">
        <f t="shared" si="85"/>
        <v>44025</v>
      </c>
      <c r="H1818" s="10">
        <f t="shared" si="86"/>
        <v>2.0013000000000001</v>
      </c>
    </row>
    <row r="1819" spans="1:8" x14ac:dyDescent="0.2">
      <c r="A1819" s="1">
        <v>32963</v>
      </c>
      <c r="B1819" s="1" t="str">
        <v>2020-07-13</v>
      </c>
      <c r="C1819" s="1">
        <v>1.4964</v>
      </c>
      <c r="F1819" s="8">
        <f t="shared" si="84"/>
        <v>32963</v>
      </c>
      <c r="G1819" s="9">
        <f t="shared" si="85"/>
        <v>44025</v>
      </c>
      <c r="H1819" s="10">
        <f t="shared" si="86"/>
        <v>1.4964</v>
      </c>
    </row>
    <row r="1820" spans="1:8" x14ac:dyDescent="0.2">
      <c r="A1820" s="1">
        <v>32783</v>
      </c>
      <c r="B1820" s="1" t="str">
        <v>2020-07-14</v>
      </c>
      <c r="C1820" s="1">
        <v>1.9433</v>
      </c>
      <c r="F1820" s="8">
        <f t="shared" si="84"/>
        <v>32783</v>
      </c>
      <c r="G1820" s="9">
        <f t="shared" si="85"/>
        <v>44026</v>
      </c>
      <c r="H1820" s="10">
        <f t="shared" si="86"/>
        <v>1.9433</v>
      </c>
    </row>
    <row r="1821" spans="1:8" x14ac:dyDescent="0.2">
      <c r="A1821" s="1">
        <v>67</v>
      </c>
      <c r="B1821" s="1" t="str">
        <v>2020-07-14</v>
      </c>
      <c r="C1821" s="1">
        <v>1.8109999999999999</v>
      </c>
      <c r="F1821" s="8">
        <f t="shared" si="84"/>
        <v>67</v>
      </c>
      <c r="G1821" s="9">
        <f t="shared" si="85"/>
        <v>44026</v>
      </c>
      <c r="H1821" s="10">
        <f t="shared" si="86"/>
        <v>1.8109999999999999</v>
      </c>
    </row>
    <row r="1822" spans="1:8" x14ac:dyDescent="0.2">
      <c r="A1822" s="1">
        <v>32400</v>
      </c>
      <c r="B1822" s="1" t="str">
        <v>2020-07-14</v>
      </c>
      <c r="C1822" s="1">
        <v>1.8</v>
      </c>
      <c r="F1822" s="8">
        <f t="shared" si="84"/>
        <v>32400</v>
      </c>
      <c r="G1822" s="9">
        <f t="shared" si="85"/>
        <v>44026</v>
      </c>
      <c r="H1822" s="10">
        <f t="shared" si="86"/>
        <v>1.8</v>
      </c>
    </row>
    <row r="1823" spans="1:8" x14ac:dyDescent="0.2">
      <c r="A1823" s="1">
        <v>30350</v>
      </c>
      <c r="B1823" s="1" t="str">
        <v>2020-07-16</v>
      </c>
      <c r="C1823" s="1">
        <v>1.5375000000000001</v>
      </c>
      <c r="F1823" s="8">
        <f t="shared" si="84"/>
        <v>30350</v>
      </c>
      <c r="G1823" s="9">
        <f t="shared" si="85"/>
        <v>44028</v>
      </c>
      <c r="H1823" s="10">
        <f t="shared" si="86"/>
        <v>1.5375000000000001</v>
      </c>
    </row>
    <row r="1824" spans="1:8" x14ac:dyDescent="0.2">
      <c r="A1824" s="1">
        <v>157</v>
      </c>
      <c r="B1824" s="1" t="str">
        <v>2020-07-16</v>
      </c>
      <c r="C1824" s="1">
        <v>1.7</v>
      </c>
      <c r="F1824" s="8">
        <f t="shared" si="84"/>
        <v>157</v>
      </c>
      <c r="G1824" s="9">
        <f t="shared" si="85"/>
        <v>44028</v>
      </c>
      <c r="H1824" s="10">
        <f t="shared" si="86"/>
        <v>1.7</v>
      </c>
    </row>
    <row r="1825" spans="1:8" x14ac:dyDescent="0.2">
      <c r="A1825" s="1">
        <v>32724</v>
      </c>
      <c r="B1825" s="1" t="str">
        <v>2020-07-16</v>
      </c>
      <c r="C1825" s="1">
        <v>1.8721000000000001</v>
      </c>
      <c r="F1825" s="8">
        <f t="shared" si="84"/>
        <v>32724</v>
      </c>
      <c r="G1825" s="9">
        <f t="shared" si="85"/>
        <v>44028</v>
      </c>
      <c r="H1825" s="10">
        <f t="shared" si="86"/>
        <v>1.8721000000000001</v>
      </c>
    </row>
    <row r="1826" spans="1:8" x14ac:dyDescent="0.2">
      <c r="A1826" s="1">
        <v>99</v>
      </c>
      <c r="B1826" s="1" t="str">
        <v>2020-07-16</v>
      </c>
      <c r="C1826" s="1">
        <v>2.9020000000000001</v>
      </c>
      <c r="F1826" s="8">
        <f t="shared" si="84"/>
        <v>99</v>
      </c>
      <c r="G1826" s="9">
        <f t="shared" si="85"/>
        <v>44028</v>
      </c>
      <c r="H1826" s="10">
        <f t="shared" si="86"/>
        <v>2.9020000000000001</v>
      </c>
    </row>
    <row r="1827" spans="1:8" x14ac:dyDescent="0.2">
      <c r="A1827" s="1">
        <v>32040</v>
      </c>
      <c r="B1827" s="1" t="str">
        <v>2020-07-15</v>
      </c>
      <c r="C1827" s="1">
        <v>1.7397</v>
      </c>
      <c r="F1827" s="8">
        <f t="shared" si="84"/>
        <v>32040</v>
      </c>
      <c r="G1827" s="9">
        <f t="shared" si="85"/>
        <v>44027</v>
      </c>
      <c r="H1827" s="10">
        <f t="shared" si="86"/>
        <v>1.7397</v>
      </c>
    </row>
    <row r="1828" spans="1:8" x14ac:dyDescent="0.2">
      <c r="A1828" s="1">
        <v>83</v>
      </c>
      <c r="B1828" s="1" t="str">
        <v>2020-07-15</v>
      </c>
      <c r="C1828" s="1">
        <v>1.8312999999999999</v>
      </c>
      <c r="F1828" s="8">
        <f t="shared" si="84"/>
        <v>83</v>
      </c>
      <c r="G1828" s="9">
        <f t="shared" si="85"/>
        <v>44027</v>
      </c>
      <c r="H1828" s="10">
        <f t="shared" si="86"/>
        <v>1.8312999999999999</v>
      </c>
    </row>
    <row r="1829" spans="1:8" x14ac:dyDescent="0.2">
      <c r="A1829" s="1">
        <v>32803</v>
      </c>
      <c r="B1829" s="1" t="str">
        <v>2020-07-15</v>
      </c>
      <c r="C1829" s="1">
        <v>1.4864999999999999</v>
      </c>
      <c r="F1829" s="8">
        <f t="shared" si="84"/>
        <v>32803</v>
      </c>
      <c r="G1829" s="9">
        <f t="shared" si="85"/>
        <v>44027</v>
      </c>
      <c r="H1829" s="10">
        <f t="shared" si="86"/>
        <v>1.4864999999999999</v>
      </c>
    </row>
    <row r="1830" spans="1:8" x14ac:dyDescent="0.2">
      <c r="A1830" s="1">
        <v>137</v>
      </c>
      <c r="B1830" s="1" t="str">
        <v>2020-07-15</v>
      </c>
      <c r="C1830" s="1">
        <v>2.0653000000000001</v>
      </c>
      <c r="F1830" s="8">
        <f t="shared" si="84"/>
        <v>137</v>
      </c>
      <c r="G1830" s="9">
        <f t="shared" si="85"/>
        <v>44027</v>
      </c>
      <c r="H1830" s="10">
        <f t="shared" si="86"/>
        <v>2.0653000000000001</v>
      </c>
    </row>
    <row r="1831" spans="1:8" x14ac:dyDescent="0.2">
      <c r="A1831" s="1">
        <v>32724</v>
      </c>
      <c r="B1831" s="1" t="str">
        <v>2020-07-15</v>
      </c>
      <c r="C1831" s="1">
        <v>1.8213999999999999</v>
      </c>
      <c r="F1831" s="8">
        <f t="shared" si="84"/>
        <v>32724</v>
      </c>
      <c r="G1831" s="9">
        <f t="shared" si="85"/>
        <v>44027</v>
      </c>
      <c r="H1831" s="10">
        <f t="shared" si="86"/>
        <v>1.8213999999999999</v>
      </c>
    </row>
    <row r="1832" spans="1:8" x14ac:dyDescent="0.2">
      <c r="A1832" s="1">
        <v>32843</v>
      </c>
      <c r="B1832" s="1" t="str">
        <v>2020-07-15</v>
      </c>
      <c r="C1832" s="1">
        <v>1.8714999999999999</v>
      </c>
      <c r="F1832" s="8">
        <f t="shared" si="84"/>
        <v>32843</v>
      </c>
      <c r="G1832" s="9">
        <f t="shared" si="85"/>
        <v>44027</v>
      </c>
      <c r="H1832" s="10">
        <f t="shared" si="86"/>
        <v>1.8714999999999999</v>
      </c>
    </row>
    <row r="1833" spans="1:8" x14ac:dyDescent="0.2">
      <c r="A1833" s="1">
        <v>30300</v>
      </c>
      <c r="B1833" s="1" t="str">
        <v>2020-07-15</v>
      </c>
      <c r="C1833" s="1">
        <v>1.5478000000000001</v>
      </c>
      <c r="F1833" s="8">
        <f t="shared" si="84"/>
        <v>30300</v>
      </c>
      <c r="G1833" s="9">
        <f t="shared" si="85"/>
        <v>44027</v>
      </c>
      <c r="H1833" s="10">
        <f t="shared" si="86"/>
        <v>1.5478000000000001</v>
      </c>
    </row>
    <row r="1834" spans="1:8" x14ac:dyDescent="0.2">
      <c r="A1834" s="1">
        <v>32420</v>
      </c>
      <c r="B1834" s="1" t="str">
        <v>2020-07-15</v>
      </c>
      <c r="C1834" s="1">
        <v>1.8689</v>
      </c>
      <c r="F1834" s="8">
        <f t="shared" si="84"/>
        <v>32420</v>
      </c>
      <c r="G1834" s="9">
        <f t="shared" si="85"/>
        <v>44027</v>
      </c>
      <c r="H1834" s="10">
        <f t="shared" si="86"/>
        <v>1.8689</v>
      </c>
    </row>
    <row r="1835" spans="1:8" x14ac:dyDescent="0.2">
      <c r="A1835" s="1">
        <v>72</v>
      </c>
      <c r="B1835" s="1" t="str">
        <v>2020-07-15</v>
      </c>
      <c r="C1835" s="1">
        <v>1.5777000000000001</v>
      </c>
      <c r="F1835" s="8">
        <f t="shared" si="84"/>
        <v>72</v>
      </c>
      <c r="G1835" s="9">
        <f t="shared" si="85"/>
        <v>44027</v>
      </c>
      <c r="H1835" s="10">
        <f t="shared" si="86"/>
        <v>1.5777000000000001</v>
      </c>
    </row>
    <row r="1836" spans="1:8" x14ac:dyDescent="0.2">
      <c r="A1836" s="1">
        <v>20</v>
      </c>
      <c r="B1836" s="1" t="str">
        <v>2020-07-15</v>
      </c>
      <c r="C1836" s="1">
        <v>1.9739</v>
      </c>
      <c r="F1836" s="8">
        <f t="shared" si="84"/>
        <v>20</v>
      </c>
      <c r="G1836" s="9">
        <f t="shared" si="85"/>
        <v>44027</v>
      </c>
      <c r="H1836" s="10">
        <f t="shared" si="86"/>
        <v>1.9739</v>
      </c>
    </row>
    <row r="1837" spans="1:8" x14ac:dyDescent="0.2">
      <c r="A1837" s="1">
        <v>191</v>
      </c>
      <c r="B1837" s="1" t="str">
        <v>2020-07-17</v>
      </c>
      <c r="C1837" s="1">
        <v>1.5373000000000001</v>
      </c>
      <c r="F1837" s="8">
        <f t="shared" si="84"/>
        <v>191</v>
      </c>
      <c r="G1837" s="9">
        <f t="shared" si="85"/>
        <v>44029</v>
      </c>
      <c r="H1837" s="10">
        <f t="shared" si="86"/>
        <v>1.5373000000000001</v>
      </c>
    </row>
    <row r="1838" spans="1:8" x14ac:dyDescent="0.2">
      <c r="A1838" s="1">
        <v>32603</v>
      </c>
      <c r="B1838" s="1" t="str">
        <v>2020-07-17</v>
      </c>
      <c r="C1838" s="1">
        <v>1.4966999999999999</v>
      </c>
      <c r="F1838" s="8">
        <f t="shared" si="84"/>
        <v>32603</v>
      </c>
      <c r="G1838" s="9">
        <f t="shared" si="85"/>
        <v>44029</v>
      </c>
      <c r="H1838" s="10">
        <f t="shared" si="86"/>
        <v>1.4966999999999999</v>
      </c>
    </row>
    <row r="1839" spans="1:8" x14ac:dyDescent="0.2">
      <c r="A1839" s="1">
        <v>250</v>
      </c>
      <c r="B1839" s="1" t="str">
        <v>2020-07-17</v>
      </c>
      <c r="C1839" s="1">
        <v>1.9026000000000001</v>
      </c>
      <c r="F1839" s="8">
        <f t="shared" si="84"/>
        <v>250</v>
      </c>
      <c r="G1839" s="9">
        <f t="shared" si="85"/>
        <v>44029</v>
      </c>
      <c r="H1839" s="10">
        <f t="shared" si="86"/>
        <v>1.9026000000000001</v>
      </c>
    </row>
    <row r="1840" spans="1:8" x14ac:dyDescent="0.2">
      <c r="A1840" s="1">
        <v>147</v>
      </c>
      <c r="B1840" s="1" t="str">
        <v>2020-07-17</v>
      </c>
      <c r="C1840" s="1">
        <v>1.1426000000000001</v>
      </c>
      <c r="F1840" s="8">
        <f t="shared" si="84"/>
        <v>147</v>
      </c>
      <c r="G1840" s="9">
        <f t="shared" si="85"/>
        <v>44029</v>
      </c>
      <c r="H1840" s="10">
        <f t="shared" si="86"/>
        <v>1.1426000000000001</v>
      </c>
    </row>
    <row r="1841" spans="1:8" x14ac:dyDescent="0.2">
      <c r="A1841" s="1">
        <v>1</v>
      </c>
      <c r="B1841" s="1" t="str">
        <v>2020-07-17</v>
      </c>
      <c r="C1841" s="1">
        <v>1.5469999999999999</v>
      </c>
      <c r="F1841" s="8">
        <f t="shared" si="84"/>
        <v>1</v>
      </c>
      <c r="G1841" s="9">
        <f t="shared" si="85"/>
        <v>44029</v>
      </c>
      <c r="H1841" s="10">
        <f t="shared" si="86"/>
        <v>1.5469999999999999</v>
      </c>
    </row>
    <row r="1842" spans="1:8" x14ac:dyDescent="0.2">
      <c r="A1842" s="1">
        <v>32260</v>
      </c>
      <c r="B1842" s="1" t="str">
        <v>2020-07-17</v>
      </c>
      <c r="C1842" s="1">
        <v>1.8821000000000001</v>
      </c>
      <c r="F1842" s="8">
        <f t="shared" si="84"/>
        <v>32260</v>
      </c>
      <c r="G1842" s="9">
        <f t="shared" si="85"/>
        <v>44029</v>
      </c>
      <c r="H1842" s="10">
        <f t="shared" si="86"/>
        <v>1.8821000000000001</v>
      </c>
    </row>
    <row r="1843" spans="1:8" x14ac:dyDescent="0.2">
      <c r="A1843" s="1">
        <v>115</v>
      </c>
      <c r="B1843" s="1" t="str">
        <v>2020-07-17</v>
      </c>
      <c r="C1843" s="1">
        <v>1.7908999999999999</v>
      </c>
      <c r="F1843" s="8">
        <f t="shared" si="84"/>
        <v>115</v>
      </c>
      <c r="G1843" s="9">
        <f t="shared" si="85"/>
        <v>44029</v>
      </c>
      <c r="H1843" s="10">
        <f t="shared" si="86"/>
        <v>1.7908999999999999</v>
      </c>
    </row>
    <row r="1844" spans="1:8" x14ac:dyDescent="0.2">
      <c r="A1844" s="1">
        <v>81</v>
      </c>
      <c r="B1844" s="1" t="str">
        <v>2020-07-17</v>
      </c>
      <c r="C1844" s="1">
        <v>2.0041000000000002</v>
      </c>
      <c r="F1844" s="8">
        <f t="shared" si="84"/>
        <v>81</v>
      </c>
      <c r="G1844" s="9">
        <f t="shared" si="85"/>
        <v>44029</v>
      </c>
      <c r="H1844" s="10">
        <f t="shared" si="86"/>
        <v>2.0041000000000002</v>
      </c>
    </row>
    <row r="1845" spans="1:8" x14ac:dyDescent="0.2">
      <c r="A1845" s="1">
        <v>10</v>
      </c>
      <c r="B1845" s="1" t="str">
        <v>2020-07-17</v>
      </c>
      <c r="C1845" s="1">
        <v>1.73</v>
      </c>
      <c r="F1845" s="8">
        <f t="shared" si="84"/>
        <v>10</v>
      </c>
      <c r="G1845" s="9">
        <f t="shared" si="85"/>
        <v>44029</v>
      </c>
      <c r="H1845" s="10">
        <f t="shared" si="86"/>
        <v>1.73</v>
      </c>
    </row>
    <row r="1846" spans="1:8" x14ac:dyDescent="0.2">
      <c r="A1846" s="1">
        <v>150</v>
      </c>
      <c r="B1846" s="1" t="str">
        <v>2020-07-17</v>
      </c>
      <c r="C1846" s="1">
        <v>1.899</v>
      </c>
      <c r="F1846" s="8">
        <f t="shared" si="84"/>
        <v>150</v>
      </c>
      <c r="G1846" s="9">
        <f t="shared" si="85"/>
        <v>44029</v>
      </c>
      <c r="H1846" s="10">
        <f t="shared" si="86"/>
        <v>1.899</v>
      </c>
    </row>
    <row r="1847" spans="1:8" x14ac:dyDescent="0.2">
      <c r="A1847" s="1">
        <v>32560</v>
      </c>
      <c r="B1847" s="1" t="str">
        <v>2020-07-17</v>
      </c>
      <c r="C1847" s="1">
        <v>1.6994</v>
      </c>
      <c r="F1847" s="8">
        <f t="shared" si="84"/>
        <v>32560</v>
      </c>
      <c r="G1847" s="9">
        <f t="shared" si="85"/>
        <v>44029</v>
      </c>
      <c r="H1847" s="10">
        <f t="shared" si="86"/>
        <v>1.6994</v>
      </c>
    </row>
    <row r="1848" spans="1:8" x14ac:dyDescent="0.2">
      <c r="A1848" s="1">
        <v>32340</v>
      </c>
      <c r="B1848" s="1" t="str">
        <v>2020-07-17</v>
      </c>
      <c r="C1848" s="1">
        <v>1.6384000000000001</v>
      </c>
      <c r="F1848" s="8">
        <f t="shared" si="84"/>
        <v>32340</v>
      </c>
      <c r="G1848" s="9">
        <f t="shared" si="85"/>
        <v>44029</v>
      </c>
      <c r="H1848" s="10">
        <f t="shared" si="86"/>
        <v>1.6384000000000001</v>
      </c>
    </row>
    <row r="1849" spans="1:8" x14ac:dyDescent="0.2">
      <c r="A1849" s="1">
        <v>32724</v>
      </c>
      <c r="B1849" s="1" t="str">
        <v>2020-07-17</v>
      </c>
      <c r="C1849" s="1">
        <v>1.8924000000000001</v>
      </c>
      <c r="F1849" s="8">
        <f t="shared" si="84"/>
        <v>32724</v>
      </c>
      <c r="G1849" s="9">
        <f t="shared" si="85"/>
        <v>44029</v>
      </c>
      <c r="H1849" s="10">
        <f t="shared" si="86"/>
        <v>1.8924000000000001</v>
      </c>
    </row>
    <row r="1850" spans="1:8" x14ac:dyDescent="0.2">
      <c r="A1850" s="1">
        <v>33130</v>
      </c>
      <c r="B1850" s="1" t="str">
        <v>2020-07-17</v>
      </c>
      <c r="C1850" s="1">
        <v>1.8416999999999999</v>
      </c>
      <c r="F1850" s="8">
        <f t="shared" si="84"/>
        <v>33130</v>
      </c>
      <c r="G1850" s="9">
        <f t="shared" si="85"/>
        <v>44029</v>
      </c>
      <c r="H1850" s="10">
        <f t="shared" si="86"/>
        <v>1.8416999999999999</v>
      </c>
    </row>
    <row r="1851" spans="1:8" x14ac:dyDescent="0.2">
      <c r="A1851" s="1">
        <v>187</v>
      </c>
      <c r="B1851" s="1" t="str">
        <v>2020-07-17</v>
      </c>
      <c r="C1851" s="1">
        <v>1.8112999999999999</v>
      </c>
      <c r="F1851" s="8">
        <f t="shared" si="84"/>
        <v>187</v>
      </c>
      <c r="G1851" s="9">
        <f t="shared" si="85"/>
        <v>44029</v>
      </c>
      <c r="H1851" s="10">
        <f t="shared" si="86"/>
        <v>1.8112999999999999</v>
      </c>
    </row>
    <row r="1852" spans="1:8" x14ac:dyDescent="0.2">
      <c r="A1852" s="1">
        <v>101</v>
      </c>
      <c r="B1852" s="1" t="str">
        <v>2020-07-17</v>
      </c>
      <c r="C1852" s="1">
        <v>1.6994</v>
      </c>
      <c r="F1852" s="8">
        <f t="shared" si="84"/>
        <v>101</v>
      </c>
      <c r="G1852" s="9">
        <f t="shared" si="85"/>
        <v>44029</v>
      </c>
      <c r="H1852" s="10">
        <f t="shared" si="86"/>
        <v>1.6994</v>
      </c>
    </row>
    <row r="1853" spans="1:8" x14ac:dyDescent="0.2">
      <c r="A1853" s="1">
        <v>28</v>
      </c>
      <c r="B1853" s="1" t="str">
        <v>2020-07-17</v>
      </c>
      <c r="C1853" s="1">
        <v>1.4861</v>
      </c>
      <c r="F1853" s="8">
        <f t="shared" si="84"/>
        <v>28</v>
      </c>
      <c r="G1853" s="9">
        <f t="shared" si="85"/>
        <v>44029</v>
      </c>
      <c r="H1853" s="10">
        <f t="shared" si="86"/>
        <v>1.4861</v>
      </c>
    </row>
    <row r="1854" spans="1:8" x14ac:dyDescent="0.2">
      <c r="A1854" s="1">
        <v>2250</v>
      </c>
      <c r="B1854" s="1" t="str">
        <v>2020-07-17</v>
      </c>
      <c r="C1854" s="1">
        <v>1.5779000000000001</v>
      </c>
      <c r="F1854" s="8">
        <f t="shared" si="84"/>
        <v>2250</v>
      </c>
      <c r="G1854" s="9">
        <f t="shared" si="85"/>
        <v>44029</v>
      </c>
      <c r="H1854" s="10">
        <f t="shared" si="86"/>
        <v>1.5779000000000001</v>
      </c>
    </row>
    <row r="1855" spans="1:8" x14ac:dyDescent="0.2">
      <c r="A1855" s="1">
        <v>53</v>
      </c>
      <c r="B1855" s="1" t="str">
        <v>2020-07-20</v>
      </c>
      <c r="C1855" s="1">
        <v>1.6073999999999999</v>
      </c>
      <c r="F1855" s="8">
        <f t="shared" si="84"/>
        <v>53</v>
      </c>
      <c r="G1855" s="9">
        <f t="shared" si="85"/>
        <v>44032</v>
      </c>
      <c r="H1855" s="10">
        <f t="shared" si="86"/>
        <v>1.6073999999999999</v>
      </c>
    </row>
    <row r="1856" spans="1:8" x14ac:dyDescent="0.2">
      <c r="A1856" s="1">
        <v>34</v>
      </c>
      <c r="B1856" s="1" t="str">
        <v>2020-07-20</v>
      </c>
      <c r="C1856" s="1">
        <v>2.1869999999999998</v>
      </c>
      <c r="F1856" s="8">
        <f t="shared" si="84"/>
        <v>34</v>
      </c>
      <c r="G1856" s="9">
        <f t="shared" si="85"/>
        <v>44032</v>
      </c>
      <c r="H1856" s="10">
        <f t="shared" si="86"/>
        <v>2.1869999999999998</v>
      </c>
    </row>
    <row r="1857" spans="1:8" x14ac:dyDescent="0.2">
      <c r="A1857" s="1">
        <v>33143</v>
      </c>
      <c r="B1857" s="1" t="str">
        <v>2020-07-20</v>
      </c>
      <c r="C1857" s="1">
        <v>1.7</v>
      </c>
      <c r="F1857" s="8">
        <f t="shared" si="84"/>
        <v>33143</v>
      </c>
      <c r="G1857" s="9">
        <f t="shared" si="85"/>
        <v>44032</v>
      </c>
      <c r="H1857" s="10">
        <f t="shared" si="86"/>
        <v>1.7</v>
      </c>
    </row>
    <row r="1858" spans="1:8" x14ac:dyDescent="0.2">
      <c r="A1858" s="1">
        <v>32200</v>
      </c>
      <c r="B1858" s="1" t="str">
        <v>2020-07-20</v>
      </c>
      <c r="C1858" s="1">
        <v>1.3447</v>
      </c>
      <c r="F1858" s="8">
        <f t="shared" si="84"/>
        <v>32200</v>
      </c>
      <c r="G1858" s="9">
        <f t="shared" si="85"/>
        <v>44032</v>
      </c>
      <c r="H1858" s="10">
        <f t="shared" si="86"/>
        <v>1.3447</v>
      </c>
    </row>
    <row r="1859" spans="1:8" x14ac:dyDescent="0.2">
      <c r="A1859" s="1">
        <v>32421</v>
      </c>
      <c r="B1859" s="1" t="str">
        <v>2020-07-20</v>
      </c>
      <c r="C1859" s="1">
        <v>1.6706000000000001</v>
      </c>
      <c r="F1859" s="8">
        <f t="shared" si="84"/>
        <v>32421</v>
      </c>
      <c r="G1859" s="9">
        <f t="shared" si="85"/>
        <v>44032</v>
      </c>
      <c r="H1859" s="10">
        <f t="shared" si="86"/>
        <v>1.6706000000000001</v>
      </c>
    </row>
    <row r="1860" spans="1:8" x14ac:dyDescent="0.2">
      <c r="A1860" s="1">
        <v>32380</v>
      </c>
      <c r="B1860" s="1" t="str">
        <v>2020-07-20</v>
      </c>
      <c r="C1860" s="1">
        <v>1.9024000000000001</v>
      </c>
      <c r="F1860" s="8">
        <f t="shared" si="84"/>
        <v>32380</v>
      </c>
      <c r="G1860" s="9">
        <f t="shared" si="85"/>
        <v>44032</v>
      </c>
      <c r="H1860" s="10">
        <f t="shared" si="86"/>
        <v>1.9024000000000001</v>
      </c>
    </row>
    <row r="1861" spans="1:8" x14ac:dyDescent="0.2">
      <c r="A1861" s="1">
        <v>1</v>
      </c>
      <c r="B1861" s="1" t="str">
        <v>2020-07-20</v>
      </c>
      <c r="C1861" s="1">
        <v>1.5774999999999999</v>
      </c>
      <c r="F1861" s="8">
        <f t="shared" si="84"/>
        <v>1</v>
      </c>
      <c r="G1861" s="9">
        <f t="shared" si="85"/>
        <v>44032</v>
      </c>
      <c r="H1861" s="10">
        <f t="shared" si="86"/>
        <v>1.5774999999999999</v>
      </c>
    </row>
    <row r="1862" spans="1:8" x14ac:dyDescent="0.2">
      <c r="A1862" s="1">
        <v>178</v>
      </c>
      <c r="B1862" s="1" t="str">
        <v>2020-07-21</v>
      </c>
      <c r="C1862" s="1">
        <v>1.9702</v>
      </c>
      <c r="F1862" s="8">
        <f t="shared" si="84"/>
        <v>178</v>
      </c>
      <c r="G1862" s="9">
        <f t="shared" si="85"/>
        <v>44033</v>
      </c>
      <c r="H1862" s="10">
        <f t="shared" si="86"/>
        <v>1.9702</v>
      </c>
    </row>
    <row r="1863" spans="1:8" x14ac:dyDescent="0.2">
      <c r="A1863" s="1">
        <v>33103</v>
      </c>
      <c r="B1863" s="1" t="str">
        <v>2020-07-21</v>
      </c>
      <c r="C1863" s="1">
        <v>2.4148999999999998</v>
      </c>
      <c r="F1863" s="8">
        <f t="shared" si="84"/>
        <v>33103</v>
      </c>
      <c r="G1863" s="9">
        <f t="shared" si="85"/>
        <v>44033</v>
      </c>
      <c r="H1863" s="10">
        <f t="shared" si="86"/>
        <v>2.4148999999999998</v>
      </c>
    </row>
    <row r="1864" spans="1:8" x14ac:dyDescent="0.2">
      <c r="A1864" s="1">
        <v>33130</v>
      </c>
      <c r="B1864" s="1" t="str">
        <v>2020-07-21</v>
      </c>
      <c r="C1864" s="1">
        <v>1.7806</v>
      </c>
      <c r="F1864" s="8">
        <f t="shared" si="84"/>
        <v>33130</v>
      </c>
      <c r="G1864" s="9">
        <f t="shared" si="85"/>
        <v>44033</v>
      </c>
      <c r="H1864" s="10">
        <f t="shared" si="86"/>
        <v>1.7806</v>
      </c>
    </row>
    <row r="1865" spans="1:8" x14ac:dyDescent="0.2">
      <c r="A1865" s="1">
        <v>32400</v>
      </c>
      <c r="B1865" s="1" t="str">
        <v>2020-07-21</v>
      </c>
      <c r="C1865" s="1">
        <v>1.8722000000000001</v>
      </c>
      <c r="F1865" s="8">
        <f t="shared" ref="F1865:F1928" si="87">A1865</f>
        <v>32400</v>
      </c>
      <c r="G1865" s="9">
        <f t="shared" ref="G1865:G1928" si="88">DATE(LEFT(B1865,4),MID(B1865,6,2),RIGHT(B1865,2))</f>
        <v>44033</v>
      </c>
      <c r="H1865" s="10">
        <f t="shared" ref="H1865:H1928" si="89">C1865</f>
        <v>1.8722000000000001</v>
      </c>
    </row>
    <row r="1866" spans="1:8" x14ac:dyDescent="0.2">
      <c r="A1866" s="1">
        <v>32582</v>
      </c>
      <c r="B1866" s="1" t="str">
        <v>2020-07-21</v>
      </c>
      <c r="C1866" s="1">
        <v>1.7603</v>
      </c>
      <c r="F1866" s="8">
        <f t="shared" si="87"/>
        <v>32582</v>
      </c>
      <c r="G1866" s="9">
        <f t="shared" si="88"/>
        <v>44033</v>
      </c>
      <c r="H1866" s="10">
        <f t="shared" si="89"/>
        <v>1.7603</v>
      </c>
    </row>
    <row r="1867" spans="1:8" x14ac:dyDescent="0.2">
      <c r="A1867" s="1">
        <v>32963</v>
      </c>
      <c r="B1867" s="1" t="str">
        <v>2020-07-22</v>
      </c>
      <c r="C1867" s="1">
        <v>1.5778000000000001</v>
      </c>
      <c r="F1867" s="8">
        <f t="shared" si="87"/>
        <v>32963</v>
      </c>
      <c r="G1867" s="9">
        <f t="shared" si="88"/>
        <v>44034</v>
      </c>
      <c r="H1867" s="10">
        <f t="shared" si="89"/>
        <v>1.5778000000000001</v>
      </c>
    </row>
    <row r="1868" spans="1:8" x14ac:dyDescent="0.2">
      <c r="A1868" s="1">
        <v>32</v>
      </c>
      <c r="B1868" s="1" t="str">
        <v>2020-07-22</v>
      </c>
      <c r="C1868" s="1">
        <v>1.6691</v>
      </c>
      <c r="F1868" s="8">
        <f t="shared" si="87"/>
        <v>32</v>
      </c>
      <c r="G1868" s="9">
        <f t="shared" si="88"/>
        <v>44034</v>
      </c>
      <c r="H1868" s="10">
        <f t="shared" si="89"/>
        <v>1.6691</v>
      </c>
    </row>
    <row r="1869" spans="1:8" x14ac:dyDescent="0.2">
      <c r="A1869" s="1">
        <v>250</v>
      </c>
      <c r="B1869" s="1" t="str">
        <v>2020-07-22</v>
      </c>
      <c r="C1869" s="1">
        <v>1.8110999999999999</v>
      </c>
      <c r="F1869" s="8">
        <f t="shared" si="87"/>
        <v>250</v>
      </c>
      <c r="G1869" s="9">
        <f t="shared" si="88"/>
        <v>44034</v>
      </c>
      <c r="H1869" s="10">
        <f t="shared" si="89"/>
        <v>1.8110999999999999</v>
      </c>
    </row>
    <row r="1870" spans="1:8" x14ac:dyDescent="0.2">
      <c r="A1870" s="1">
        <v>1</v>
      </c>
      <c r="B1870" s="1" t="str">
        <v>2020-07-22</v>
      </c>
      <c r="C1870" s="1">
        <v>1.5774999999999999</v>
      </c>
      <c r="F1870" s="8">
        <f t="shared" si="87"/>
        <v>1</v>
      </c>
      <c r="G1870" s="9">
        <f t="shared" si="88"/>
        <v>44034</v>
      </c>
      <c r="H1870" s="10">
        <f t="shared" si="89"/>
        <v>1.5774999999999999</v>
      </c>
    </row>
    <row r="1871" spans="1:8" x14ac:dyDescent="0.2">
      <c r="A1871" s="1">
        <v>157</v>
      </c>
      <c r="B1871" s="1" t="str">
        <v>2020-07-22</v>
      </c>
      <c r="C1871" s="1">
        <v>1.7</v>
      </c>
      <c r="F1871" s="8">
        <f t="shared" si="87"/>
        <v>157</v>
      </c>
      <c r="G1871" s="9">
        <f t="shared" si="88"/>
        <v>44034</v>
      </c>
      <c r="H1871" s="10">
        <f t="shared" si="89"/>
        <v>1.7</v>
      </c>
    </row>
    <row r="1872" spans="1:8" x14ac:dyDescent="0.2">
      <c r="A1872" s="1">
        <v>72</v>
      </c>
      <c r="B1872" s="1" t="str">
        <v>2020-07-22</v>
      </c>
      <c r="C1872" s="1">
        <v>1.7299</v>
      </c>
      <c r="F1872" s="8">
        <f t="shared" si="87"/>
        <v>72</v>
      </c>
      <c r="G1872" s="9">
        <f t="shared" si="88"/>
        <v>44034</v>
      </c>
      <c r="H1872" s="10">
        <f t="shared" si="89"/>
        <v>1.7299</v>
      </c>
    </row>
    <row r="1873" spans="1:8" x14ac:dyDescent="0.2">
      <c r="A1873" s="1">
        <v>161</v>
      </c>
      <c r="B1873" s="1" t="str">
        <v>2020-07-23</v>
      </c>
      <c r="C1873" s="1">
        <v>1.8109</v>
      </c>
      <c r="F1873" s="8">
        <f t="shared" si="87"/>
        <v>161</v>
      </c>
      <c r="G1873" s="9">
        <f t="shared" si="88"/>
        <v>44035</v>
      </c>
      <c r="H1873" s="10">
        <f t="shared" si="89"/>
        <v>1.8109</v>
      </c>
    </row>
    <row r="1874" spans="1:8" x14ac:dyDescent="0.2">
      <c r="A1874" s="1">
        <v>24</v>
      </c>
      <c r="B1874" s="1" t="str">
        <v>2020-07-23</v>
      </c>
      <c r="C1874" s="1">
        <v>1.7808999999999999</v>
      </c>
      <c r="F1874" s="8">
        <f t="shared" si="87"/>
        <v>24</v>
      </c>
      <c r="G1874" s="9">
        <f t="shared" si="88"/>
        <v>44035</v>
      </c>
      <c r="H1874" s="10">
        <f t="shared" si="89"/>
        <v>1.7808999999999999</v>
      </c>
    </row>
    <row r="1875" spans="1:8" x14ac:dyDescent="0.2">
      <c r="A1875" s="1">
        <v>32400</v>
      </c>
      <c r="B1875" s="1" t="str">
        <v>2020-07-23</v>
      </c>
      <c r="C1875" s="1">
        <v>1.9026000000000001</v>
      </c>
      <c r="F1875" s="8">
        <f t="shared" si="87"/>
        <v>32400</v>
      </c>
      <c r="G1875" s="9">
        <f t="shared" si="88"/>
        <v>44035</v>
      </c>
      <c r="H1875" s="10">
        <f t="shared" si="89"/>
        <v>1.9026000000000001</v>
      </c>
    </row>
    <row r="1876" spans="1:8" x14ac:dyDescent="0.2">
      <c r="A1876" s="1">
        <v>32803</v>
      </c>
      <c r="B1876" s="1" t="str">
        <v>2020-07-23</v>
      </c>
      <c r="C1876" s="1">
        <v>1.5474000000000001</v>
      </c>
      <c r="F1876" s="8">
        <f t="shared" si="87"/>
        <v>32803</v>
      </c>
      <c r="G1876" s="9">
        <f t="shared" si="88"/>
        <v>44035</v>
      </c>
      <c r="H1876" s="10">
        <f t="shared" si="89"/>
        <v>1.5474000000000001</v>
      </c>
    </row>
    <row r="1877" spans="1:8" x14ac:dyDescent="0.2">
      <c r="A1877" s="1">
        <v>33129</v>
      </c>
      <c r="B1877" s="1" t="str">
        <v>2020-07-23</v>
      </c>
      <c r="C1877" s="1">
        <v>1.5472999999999999</v>
      </c>
      <c r="F1877" s="8">
        <f t="shared" si="87"/>
        <v>33129</v>
      </c>
      <c r="G1877" s="9">
        <f t="shared" si="88"/>
        <v>44035</v>
      </c>
      <c r="H1877" s="10">
        <f t="shared" si="89"/>
        <v>1.5472999999999999</v>
      </c>
    </row>
    <row r="1878" spans="1:8" x14ac:dyDescent="0.2">
      <c r="A1878" s="1">
        <v>139</v>
      </c>
      <c r="B1878" s="1" t="str">
        <v>2020-07-23</v>
      </c>
      <c r="C1878" s="1">
        <v>1.8313999999999999</v>
      </c>
      <c r="F1878" s="8">
        <f t="shared" si="87"/>
        <v>139</v>
      </c>
      <c r="G1878" s="9">
        <f t="shared" si="88"/>
        <v>44035</v>
      </c>
      <c r="H1878" s="10">
        <f t="shared" si="89"/>
        <v>1.8313999999999999</v>
      </c>
    </row>
    <row r="1879" spans="1:8" x14ac:dyDescent="0.2">
      <c r="A1879" s="1">
        <v>32783</v>
      </c>
      <c r="B1879" s="1" t="str">
        <v>2020-07-23</v>
      </c>
      <c r="C1879" s="1">
        <v>1.9433</v>
      </c>
      <c r="F1879" s="8">
        <f t="shared" si="87"/>
        <v>32783</v>
      </c>
      <c r="G1879" s="9">
        <f t="shared" si="88"/>
        <v>44035</v>
      </c>
      <c r="H1879" s="10">
        <f t="shared" si="89"/>
        <v>1.9433</v>
      </c>
    </row>
    <row r="1880" spans="1:8" x14ac:dyDescent="0.2">
      <c r="A1880" s="1">
        <v>32081</v>
      </c>
      <c r="B1880" s="1" t="str">
        <v>2020-07-23</v>
      </c>
      <c r="C1880" s="1">
        <v>1.0013000000000001</v>
      </c>
      <c r="F1880" s="8">
        <f t="shared" si="87"/>
        <v>32081</v>
      </c>
      <c r="G1880" s="9">
        <f t="shared" si="88"/>
        <v>44035</v>
      </c>
      <c r="H1880" s="10">
        <f t="shared" si="89"/>
        <v>1.0013000000000001</v>
      </c>
    </row>
    <row r="1881" spans="1:8" x14ac:dyDescent="0.2">
      <c r="A1881" s="1">
        <v>89</v>
      </c>
      <c r="B1881" s="1" t="str">
        <v>2020-07-23</v>
      </c>
      <c r="C1881" s="1">
        <v>2.1158000000000001</v>
      </c>
      <c r="F1881" s="8">
        <f t="shared" si="87"/>
        <v>89</v>
      </c>
      <c r="G1881" s="9">
        <f t="shared" si="88"/>
        <v>44035</v>
      </c>
      <c r="H1881" s="10">
        <f t="shared" si="89"/>
        <v>2.1158000000000001</v>
      </c>
    </row>
    <row r="1882" spans="1:8" x14ac:dyDescent="0.2">
      <c r="A1882" s="1">
        <v>30400</v>
      </c>
      <c r="B1882" s="1" t="str">
        <v>2020-07-23</v>
      </c>
      <c r="C1882" s="1">
        <v>1.6486000000000001</v>
      </c>
      <c r="F1882" s="8">
        <f t="shared" si="87"/>
        <v>30400</v>
      </c>
      <c r="G1882" s="9">
        <f t="shared" si="88"/>
        <v>44035</v>
      </c>
      <c r="H1882" s="10">
        <f t="shared" si="89"/>
        <v>1.6486000000000001</v>
      </c>
    </row>
    <row r="1883" spans="1:8" x14ac:dyDescent="0.2">
      <c r="A1883" s="1">
        <v>33130</v>
      </c>
      <c r="B1883" s="1" t="str">
        <v>2020-07-23</v>
      </c>
      <c r="C1883" s="1">
        <v>1.8008999999999999</v>
      </c>
      <c r="F1883" s="8">
        <f t="shared" si="87"/>
        <v>33130</v>
      </c>
      <c r="G1883" s="9">
        <f t="shared" si="88"/>
        <v>44035</v>
      </c>
      <c r="H1883" s="10">
        <f t="shared" si="89"/>
        <v>1.8008999999999999</v>
      </c>
    </row>
    <row r="1884" spans="1:8" x14ac:dyDescent="0.2">
      <c r="A1884" s="1">
        <v>176</v>
      </c>
      <c r="B1884" s="1" t="str">
        <v>2020-07-23</v>
      </c>
      <c r="C1884" s="1">
        <v>1.659</v>
      </c>
      <c r="F1884" s="8">
        <f t="shared" si="87"/>
        <v>176</v>
      </c>
      <c r="G1884" s="9">
        <f t="shared" si="88"/>
        <v>44035</v>
      </c>
      <c r="H1884" s="10">
        <f t="shared" si="89"/>
        <v>1.659</v>
      </c>
    </row>
    <row r="1885" spans="1:8" x14ac:dyDescent="0.2">
      <c r="A1885" s="1">
        <v>32863</v>
      </c>
      <c r="B1885" s="1" t="str">
        <v>2020-07-24</v>
      </c>
      <c r="C1885" s="1">
        <v>1.5071000000000001</v>
      </c>
      <c r="F1885" s="8">
        <f t="shared" si="87"/>
        <v>32863</v>
      </c>
      <c r="G1885" s="9">
        <f t="shared" si="88"/>
        <v>44036</v>
      </c>
      <c r="H1885" s="10">
        <f t="shared" si="89"/>
        <v>1.5071000000000001</v>
      </c>
    </row>
    <row r="1886" spans="1:8" x14ac:dyDescent="0.2">
      <c r="A1886" s="1">
        <v>191</v>
      </c>
      <c r="B1886" s="1" t="str">
        <v>2020-07-24</v>
      </c>
      <c r="C1886" s="1">
        <v>1.5069999999999999</v>
      </c>
      <c r="F1886" s="8">
        <f t="shared" si="87"/>
        <v>191</v>
      </c>
      <c r="G1886" s="9">
        <f t="shared" si="88"/>
        <v>44036</v>
      </c>
      <c r="H1886" s="10">
        <f t="shared" si="89"/>
        <v>1.5069999999999999</v>
      </c>
    </row>
    <row r="1887" spans="1:8" x14ac:dyDescent="0.2">
      <c r="A1887" s="1">
        <v>137</v>
      </c>
      <c r="B1887" s="1" t="str">
        <v>2020-07-24</v>
      </c>
      <c r="C1887" s="1">
        <v>2.0653000000000001</v>
      </c>
      <c r="F1887" s="8">
        <f t="shared" si="87"/>
        <v>137</v>
      </c>
      <c r="G1887" s="9">
        <f t="shared" si="88"/>
        <v>44036</v>
      </c>
      <c r="H1887" s="10">
        <f t="shared" si="89"/>
        <v>2.0653000000000001</v>
      </c>
    </row>
    <row r="1888" spans="1:8" x14ac:dyDescent="0.2">
      <c r="A1888" s="1">
        <v>32</v>
      </c>
      <c r="B1888" s="1" t="str">
        <v>2020-07-24</v>
      </c>
      <c r="C1888" s="1">
        <v>1.6337999999999999</v>
      </c>
      <c r="F1888" s="8">
        <f t="shared" si="87"/>
        <v>32</v>
      </c>
      <c r="G1888" s="9">
        <f t="shared" si="88"/>
        <v>44036</v>
      </c>
      <c r="H1888" s="10">
        <f t="shared" si="89"/>
        <v>1.6337999999999999</v>
      </c>
    </row>
    <row r="1889" spans="1:8" x14ac:dyDescent="0.2">
      <c r="A1889" s="1">
        <v>33143</v>
      </c>
      <c r="B1889" s="1" t="str">
        <v>2020-07-24</v>
      </c>
      <c r="C1889" s="1">
        <v>1.5</v>
      </c>
      <c r="F1889" s="8">
        <f t="shared" si="87"/>
        <v>33143</v>
      </c>
      <c r="G1889" s="9">
        <f t="shared" si="88"/>
        <v>44036</v>
      </c>
      <c r="H1889" s="10">
        <f t="shared" si="89"/>
        <v>1.5</v>
      </c>
    </row>
    <row r="1890" spans="1:8" x14ac:dyDescent="0.2">
      <c r="A1890" s="1">
        <v>32480</v>
      </c>
      <c r="B1890" s="1" t="str">
        <v>2020-07-24</v>
      </c>
      <c r="C1890" s="1">
        <v>1.6999</v>
      </c>
      <c r="F1890" s="8">
        <f t="shared" si="87"/>
        <v>32480</v>
      </c>
      <c r="G1890" s="9">
        <f t="shared" si="88"/>
        <v>44036</v>
      </c>
      <c r="H1890" s="10">
        <f t="shared" si="89"/>
        <v>1.6999</v>
      </c>
    </row>
    <row r="1891" spans="1:8" x14ac:dyDescent="0.2">
      <c r="A1891" s="1">
        <v>32400</v>
      </c>
      <c r="B1891" s="1" t="str">
        <v>2020-07-24</v>
      </c>
      <c r="C1891" s="1">
        <v>1.6795</v>
      </c>
      <c r="F1891" s="8">
        <f t="shared" si="87"/>
        <v>32400</v>
      </c>
      <c r="G1891" s="9">
        <f t="shared" si="88"/>
        <v>44036</v>
      </c>
      <c r="H1891" s="10">
        <f t="shared" si="89"/>
        <v>1.6795</v>
      </c>
    </row>
    <row r="1892" spans="1:8" x14ac:dyDescent="0.2">
      <c r="A1892" s="1">
        <v>32180</v>
      </c>
      <c r="B1892" s="1" t="str">
        <v>2020-07-24</v>
      </c>
      <c r="C1892" s="1">
        <v>1.5631999999999999</v>
      </c>
      <c r="F1892" s="8">
        <f t="shared" si="87"/>
        <v>32180</v>
      </c>
      <c r="G1892" s="9">
        <f t="shared" si="88"/>
        <v>44036</v>
      </c>
      <c r="H1892" s="10">
        <f t="shared" si="89"/>
        <v>1.5631999999999999</v>
      </c>
    </row>
    <row r="1893" spans="1:8" x14ac:dyDescent="0.2">
      <c r="A1893" s="1">
        <v>13250</v>
      </c>
      <c r="B1893" s="1" t="str">
        <v>2020-07-24</v>
      </c>
      <c r="C1893" s="1">
        <v>1.2746</v>
      </c>
      <c r="F1893" s="8">
        <f t="shared" si="87"/>
        <v>13250</v>
      </c>
      <c r="G1893" s="9">
        <f t="shared" si="88"/>
        <v>44036</v>
      </c>
      <c r="H1893" s="10">
        <f t="shared" si="89"/>
        <v>1.2746</v>
      </c>
    </row>
    <row r="1894" spans="1:8" x14ac:dyDescent="0.2">
      <c r="A1894" s="1">
        <v>32081</v>
      </c>
      <c r="B1894" s="1" t="str">
        <v>2020-07-24</v>
      </c>
      <c r="C1894" s="1">
        <v>0.98150000000000004</v>
      </c>
      <c r="F1894" s="8">
        <f t="shared" si="87"/>
        <v>32081</v>
      </c>
      <c r="G1894" s="9">
        <f t="shared" si="88"/>
        <v>44036</v>
      </c>
      <c r="H1894" s="10">
        <f t="shared" si="89"/>
        <v>0.98150000000000004</v>
      </c>
    </row>
    <row r="1895" spans="1:8" x14ac:dyDescent="0.2">
      <c r="A1895" s="1">
        <v>20</v>
      </c>
      <c r="B1895" s="1" t="str">
        <v>2020-07-24</v>
      </c>
      <c r="C1895" s="1">
        <v>1.9028</v>
      </c>
      <c r="F1895" s="8">
        <f t="shared" si="87"/>
        <v>20</v>
      </c>
      <c r="G1895" s="9">
        <f t="shared" si="88"/>
        <v>44036</v>
      </c>
      <c r="H1895" s="10">
        <f t="shared" si="89"/>
        <v>1.9028</v>
      </c>
    </row>
    <row r="1896" spans="1:8" x14ac:dyDescent="0.2">
      <c r="A1896" s="1">
        <v>55</v>
      </c>
      <c r="B1896" s="1" t="str">
        <v>2020-07-24</v>
      </c>
      <c r="C1896" s="1">
        <v>1.3249</v>
      </c>
      <c r="F1896" s="8">
        <f t="shared" si="87"/>
        <v>55</v>
      </c>
      <c r="G1896" s="9">
        <f t="shared" si="88"/>
        <v>44036</v>
      </c>
      <c r="H1896" s="10">
        <f t="shared" si="89"/>
        <v>1.3249</v>
      </c>
    </row>
    <row r="1897" spans="1:8" x14ac:dyDescent="0.2">
      <c r="A1897" s="1">
        <v>33125</v>
      </c>
      <c r="B1897" s="1" t="str">
        <v>2020-07-24</v>
      </c>
      <c r="C1897" s="1">
        <v>1.6487000000000001</v>
      </c>
      <c r="F1897" s="8">
        <f t="shared" si="87"/>
        <v>33125</v>
      </c>
      <c r="G1897" s="9">
        <f t="shared" si="88"/>
        <v>44036</v>
      </c>
      <c r="H1897" s="10">
        <f t="shared" si="89"/>
        <v>1.6487000000000001</v>
      </c>
    </row>
    <row r="1898" spans="1:8" x14ac:dyDescent="0.2">
      <c r="A1898" s="1">
        <v>32360</v>
      </c>
      <c r="B1898" s="1" t="str">
        <v>2020-07-24</v>
      </c>
      <c r="C1898" s="1">
        <v>1.3653999999999999</v>
      </c>
      <c r="F1898" s="8">
        <f t="shared" si="87"/>
        <v>32360</v>
      </c>
      <c r="G1898" s="9">
        <f t="shared" si="88"/>
        <v>44036</v>
      </c>
      <c r="H1898" s="10">
        <f t="shared" si="89"/>
        <v>1.3653999999999999</v>
      </c>
    </row>
    <row r="1899" spans="1:8" x14ac:dyDescent="0.2">
      <c r="A1899" s="1">
        <v>32280</v>
      </c>
      <c r="B1899" s="1" t="str">
        <v>2020-07-24</v>
      </c>
      <c r="C1899" s="1">
        <v>1.6895</v>
      </c>
      <c r="F1899" s="8">
        <f t="shared" si="87"/>
        <v>32280</v>
      </c>
      <c r="G1899" s="9">
        <f t="shared" si="88"/>
        <v>44036</v>
      </c>
      <c r="H1899" s="10">
        <f t="shared" si="89"/>
        <v>1.6895</v>
      </c>
    </row>
    <row r="1900" spans="1:8" x14ac:dyDescent="0.2">
      <c r="A1900" s="1">
        <v>33023</v>
      </c>
      <c r="B1900" s="1" t="str">
        <v>2020-07-24</v>
      </c>
      <c r="C1900" s="1">
        <v>1.9027000000000001</v>
      </c>
      <c r="F1900" s="8">
        <f t="shared" si="87"/>
        <v>33023</v>
      </c>
      <c r="G1900" s="9">
        <f t="shared" si="88"/>
        <v>44036</v>
      </c>
      <c r="H1900" s="10">
        <f t="shared" si="89"/>
        <v>1.9027000000000001</v>
      </c>
    </row>
    <row r="1901" spans="1:8" x14ac:dyDescent="0.2">
      <c r="A1901" s="1">
        <v>31</v>
      </c>
      <c r="B1901" s="1" t="str">
        <v>2020-07-24</v>
      </c>
      <c r="C1901" s="1">
        <v>1.5989</v>
      </c>
      <c r="F1901" s="8">
        <f t="shared" si="87"/>
        <v>31</v>
      </c>
      <c r="G1901" s="9">
        <f t="shared" si="88"/>
        <v>44036</v>
      </c>
      <c r="H1901" s="10">
        <f t="shared" si="89"/>
        <v>1.5989</v>
      </c>
    </row>
    <row r="1902" spans="1:8" x14ac:dyDescent="0.2">
      <c r="A1902" s="1">
        <v>156</v>
      </c>
      <c r="B1902" s="1" t="str">
        <v>2020-07-24</v>
      </c>
      <c r="C1902" s="1">
        <v>2.1164999999999998</v>
      </c>
      <c r="F1902" s="8">
        <f t="shared" si="87"/>
        <v>156</v>
      </c>
      <c r="G1902" s="9">
        <f t="shared" si="88"/>
        <v>44036</v>
      </c>
      <c r="H1902" s="10">
        <f t="shared" si="89"/>
        <v>2.1164999999999998</v>
      </c>
    </row>
    <row r="1903" spans="1:8" x14ac:dyDescent="0.2">
      <c r="A1903" s="1">
        <v>30400</v>
      </c>
      <c r="B1903" s="1" t="str">
        <v>2020-07-24</v>
      </c>
      <c r="C1903" s="1">
        <v>1.1531</v>
      </c>
      <c r="F1903" s="8">
        <f t="shared" si="87"/>
        <v>30400</v>
      </c>
      <c r="G1903" s="9">
        <f t="shared" si="88"/>
        <v>44036</v>
      </c>
      <c r="H1903" s="10">
        <f t="shared" si="89"/>
        <v>1.1531</v>
      </c>
    </row>
    <row r="1904" spans="1:8" x14ac:dyDescent="0.2">
      <c r="A1904" s="1">
        <v>67</v>
      </c>
      <c r="B1904" s="1" t="str">
        <v>2020-07-24</v>
      </c>
      <c r="C1904" s="1">
        <v>1.6691</v>
      </c>
      <c r="F1904" s="8">
        <f t="shared" si="87"/>
        <v>67</v>
      </c>
      <c r="G1904" s="9">
        <f t="shared" si="88"/>
        <v>44036</v>
      </c>
      <c r="H1904" s="10">
        <f t="shared" si="89"/>
        <v>1.6691</v>
      </c>
    </row>
    <row r="1905" spans="1:8" x14ac:dyDescent="0.2">
      <c r="A1905" s="1">
        <v>133</v>
      </c>
      <c r="B1905" s="1" t="str">
        <v>2020-07-24</v>
      </c>
      <c r="C1905" s="1">
        <v>1.4968999999999999</v>
      </c>
      <c r="F1905" s="8">
        <f t="shared" si="87"/>
        <v>133</v>
      </c>
      <c r="G1905" s="9">
        <f t="shared" si="88"/>
        <v>44036</v>
      </c>
      <c r="H1905" s="10">
        <f t="shared" si="89"/>
        <v>1.4968999999999999</v>
      </c>
    </row>
    <row r="1906" spans="1:8" x14ac:dyDescent="0.2">
      <c r="A1906" s="1">
        <v>139</v>
      </c>
      <c r="B1906" s="1" t="str">
        <v>2020-07-24</v>
      </c>
      <c r="C1906" s="1">
        <v>1.7605999999999999</v>
      </c>
      <c r="F1906" s="8">
        <f t="shared" si="87"/>
        <v>139</v>
      </c>
      <c r="G1906" s="9">
        <f t="shared" si="88"/>
        <v>44036</v>
      </c>
      <c r="H1906" s="10">
        <f t="shared" si="89"/>
        <v>1.7605999999999999</v>
      </c>
    </row>
    <row r="1907" spans="1:8" x14ac:dyDescent="0.2">
      <c r="A1907" s="1">
        <v>34</v>
      </c>
      <c r="B1907" s="1" t="str">
        <v>2020-07-24</v>
      </c>
      <c r="C1907" s="1">
        <v>1.9428000000000001</v>
      </c>
      <c r="F1907" s="8">
        <f t="shared" si="87"/>
        <v>34</v>
      </c>
      <c r="G1907" s="9">
        <f t="shared" si="88"/>
        <v>44036</v>
      </c>
      <c r="H1907" s="10">
        <f t="shared" si="89"/>
        <v>1.9428000000000001</v>
      </c>
    </row>
    <row r="1908" spans="1:8" x14ac:dyDescent="0.2">
      <c r="A1908" s="1">
        <v>115</v>
      </c>
      <c r="B1908" s="1" t="str">
        <v>2020-07-24</v>
      </c>
      <c r="C1908" s="1">
        <v>1.6998</v>
      </c>
      <c r="F1908" s="8">
        <f t="shared" si="87"/>
        <v>115</v>
      </c>
      <c r="G1908" s="9">
        <f t="shared" si="88"/>
        <v>44036</v>
      </c>
      <c r="H1908" s="10">
        <f t="shared" si="89"/>
        <v>1.6998</v>
      </c>
    </row>
    <row r="1909" spans="1:8" x14ac:dyDescent="0.2">
      <c r="A1909" s="1">
        <v>33203</v>
      </c>
      <c r="B1909" s="1" t="str">
        <v>2020-07-24</v>
      </c>
      <c r="C1909" s="1">
        <v>1.7949999999999999</v>
      </c>
      <c r="F1909" s="8">
        <f t="shared" si="87"/>
        <v>33203</v>
      </c>
      <c r="G1909" s="9">
        <f t="shared" si="88"/>
        <v>44036</v>
      </c>
      <c r="H1909" s="10">
        <f t="shared" si="89"/>
        <v>1.7949999999999999</v>
      </c>
    </row>
    <row r="1910" spans="1:8" x14ac:dyDescent="0.2">
      <c r="A1910" s="1">
        <v>10</v>
      </c>
      <c r="B1910" s="1" t="str">
        <v>2020-07-24</v>
      </c>
      <c r="C1910" s="1">
        <v>1.5882000000000001</v>
      </c>
      <c r="F1910" s="8">
        <f t="shared" si="87"/>
        <v>10</v>
      </c>
      <c r="G1910" s="9">
        <f t="shared" si="88"/>
        <v>44036</v>
      </c>
      <c r="H1910" s="10">
        <f t="shared" si="89"/>
        <v>1.5882000000000001</v>
      </c>
    </row>
    <row r="1911" spans="1:8" x14ac:dyDescent="0.2">
      <c r="A1911" s="1">
        <v>1</v>
      </c>
      <c r="B1911" s="1" t="str">
        <v>2020-07-24</v>
      </c>
      <c r="C1911" s="1">
        <v>1.4766999999999999</v>
      </c>
      <c r="F1911" s="8">
        <f t="shared" si="87"/>
        <v>1</v>
      </c>
      <c r="G1911" s="9">
        <f t="shared" si="88"/>
        <v>44036</v>
      </c>
      <c r="H1911" s="10">
        <f t="shared" si="89"/>
        <v>1.4766999999999999</v>
      </c>
    </row>
    <row r="1912" spans="1:8" x14ac:dyDescent="0.2">
      <c r="A1912" s="1">
        <v>32724</v>
      </c>
      <c r="B1912" s="1" t="str">
        <v>2020-07-24</v>
      </c>
      <c r="C1912" s="1">
        <v>1.7504</v>
      </c>
      <c r="F1912" s="8">
        <f t="shared" si="87"/>
        <v>32724</v>
      </c>
      <c r="G1912" s="9">
        <f t="shared" si="88"/>
        <v>44036</v>
      </c>
      <c r="H1912" s="10">
        <f t="shared" si="89"/>
        <v>1.7504</v>
      </c>
    </row>
    <row r="1913" spans="1:8" x14ac:dyDescent="0.2">
      <c r="A1913" s="1">
        <v>32340</v>
      </c>
      <c r="B1913" s="1" t="str">
        <v>2020-07-24</v>
      </c>
      <c r="C1913" s="1">
        <v>1.5374000000000001</v>
      </c>
      <c r="F1913" s="8">
        <f t="shared" si="87"/>
        <v>32340</v>
      </c>
      <c r="G1913" s="9">
        <f t="shared" si="88"/>
        <v>44036</v>
      </c>
      <c r="H1913" s="10">
        <f t="shared" si="89"/>
        <v>1.5374000000000001</v>
      </c>
    </row>
    <row r="1914" spans="1:8" x14ac:dyDescent="0.2">
      <c r="A1914" s="1">
        <v>102</v>
      </c>
      <c r="B1914" s="1" t="str">
        <v>2020-07-24</v>
      </c>
      <c r="C1914" s="1">
        <v>1.5874999999999999</v>
      </c>
      <c r="F1914" s="8">
        <f t="shared" si="87"/>
        <v>102</v>
      </c>
      <c r="G1914" s="9">
        <f t="shared" si="88"/>
        <v>44036</v>
      </c>
      <c r="H1914" s="10">
        <f t="shared" si="89"/>
        <v>1.5874999999999999</v>
      </c>
    </row>
    <row r="1915" spans="1:8" x14ac:dyDescent="0.2">
      <c r="A1915" s="1">
        <v>32803</v>
      </c>
      <c r="B1915" s="1" t="str">
        <v>2020-07-24</v>
      </c>
      <c r="C1915" s="1">
        <v>1.3754</v>
      </c>
      <c r="F1915" s="8">
        <f t="shared" si="87"/>
        <v>32803</v>
      </c>
      <c r="G1915" s="9">
        <f t="shared" si="88"/>
        <v>44036</v>
      </c>
      <c r="H1915" s="10">
        <f t="shared" si="89"/>
        <v>1.3754</v>
      </c>
    </row>
    <row r="1916" spans="1:8" x14ac:dyDescent="0.2">
      <c r="A1916" s="1">
        <v>81</v>
      </c>
      <c r="B1916" s="1" t="str">
        <v>2020-07-24</v>
      </c>
      <c r="C1916" s="1">
        <v>2.0041000000000002</v>
      </c>
      <c r="F1916" s="8">
        <f t="shared" si="87"/>
        <v>81</v>
      </c>
      <c r="G1916" s="9">
        <f t="shared" si="88"/>
        <v>44036</v>
      </c>
      <c r="H1916" s="10">
        <f t="shared" si="89"/>
        <v>2.0041000000000002</v>
      </c>
    </row>
    <row r="1917" spans="1:8" x14ac:dyDescent="0.2">
      <c r="A1917" s="1">
        <v>33063</v>
      </c>
      <c r="B1917" s="1" t="str">
        <v>2020-07-24</v>
      </c>
      <c r="C1917" s="1">
        <v>2.2357999999999998</v>
      </c>
      <c r="F1917" s="8">
        <f t="shared" si="87"/>
        <v>33063</v>
      </c>
      <c r="G1917" s="9">
        <f t="shared" si="88"/>
        <v>44036</v>
      </c>
      <c r="H1917" s="10">
        <f t="shared" si="89"/>
        <v>2.2357999999999998</v>
      </c>
    </row>
    <row r="1918" spans="1:8" x14ac:dyDescent="0.2">
      <c r="A1918" s="1">
        <v>146</v>
      </c>
      <c r="B1918" s="1" t="str">
        <v>2020-07-24</v>
      </c>
      <c r="C1918" s="1">
        <v>1.7402</v>
      </c>
      <c r="F1918" s="8">
        <f t="shared" si="87"/>
        <v>146</v>
      </c>
      <c r="G1918" s="9">
        <f t="shared" si="88"/>
        <v>44036</v>
      </c>
      <c r="H1918" s="10">
        <f t="shared" si="89"/>
        <v>1.7402</v>
      </c>
    </row>
    <row r="1919" spans="1:8" x14ac:dyDescent="0.2">
      <c r="A1919" s="1">
        <v>72</v>
      </c>
      <c r="B1919" s="1" t="str">
        <v>2020-07-24</v>
      </c>
      <c r="C1919" s="1">
        <v>1.3673</v>
      </c>
      <c r="F1919" s="8">
        <f t="shared" si="87"/>
        <v>72</v>
      </c>
      <c r="G1919" s="9">
        <f t="shared" si="88"/>
        <v>44036</v>
      </c>
      <c r="H1919" s="10">
        <f t="shared" si="89"/>
        <v>1.3673</v>
      </c>
    </row>
    <row r="1920" spans="1:8" x14ac:dyDescent="0.2">
      <c r="A1920" s="1">
        <v>30250</v>
      </c>
      <c r="B1920" s="1" t="str">
        <v>2020-07-24</v>
      </c>
      <c r="C1920" s="1">
        <v>1.5475000000000001</v>
      </c>
      <c r="F1920" s="8">
        <f t="shared" si="87"/>
        <v>30250</v>
      </c>
      <c r="G1920" s="9">
        <f t="shared" si="88"/>
        <v>44036</v>
      </c>
      <c r="H1920" s="10">
        <f t="shared" si="89"/>
        <v>1.5475000000000001</v>
      </c>
    </row>
    <row r="1921" spans="1:8" x14ac:dyDescent="0.2">
      <c r="A1921" s="1">
        <v>32560</v>
      </c>
      <c r="B1921" s="1" t="str">
        <v>2020-07-24</v>
      </c>
      <c r="C1921" s="1">
        <v>1.5577000000000001</v>
      </c>
      <c r="F1921" s="8">
        <f t="shared" si="87"/>
        <v>32560</v>
      </c>
      <c r="G1921" s="9">
        <f t="shared" si="88"/>
        <v>44036</v>
      </c>
      <c r="H1921" s="10">
        <f t="shared" si="89"/>
        <v>1.5577000000000001</v>
      </c>
    </row>
    <row r="1922" spans="1:8" x14ac:dyDescent="0.2">
      <c r="A1922" s="1">
        <v>30300</v>
      </c>
      <c r="B1922" s="1" t="str">
        <v>2020-07-24</v>
      </c>
      <c r="C1922" s="1">
        <v>1.6796</v>
      </c>
      <c r="F1922" s="8">
        <f t="shared" si="87"/>
        <v>30300</v>
      </c>
      <c r="G1922" s="9">
        <f t="shared" si="88"/>
        <v>44036</v>
      </c>
      <c r="H1922" s="10">
        <f t="shared" si="89"/>
        <v>1.6796</v>
      </c>
    </row>
    <row r="1923" spans="1:8" x14ac:dyDescent="0.2">
      <c r="A1923" s="1">
        <v>33129</v>
      </c>
      <c r="B1923" s="1" t="str">
        <v>2020-07-24</v>
      </c>
      <c r="C1923" s="1">
        <v>1.345</v>
      </c>
      <c r="F1923" s="8">
        <f t="shared" si="87"/>
        <v>33129</v>
      </c>
      <c r="G1923" s="9">
        <f t="shared" si="88"/>
        <v>44036</v>
      </c>
      <c r="H1923" s="10">
        <f t="shared" si="89"/>
        <v>1.345</v>
      </c>
    </row>
    <row r="1924" spans="1:8" x14ac:dyDescent="0.2">
      <c r="A1924" s="1">
        <v>161</v>
      </c>
      <c r="B1924" s="1" t="str">
        <v>2020-07-24</v>
      </c>
      <c r="C1924" s="1">
        <v>1.6692</v>
      </c>
      <c r="F1924" s="8">
        <f t="shared" si="87"/>
        <v>161</v>
      </c>
      <c r="G1924" s="9">
        <f t="shared" si="88"/>
        <v>44036</v>
      </c>
      <c r="H1924" s="10">
        <f t="shared" si="89"/>
        <v>1.6692</v>
      </c>
    </row>
    <row r="1925" spans="1:8" x14ac:dyDescent="0.2">
      <c r="A1925" s="1">
        <v>9250</v>
      </c>
      <c r="B1925" s="1" t="str">
        <v>2020-07-24</v>
      </c>
      <c r="C1925" s="1">
        <v>1.93</v>
      </c>
      <c r="F1925" s="8">
        <f t="shared" si="87"/>
        <v>9250</v>
      </c>
      <c r="G1925" s="9">
        <f t="shared" si="88"/>
        <v>44036</v>
      </c>
      <c r="H1925" s="10">
        <f t="shared" si="89"/>
        <v>1.93</v>
      </c>
    </row>
    <row r="1926" spans="1:8" x14ac:dyDescent="0.2">
      <c r="A1926" s="1">
        <v>32582</v>
      </c>
      <c r="B1926" s="1" t="str">
        <v>2020-07-24</v>
      </c>
      <c r="C1926" s="1">
        <v>1.5170999999999999</v>
      </c>
      <c r="F1926" s="8">
        <f t="shared" si="87"/>
        <v>32582</v>
      </c>
      <c r="G1926" s="9">
        <f t="shared" si="88"/>
        <v>44036</v>
      </c>
      <c r="H1926" s="10">
        <f t="shared" si="89"/>
        <v>1.5170999999999999</v>
      </c>
    </row>
    <row r="1927" spans="1:8" x14ac:dyDescent="0.2">
      <c r="A1927" s="1">
        <v>53</v>
      </c>
      <c r="B1927" s="1" t="str">
        <v>2020-07-24</v>
      </c>
      <c r="C1927" s="1">
        <v>1.3749</v>
      </c>
      <c r="F1927" s="8">
        <f t="shared" si="87"/>
        <v>53</v>
      </c>
      <c r="G1927" s="9">
        <f t="shared" si="88"/>
        <v>44036</v>
      </c>
      <c r="H1927" s="10">
        <f t="shared" si="89"/>
        <v>1.3749</v>
      </c>
    </row>
    <row r="1928" spans="1:8" x14ac:dyDescent="0.2">
      <c r="A1928" s="1">
        <v>32121</v>
      </c>
      <c r="B1928" s="1" t="str">
        <v>2020-07-24</v>
      </c>
      <c r="C1928" s="1">
        <v>1.5071000000000001</v>
      </c>
      <c r="F1928" s="8">
        <f t="shared" si="87"/>
        <v>32121</v>
      </c>
      <c r="G1928" s="9">
        <f t="shared" si="88"/>
        <v>44036</v>
      </c>
      <c r="H1928" s="10">
        <f t="shared" si="89"/>
        <v>1.5071000000000001</v>
      </c>
    </row>
    <row r="1929" spans="1:8" x14ac:dyDescent="0.2">
      <c r="A1929" s="1">
        <v>150</v>
      </c>
      <c r="B1929" s="1" t="str">
        <v>2020-07-24</v>
      </c>
      <c r="C1929" s="1">
        <v>1.899</v>
      </c>
      <c r="F1929" s="8">
        <f t="shared" ref="F1929:F1992" si="90">A1929</f>
        <v>150</v>
      </c>
      <c r="G1929" s="9">
        <f t="shared" ref="G1929:G1992" si="91">DATE(LEFT(B1929,4),MID(B1929,6,2),RIGHT(B1929,2))</f>
        <v>44036</v>
      </c>
      <c r="H1929" s="10">
        <f t="shared" ref="H1929:H1992" si="92">C1929</f>
        <v>1.899</v>
      </c>
    </row>
    <row r="1930" spans="1:8" x14ac:dyDescent="0.2">
      <c r="A1930" s="1">
        <v>59</v>
      </c>
      <c r="B1930" s="1" t="str">
        <v>2020-07-24</v>
      </c>
      <c r="C1930" s="1">
        <v>1.6591</v>
      </c>
      <c r="F1930" s="8">
        <f t="shared" si="90"/>
        <v>59</v>
      </c>
      <c r="G1930" s="9">
        <f t="shared" si="91"/>
        <v>44036</v>
      </c>
      <c r="H1930" s="10">
        <f t="shared" si="92"/>
        <v>1.6591</v>
      </c>
    </row>
    <row r="1931" spans="1:8" x14ac:dyDescent="0.2">
      <c r="A1931" s="1">
        <v>32260</v>
      </c>
      <c r="B1931" s="1" t="str">
        <v>2020-07-24</v>
      </c>
      <c r="C1931" s="1">
        <v>1.7098</v>
      </c>
      <c r="F1931" s="8">
        <f t="shared" si="90"/>
        <v>32260</v>
      </c>
      <c r="G1931" s="9">
        <f t="shared" si="91"/>
        <v>44036</v>
      </c>
      <c r="H1931" s="10">
        <f t="shared" si="92"/>
        <v>1.7098</v>
      </c>
    </row>
    <row r="1932" spans="1:8" x14ac:dyDescent="0.2">
      <c r="A1932" s="1">
        <v>37</v>
      </c>
      <c r="B1932" s="1" t="str">
        <v>2020-07-24</v>
      </c>
      <c r="C1932" s="1">
        <v>1.9632000000000001</v>
      </c>
      <c r="F1932" s="8">
        <f t="shared" si="90"/>
        <v>37</v>
      </c>
      <c r="G1932" s="9">
        <f t="shared" si="91"/>
        <v>44036</v>
      </c>
      <c r="H1932" s="10">
        <f t="shared" si="92"/>
        <v>1.9632000000000001</v>
      </c>
    </row>
    <row r="1933" spans="1:8" x14ac:dyDescent="0.2">
      <c r="A1933" s="1">
        <v>99</v>
      </c>
      <c r="B1933" s="1" t="str">
        <v>2020-07-24</v>
      </c>
      <c r="C1933" s="1">
        <v>2.7589000000000001</v>
      </c>
      <c r="F1933" s="8">
        <f t="shared" si="90"/>
        <v>99</v>
      </c>
      <c r="G1933" s="9">
        <f t="shared" si="91"/>
        <v>44036</v>
      </c>
      <c r="H1933" s="10">
        <f t="shared" si="92"/>
        <v>2.7589000000000001</v>
      </c>
    </row>
    <row r="1934" spans="1:8" x14ac:dyDescent="0.2">
      <c r="A1934" s="1">
        <v>110</v>
      </c>
      <c r="B1934" s="1" t="str">
        <v>2020-07-24</v>
      </c>
      <c r="C1934" s="1">
        <v>1.6489</v>
      </c>
      <c r="F1934" s="8">
        <f t="shared" si="90"/>
        <v>110</v>
      </c>
      <c r="G1934" s="9">
        <f t="shared" si="91"/>
        <v>44036</v>
      </c>
      <c r="H1934" s="10">
        <f t="shared" si="92"/>
        <v>1.6489</v>
      </c>
    </row>
    <row r="1935" spans="1:8" x14ac:dyDescent="0.2">
      <c r="A1935" s="1">
        <v>32783</v>
      </c>
      <c r="B1935" s="1" t="str">
        <v>2020-07-24</v>
      </c>
      <c r="C1935" s="1">
        <v>1.8313999999999999</v>
      </c>
      <c r="F1935" s="8">
        <f t="shared" si="90"/>
        <v>32783</v>
      </c>
      <c r="G1935" s="9">
        <f t="shared" si="91"/>
        <v>44036</v>
      </c>
      <c r="H1935" s="10">
        <f t="shared" si="92"/>
        <v>1.8313999999999999</v>
      </c>
    </row>
    <row r="1936" spans="1:8" x14ac:dyDescent="0.2">
      <c r="A1936" s="1">
        <v>143</v>
      </c>
      <c r="B1936" s="1" t="str">
        <v>2020-07-24</v>
      </c>
      <c r="C1936" s="1">
        <v>1.5370999999999999</v>
      </c>
      <c r="F1936" s="8">
        <f t="shared" si="90"/>
        <v>143</v>
      </c>
      <c r="G1936" s="9">
        <f t="shared" si="91"/>
        <v>44036</v>
      </c>
      <c r="H1936" s="10">
        <f t="shared" si="92"/>
        <v>1.5370999999999999</v>
      </c>
    </row>
    <row r="1937" spans="1:8" x14ac:dyDescent="0.2">
      <c r="A1937" s="1">
        <v>136</v>
      </c>
      <c r="B1937" s="1" t="str">
        <v>2020-07-24</v>
      </c>
      <c r="C1937" s="1">
        <v>1.6689000000000001</v>
      </c>
      <c r="F1937" s="8">
        <f t="shared" si="90"/>
        <v>136</v>
      </c>
      <c r="G1937" s="9">
        <f t="shared" si="91"/>
        <v>44036</v>
      </c>
      <c r="H1937" s="10">
        <f t="shared" si="92"/>
        <v>1.6689000000000001</v>
      </c>
    </row>
    <row r="1938" spans="1:8" x14ac:dyDescent="0.2">
      <c r="A1938" s="1">
        <v>94</v>
      </c>
      <c r="B1938" s="1" t="str">
        <v>2020-07-24</v>
      </c>
      <c r="C1938" s="1">
        <v>1.7458</v>
      </c>
      <c r="F1938" s="8">
        <f t="shared" si="90"/>
        <v>94</v>
      </c>
      <c r="G1938" s="9">
        <f t="shared" si="91"/>
        <v>44036</v>
      </c>
      <c r="H1938" s="10">
        <f t="shared" si="92"/>
        <v>1.7458</v>
      </c>
    </row>
    <row r="1939" spans="1:8" x14ac:dyDescent="0.2">
      <c r="A1939" s="1">
        <v>32500</v>
      </c>
      <c r="B1939" s="1" t="str">
        <v>2020-07-24</v>
      </c>
      <c r="C1939" s="1">
        <v>1.5472999999999999</v>
      </c>
      <c r="F1939" s="8">
        <f t="shared" si="90"/>
        <v>32500</v>
      </c>
      <c r="G1939" s="9">
        <f t="shared" si="91"/>
        <v>44036</v>
      </c>
      <c r="H1939" s="10">
        <f t="shared" si="92"/>
        <v>1.5472999999999999</v>
      </c>
    </row>
    <row r="1940" spans="1:8" x14ac:dyDescent="0.2">
      <c r="A1940" s="1">
        <v>32923</v>
      </c>
      <c r="B1940" s="1" t="str">
        <v>2020-07-24</v>
      </c>
      <c r="C1940" s="1">
        <v>2.0045999999999999</v>
      </c>
      <c r="F1940" s="8">
        <f t="shared" si="90"/>
        <v>32923</v>
      </c>
      <c r="G1940" s="9">
        <f t="shared" si="91"/>
        <v>44036</v>
      </c>
      <c r="H1940" s="10">
        <f t="shared" si="92"/>
        <v>2.0045999999999999</v>
      </c>
    </row>
    <row r="1941" spans="1:8" x14ac:dyDescent="0.2">
      <c r="A1941" s="1">
        <v>196</v>
      </c>
      <c r="B1941" s="1" t="str">
        <v>2020-07-24</v>
      </c>
      <c r="C1941" s="1">
        <v>1.5679000000000001</v>
      </c>
      <c r="F1941" s="8">
        <f t="shared" si="90"/>
        <v>196</v>
      </c>
      <c r="G1941" s="9">
        <f t="shared" si="91"/>
        <v>44036</v>
      </c>
      <c r="H1941" s="10">
        <f t="shared" si="92"/>
        <v>1.5679000000000001</v>
      </c>
    </row>
    <row r="1942" spans="1:8" x14ac:dyDescent="0.2">
      <c r="A1942" s="1">
        <v>77</v>
      </c>
      <c r="B1942" s="1" t="str">
        <v>2020-07-24</v>
      </c>
      <c r="C1942" s="1">
        <v>2.0859000000000001</v>
      </c>
      <c r="F1942" s="8">
        <f t="shared" si="90"/>
        <v>77</v>
      </c>
      <c r="G1942" s="9">
        <f t="shared" si="91"/>
        <v>44036</v>
      </c>
      <c r="H1942" s="10">
        <f t="shared" si="92"/>
        <v>2.0859000000000001</v>
      </c>
    </row>
    <row r="1943" spans="1:8" x14ac:dyDescent="0.2">
      <c r="A1943" s="1">
        <v>187</v>
      </c>
      <c r="B1943" s="1" t="str">
        <v>2020-07-24</v>
      </c>
      <c r="C1943" s="1">
        <v>1.6085</v>
      </c>
      <c r="F1943" s="8">
        <f t="shared" si="90"/>
        <v>187</v>
      </c>
      <c r="G1943" s="9">
        <f t="shared" si="91"/>
        <v>44036</v>
      </c>
      <c r="H1943" s="10">
        <f t="shared" si="92"/>
        <v>1.6085</v>
      </c>
    </row>
    <row r="1944" spans="1:8" x14ac:dyDescent="0.2">
      <c r="A1944" s="1">
        <v>177</v>
      </c>
      <c r="B1944" s="1" t="str">
        <v>2020-07-24</v>
      </c>
      <c r="C1944" s="1">
        <v>2.0042</v>
      </c>
      <c r="F1944" s="8">
        <f t="shared" si="90"/>
        <v>177</v>
      </c>
      <c r="G1944" s="9">
        <f t="shared" si="91"/>
        <v>44036</v>
      </c>
      <c r="H1944" s="10">
        <f t="shared" si="92"/>
        <v>2.0042</v>
      </c>
    </row>
    <row r="1945" spans="1:8" x14ac:dyDescent="0.2">
      <c r="A1945" s="1">
        <v>32502</v>
      </c>
      <c r="B1945" s="1" t="str">
        <v>2020-07-24</v>
      </c>
      <c r="C1945" s="1">
        <v>1.649</v>
      </c>
      <c r="F1945" s="8">
        <f t="shared" si="90"/>
        <v>32502</v>
      </c>
      <c r="G1945" s="9">
        <f t="shared" si="91"/>
        <v>44036</v>
      </c>
      <c r="H1945" s="10">
        <f t="shared" si="92"/>
        <v>1.649</v>
      </c>
    </row>
    <row r="1946" spans="1:8" x14ac:dyDescent="0.2">
      <c r="A1946" s="1">
        <v>24</v>
      </c>
      <c r="B1946" s="1" t="str">
        <v>2020-07-24</v>
      </c>
      <c r="C1946" s="1">
        <v>1.8217000000000001</v>
      </c>
      <c r="F1946" s="8">
        <f t="shared" si="90"/>
        <v>24</v>
      </c>
      <c r="G1946" s="9">
        <f t="shared" si="91"/>
        <v>44036</v>
      </c>
      <c r="H1946" s="10">
        <f t="shared" si="92"/>
        <v>1.8217000000000001</v>
      </c>
    </row>
    <row r="1947" spans="1:8" x14ac:dyDescent="0.2">
      <c r="A1947" s="1">
        <v>78</v>
      </c>
      <c r="B1947" s="1" t="str">
        <v>2020-07-24</v>
      </c>
      <c r="C1947" s="1">
        <v>1.7907</v>
      </c>
      <c r="F1947" s="8">
        <f t="shared" si="90"/>
        <v>78</v>
      </c>
      <c r="G1947" s="9">
        <f t="shared" si="91"/>
        <v>44036</v>
      </c>
      <c r="H1947" s="10">
        <f t="shared" si="92"/>
        <v>1.7907</v>
      </c>
    </row>
    <row r="1948" spans="1:8" x14ac:dyDescent="0.2">
      <c r="A1948" s="1">
        <v>33183</v>
      </c>
      <c r="B1948" s="1" t="str">
        <v>2020-07-24</v>
      </c>
      <c r="C1948" s="1">
        <v>1.411</v>
      </c>
      <c r="F1948" s="8">
        <f t="shared" si="90"/>
        <v>33183</v>
      </c>
      <c r="G1948" s="9">
        <f t="shared" si="91"/>
        <v>44036</v>
      </c>
      <c r="H1948" s="10">
        <f t="shared" si="92"/>
        <v>1.411</v>
      </c>
    </row>
    <row r="1949" spans="1:8" x14ac:dyDescent="0.2">
      <c r="A1949" s="1">
        <v>2250</v>
      </c>
      <c r="B1949" s="1" t="str">
        <v>2020-07-24</v>
      </c>
      <c r="C1949" s="1">
        <v>1.5577000000000001</v>
      </c>
      <c r="F1949" s="8">
        <f t="shared" si="90"/>
        <v>2250</v>
      </c>
      <c r="G1949" s="9">
        <f t="shared" si="91"/>
        <v>44036</v>
      </c>
      <c r="H1949" s="10">
        <f t="shared" si="92"/>
        <v>1.5577000000000001</v>
      </c>
    </row>
    <row r="1950" spans="1:8" x14ac:dyDescent="0.2">
      <c r="A1950" s="1">
        <v>24250</v>
      </c>
      <c r="B1950" s="1" t="str">
        <v>2020-07-24</v>
      </c>
      <c r="C1950" s="1">
        <v>1.4767999999999999</v>
      </c>
      <c r="F1950" s="8">
        <f t="shared" si="90"/>
        <v>24250</v>
      </c>
      <c r="G1950" s="9">
        <f t="shared" si="91"/>
        <v>44036</v>
      </c>
      <c r="H1950" s="10">
        <f t="shared" si="92"/>
        <v>1.4767999999999999</v>
      </c>
    </row>
    <row r="1951" spans="1:8" x14ac:dyDescent="0.2">
      <c r="A1951" s="1">
        <v>147</v>
      </c>
      <c r="B1951" s="1" t="str">
        <v>2020-07-27</v>
      </c>
      <c r="C1951" s="1">
        <v>0.99170000000000003</v>
      </c>
      <c r="F1951" s="8">
        <f t="shared" si="90"/>
        <v>147</v>
      </c>
      <c r="G1951" s="9">
        <f t="shared" si="91"/>
        <v>44039</v>
      </c>
      <c r="H1951" s="10">
        <f t="shared" si="92"/>
        <v>0.99170000000000003</v>
      </c>
    </row>
    <row r="1952" spans="1:8" x14ac:dyDescent="0.2">
      <c r="A1952" s="1">
        <v>32360</v>
      </c>
      <c r="B1952" s="1" t="str">
        <v>2020-07-27</v>
      </c>
      <c r="C1952" s="1">
        <v>1.3653999999999999</v>
      </c>
      <c r="F1952" s="8">
        <f t="shared" si="90"/>
        <v>32360</v>
      </c>
      <c r="G1952" s="9">
        <f t="shared" si="91"/>
        <v>44039</v>
      </c>
      <c r="H1952" s="10">
        <f t="shared" si="92"/>
        <v>1.3653999999999999</v>
      </c>
    </row>
    <row r="1953" spans="1:8" x14ac:dyDescent="0.2">
      <c r="A1953" s="1">
        <v>136</v>
      </c>
      <c r="B1953" s="1" t="str">
        <v>2020-07-27</v>
      </c>
      <c r="C1953" s="1">
        <v>1.6587000000000001</v>
      </c>
      <c r="F1953" s="8">
        <f t="shared" si="90"/>
        <v>136</v>
      </c>
      <c r="G1953" s="9">
        <f t="shared" si="91"/>
        <v>44039</v>
      </c>
      <c r="H1953" s="10">
        <f t="shared" si="92"/>
        <v>1.6587000000000001</v>
      </c>
    </row>
    <row r="1954" spans="1:8" x14ac:dyDescent="0.2">
      <c r="A1954" s="1">
        <v>49</v>
      </c>
      <c r="B1954" s="1" t="str">
        <v>2020-07-27</v>
      </c>
      <c r="C1954" s="1">
        <v>1.1328</v>
      </c>
      <c r="F1954" s="8">
        <f t="shared" si="90"/>
        <v>49</v>
      </c>
      <c r="G1954" s="9">
        <f t="shared" si="91"/>
        <v>44039</v>
      </c>
      <c r="H1954" s="10">
        <f t="shared" si="92"/>
        <v>1.1328</v>
      </c>
    </row>
    <row r="1955" spans="1:8" x14ac:dyDescent="0.2">
      <c r="A1955" s="1">
        <v>32421</v>
      </c>
      <c r="B1955" s="1" t="str">
        <v>2020-07-27</v>
      </c>
      <c r="C1955" s="1">
        <v>1.5813999999999999</v>
      </c>
      <c r="F1955" s="8">
        <f t="shared" si="90"/>
        <v>32421</v>
      </c>
      <c r="G1955" s="9">
        <f t="shared" si="91"/>
        <v>44039</v>
      </c>
      <c r="H1955" s="10">
        <f t="shared" si="92"/>
        <v>1.5813999999999999</v>
      </c>
    </row>
    <row r="1956" spans="1:8" x14ac:dyDescent="0.2">
      <c r="A1956" s="1">
        <v>32400</v>
      </c>
      <c r="B1956" s="1" t="str">
        <v>2020-07-27</v>
      </c>
      <c r="C1956" s="1">
        <v>1.7606999999999999</v>
      </c>
      <c r="F1956" s="8">
        <f t="shared" si="90"/>
        <v>32400</v>
      </c>
      <c r="G1956" s="9">
        <f t="shared" si="91"/>
        <v>44039</v>
      </c>
      <c r="H1956" s="10">
        <f t="shared" si="92"/>
        <v>1.7606999999999999</v>
      </c>
    </row>
    <row r="1957" spans="1:8" x14ac:dyDescent="0.2">
      <c r="A1957" s="1">
        <v>34</v>
      </c>
      <c r="B1957" s="1" t="str">
        <v>2020-07-27</v>
      </c>
      <c r="C1957" s="1">
        <v>1.9428000000000001</v>
      </c>
      <c r="F1957" s="8">
        <f t="shared" si="90"/>
        <v>34</v>
      </c>
      <c r="G1957" s="9">
        <f t="shared" si="91"/>
        <v>44039</v>
      </c>
      <c r="H1957" s="10">
        <f t="shared" si="92"/>
        <v>1.9428000000000001</v>
      </c>
    </row>
    <row r="1958" spans="1:8" x14ac:dyDescent="0.2">
      <c r="A1958" s="1">
        <v>30350</v>
      </c>
      <c r="B1958" s="1" t="str">
        <v>2020-07-27</v>
      </c>
      <c r="C1958" s="1">
        <v>1.5072000000000001</v>
      </c>
      <c r="F1958" s="8">
        <f t="shared" si="90"/>
        <v>30350</v>
      </c>
      <c r="G1958" s="9">
        <f t="shared" si="91"/>
        <v>44039</v>
      </c>
      <c r="H1958" s="10">
        <f t="shared" si="92"/>
        <v>1.5072000000000001</v>
      </c>
    </row>
    <row r="1959" spans="1:8" x14ac:dyDescent="0.2">
      <c r="A1959" s="1">
        <v>33183</v>
      </c>
      <c r="B1959" s="1" t="str">
        <v>2020-07-27</v>
      </c>
      <c r="C1959" s="1">
        <v>1.411</v>
      </c>
      <c r="F1959" s="8">
        <f t="shared" si="90"/>
        <v>33183</v>
      </c>
      <c r="G1959" s="9">
        <f t="shared" si="91"/>
        <v>44039</v>
      </c>
      <c r="H1959" s="10">
        <f t="shared" si="92"/>
        <v>1.411</v>
      </c>
    </row>
    <row r="1960" spans="1:8" x14ac:dyDescent="0.2">
      <c r="A1960" s="1">
        <v>101</v>
      </c>
      <c r="B1960" s="1" t="str">
        <v>2020-07-27</v>
      </c>
      <c r="C1960" s="1">
        <v>1.5779000000000001</v>
      </c>
      <c r="F1960" s="8">
        <f t="shared" si="90"/>
        <v>101</v>
      </c>
      <c r="G1960" s="9">
        <f t="shared" si="91"/>
        <v>44039</v>
      </c>
      <c r="H1960" s="10">
        <f t="shared" si="92"/>
        <v>1.5779000000000001</v>
      </c>
    </row>
    <row r="1961" spans="1:8" x14ac:dyDescent="0.2">
      <c r="A1961" s="1">
        <v>32222</v>
      </c>
      <c r="B1961" s="1" t="str">
        <v>2020-07-28</v>
      </c>
      <c r="C1961" s="1">
        <v>1.6489</v>
      </c>
      <c r="F1961" s="8">
        <f t="shared" si="90"/>
        <v>32222</v>
      </c>
      <c r="G1961" s="9">
        <f t="shared" si="91"/>
        <v>44040</v>
      </c>
      <c r="H1961" s="10">
        <f t="shared" si="92"/>
        <v>1.6489</v>
      </c>
    </row>
    <row r="1962" spans="1:8" x14ac:dyDescent="0.2">
      <c r="A1962" s="1">
        <v>178</v>
      </c>
      <c r="B1962" s="1" t="str">
        <v>2020-07-28</v>
      </c>
      <c r="C1962" s="1">
        <v>1.7794000000000001</v>
      </c>
      <c r="F1962" s="8">
        <f t="shared" si="90"/>
        <v>178</v>
      </c>
      <c r="G1962" s="9">
        <f t="shared" si="91"/>
        <v>44040</v>
      </c>
      <c r="H1962" s="10">
        <f t="shared" si="92"/>
        <v>1.7794000000000001</v>
      </c>
    </row>
    <row r="1963" spans="1:8" x14ac:dyDescent="0.2">
      <c r="A1963" s="1">
        <v>33103</v>
      </c>
      <c r="B1963" s="1" t="str">
        <v>2020-07-28</v>
      </c>
      <c r="C1963" s="1">
        <v>2.4148999999999998</v>
      </c>
      <c r="F1963" s="8">
        <f t="shared" si="90"/>
        <v>33103</v>
      </c>
      <c r="G1963" s="9">
        <f t="shared" si="91"/>
        <v>44040</v>
      </c>
      <c r="H1963" s="10">
        <f t="shared" si="92"/>
        <v>2.4148999999999998</v>
      </c>
    </row>
    <row r="1964" spans="1:8" x14ac:dyDescent="0.2">
      <c r="A1964" s="1">
        <v>49</v>
      </c>
      <c r="B1964" s="1" t="str">
        <v>2020-07-29</v>
      </c>
      <c r="C1964" s="1">
        <v>1.1229</v>
      </c>
      <c r="F1964" s="8">
        <f t="shared" si="90"/>
        <v>49</v>
      </c>
      <c r="G1964" s="9">
        <f t="shared" si="91"/>
        <v>44041</v>
      </c>
      <c r="H1964" s="10">
        <f t="shared" si="92"/>
        <v>1.1229</v>
      </c>
    </row>
    <row r="1965" spans="1:8" x14ac:dyDescent="0.2">
      <c r="A1965" s="1">
        <v>132</v>
      </c>
      <c r="B1965" s="1" t="str">
        <v>2020-07-29</v>
      </c>
      <c r="C1965" s="1">
        <v>1.2845</v>
      </c>
      <c r="F1965" s="8">
        <f t="shared" si="90"/>
        <v>132</v>
      </c>
      <c r="G1965" s="9">
        <f t="shared" si="91"/>
        <v>44041</v>
      </c>
      <c r="H1965" s="10">
        <f t="shared" si="92"/>
        <v>1.2845</v>
      </c>
    </row>
    <row r="1966" spans="1:8" x14ac:dyDescent="0.2">
      <c r="A1966" s="1">
        <v>33129</v>
      </c>
      <c r="B1966" s="1" t="str">
        <v>2020-07-29</v>
      </c>
      <c r="C1966" s="1">
        <v>1.345</v>
      </c>
      <c r="F1966" s="8">
        <f t="shared" si="90"/>
        <v>33129</v>
      </c>
      <c r="G1966" s="9">
        <f t="shared" si="91"/>
        <v>44041</v>
      </c>
      <c r="H1966" s="10">
        <f t="shared" si="92"/>
        <v>1.345</v>
      </c>
    </row>
    <row r="1967" spans="1:8" x14ac:dyDescent="0.2">
      <c r="A1967" s="1">
        <v>33130</v>
      </c>
      <c r="B1967" s="1" t="str">
        <v>2020-07-29</v>
      </c>
      <c r="C1967" s="1">
        <v>1.6388</v>
      </c>
      <c r="F1967" s="8">
        <f t="shared" si="90"/>
        <v>33130</v>
      </c>
      <c r="G1967" s="9">
        <f t="shared" si="91"/>
        <v>44041</v>
      </c>
      <c r="H1967" s="10">
        <f t="shared" si="92"/>
        <v>1.6388</v>
      </c>
    </row>
    <row r="1968" spans="1:8" x14ac:dyDescent="0.2">
      <c r="A1968" s="1">
        <v>32963</v>
      </c>
      <c r="B1968" s="1" t="str">
        <v>2020-07-29</v>
      </c>
      <c r="C1968" s="1">
        <v>1.4361999999999999</v>
      </c>
      <c r="F1968" s="8">
        <f t="shared" si="90"/>
        <v>32963</v>
      </c>
      <c r="G1968" s="9">
        <f t="shared" si="91"/>
        <v>44041</v>
      </c>
      <c r="H1968" s="10">
        <f t="shared" si="92"/>
        <v>1.4361999999999999</v>
      </c>
    </row>
    <row r="1969" spans="1:8" x14ac:dyDescent="0.2">
      <c r="A1969" s="1">
        <v>83</v>
      </c>
      <c r="B1969" s="1" t="str">
        <v>2020-07-29</v>
      </c>
      <c r="C1969" s="1">
        <v>1.7094</v>
      </c>
      <c r="F1969" s="8">
        <f t="shared" si="90"/>
        <v>83</v>
      </c>
      <c r="G1969" s="9">
        <f t="shared" si="91"/>
        <v>44041</v>
      </c>
      <c r="H1969" s="10">
        <f t="shared" si="92"/>
        <v>1.7094</v>
      </c>
    </row>
    <row r="1970" spans="1:8" x14ac:dyDescent="0.2">
      <c r="A1970" s="1">
        <v>33125</v>
      </c>
      <c r="B1970" s="1" t="str">
        <v>2020-07-29</v>
      </c>
      <c r="C1970" s="1">
        <v>1.6286</v>
      </c>
      <c r="F1970" s="8">
        <f t="shared" si="90"/>
        <v>33125</v>
      </c>
      <c r="G1970" s="9">
        <f t="shared" si="91"/>
        <v>44041</v>
      </c>
      <c r="H1970" s="10">
        <f t="shared" si="92"/>
        <v>1.6286</v>
      </c>
    </row>
    <row r="1971" spans="1:8" x14ac:dyDescent="0.2">
      <c r="A1971" s="1">
        <v>32081</v>
      </c>
      <c r="B1971" s="1" t="str">
        <v>2020-07-30</v>
      </c>
      <c r="C1971" s="1">
        <v>1.0118</v>
      </c>
      <c r="F1971" s="8">
        <f t="shared" si="90"/>
        <v>32081</v>
      </c>
      <c r="G1971" s="9">
        <f t="shared" si="91"/>
        <v>44042</v>
      </c>
      <c r="H1971" s="10">
        <f t="shared" si="92"/>
        <v>1.0118</v>
      </c>
    </row>
    <row r="1972" spans="1:8" x14ac:dyDescent="0.2">
      <c r="A1972" s="1">
        <v>132</v>
      </c>
      <c r="B1972" s="1" t="str">
        <v>2020-07-30</v>
      </c>
      <c r="C1972" s="1">
        <v>1.2845</v>
      </c>
      <c r="F1972" s="8">
        <f t="shared" si="90"/>
        <v>132</v>
      </c>
      <c r="G1972" s="9">
        <f t="shared" si="91"/>
        <v>44042</v>
      </c>
      <c r="H1972" s="10">
        <f t="shared" si="92"/>
        <v>1.2845</v>
      </c>
    </row>
    <row r="1973" spans="1:8" x14ac:dyDescent="0.2">
      <c r="A1973" s="1">
        <v>33023</v>
      </c>
      <c r="B1973" s="1" t="str">
        <v>2020-07-30</v>
      </c>
      <c r="C1973" s="1">
        <v>1.5983000000000001</v>
      </c>
      <c r="F1973" s="8">
        <f t="shared" si="90"/>
        <v>33023</v>
      </c>
      <c r="G1973" s="9">
        <f t="shared" si="91"/>
        <v>44042</v>
      </c>
      <c r="H1973" s="10">
        <f t="shared" si="92"/>
        <v>1.5983000000000001</v>
      </c>
    </row>
    <row r="1974" spans="1:8" x14ac:dyDescent="0.2">
      <c r="A1974" s="1">
        <v>191</v>
      </c>
      <c r="B1974" s="1" t="str">
        <v>2020-07-30</v>
      </c>
      <c r="C1974" s="1">
        <v>1.5069999999999999</v>
      </c>
      <c r="F1974" s="8">
        <f t="shared" si="90"/>
        <v>191</v>
      </c>
      <c r="G1974" s="9">
        <f t="shared" si="91"/>
        <v>44042</v>
      </c>
      <c r="H1974" s="10">
        <f t="shared" si="92"/>
        <v>1.5069999999999999</v>
      </c>
    </row>
    <row r="1975" spans="1:8" x14ac:dyDescent="0.2">
      <c r="A1975" s="1">
        <v>32082</v>
      </c>
      <c r="B1975" s="1" t="str">
        <v>2020-07-30</v>
      </c>
      <c r="C1975" s="1">
        <v>1.5168999999999999</v>
      </c>
      <c r="F1975" s="8">
        <f t="shared" si="90"/>
        <v>32082</v>
      </c>
      <c r="G1975" s="9">
        <f t="shared" si="91"/>
        <v>44042</v>
      </c>
      <c r="H1975" s="10">
        <f t="shared" si="92"/>
        <v>1.5168999999999999</v>
      </c>
    </row>
    <row r="1976" spans="1:8" x14ac:dyDescent="0.2">
      <c r="A1976" s="1">
        <v>34</v>
      </c>
      <c r="B1976" s="1" t="str">
        <v>2020-07-30</v>
      </c>
      <c r="C1976" s="1">
        <v>1.6894</v>
      </c>
      <c r="F1976" s="8">
        <f t="shared" si="90"/>
        <v>34</v>
      </c>
      <c r="G1976" s="9">
        <f t="shared" si="91"/>
        <v>44042</v>
      </c>
      <c r="H1976" s="10">
        <f t="shared" si="92"/>
        <v>1.6894</v>
      </c>
    </row>
    <row r="1977" spans="1:8" x14ac:dyDescent="0.2">
      <c r="A1977" s="1">
        <v>33129</v>
      </c>
      <c r="B1977" s="1" t="str">
        <v>2020-07-30</v>
      </c>
      <c r="C1977" s="1">
        <v>1.345</v>
      </c>
      <c r="F1977" s="8">
        <f t="shared" si="90"/>
        <v>33129</v>
      </c>
      <c r="G1977" s="9">
        <f t="shared" si="91"/>
        <v>44042</v>
      </c>
      <c r="H1977" s="10">
        <f t="shared" si="92"/>
        <v>1.345</v>
      </c>
    </row>
    <row r="1978" spans="1:8" x14ac:dyDescent="0.2">
      <c r="A1978" s="1">
        <v>32081</v>
      </c>
      <c r="B1978" s="1" t="str">
        <v>2020-07-31</v>
      </c>
      <c r="C1978" s="1">
        <v>1.0118</v>
      </c>
      <c r="F1978" s="8">
        <f t="shared" si="90"/>
        <v>32081</v>
      </c>
      <c r="G1978" s="9">
        <f t="shared" si="91"/>
        <v>44043</v>
      </c>
      <c r="H1978" s="10">
        <f t="shared" si="92"/>
        <v>1.0118</v>
      </c>
    </row>
    <row r="1979" spans="1:8" x14ac:dyDescent="0.2">
      <c r="A1979" s="1">
        <v>32</v>
      </c>
      <c r="B1979" s="1" t="str">
        <v>2020-07-31</v>
      </c>
      <c r="C1979" s="1">
        <v>1.6944999999999999</v>
      </c>
      <c r="F1979" s="8">
        <f t="shared" si="90"/>
        <v>32</v>
      </c>
      <c r="G1979" s="9">
        <f t="shared" si="91"/>
        <v>44043</v>
      </c>
      <c r="H1979" s="10">
        <f t="shared" si="92"/>
        <v>1.6944999999999999</v>
      </c>
    </row>
    <row r="1980" spans="1:8" x14ac:dyDescent="0.2">
      <c r="A1980" s="1">
        <v>32340</v>
      </c>
      <c r="B1980" s="1" t="str">
        <v>2020-07-31</v>
      </c>
      <c r="C1980" s="1">
        <v>1.5373000000000001</v>
      </c>
      <c r="F1980" s="8">
        <f t="shared" si="90"/>
        <v>32340</v>
      </c>
      <c r="G1980" s="9">
        <f t="shared" si="91"/>
        <v>44043</v>
      </c>
      <c r="H1980" s="10">
        <f t="shared" si="92"/>
        <v>1.5373000000000001</v>
      </c>
    </row>
    <row r="1981" spans="1:8" x14ac:dyDescent="0.2">
      <c r="A1981" s="1">
        <v>32180</v>
      </c>
      <c r="B1981" s="1" t="str">
        <v>2020-07-31</v>
      </c>
      <c r="C1981" s="1">
        <v>1.5133000000000001</v>
      </c>
      <c r="F1981" s="8">
        <f t="shared" si="90"/>
        <v>32180</v>
      </c>
      <c r="G1981" s="9">
        <f t="shared" si="91"/>
        <v>44043</v>
      </c>
      <c r="H1981" s="10">
        <f t="shared" si="92"/>
        <v>1.5133000000000001</v>
      </c>
    </row>
    <row r="1982" spans="1:8" x14ac:dyDescent="0.2">
      <c r="A1982" s="1">
        <v>102</v>
      </c>
      <c r="B1982" s="1" t="str">
        <v>2020-07-31</v>
      </c>
      <c r="C1982" s="1">
        <v>1.5874999999999999</v>
      </c>
      <c r="F1982" s="8">
        <f t="shared" si="90"/>
        <v>102</v>
      </c>
      <c r="G1982" s="9">
        <f t="shared" si="91"/>
        <v>44043</v>
      </c>
      <c r="H1982" s="10">
        <f t="shared" si="92"/>
        <v>1.5874999999999999</v>
      </c>
    </row>
    <row r="1983" spans="1:8" x14ac:dyDescent="0.2">
      <c r="A1983" s="1">
        <v>55</v>
      </c>
      <c r="B1983" s="1" t="str">
        <v>2020-07-31</v>
      </c>
      <c r="C1983" s="1">
        <v>1.335</v>
      </c>
      <c r="F1983" s="8">
        <f t="shared" si="90"/>
        <v>55</v>
      </c>
      <c r="G1983" s="9">
        <f t="shared" si="91"/>
        <v>44043</v>
      </c>
      <c r="H1983" s="10">
        <f t="shared" si="92"/>
        <v>1.335</v>
      </c>
    </row>
    <row r="1984" spans="1:8" x14ac:dyDescent="0.2">
      <c r="A1984" s="1">
        <v>32724</v>
      </c>
      <c r="B1984" s="1" t="str">
        <v>2020-07-31</v>
      </c>
      <c r="C1984" s="1">
        <v>1.5578000000000001</v>
      </c>
      <c r="F1984" s="8">
        <f t="shared" si="90"/>
        <v>32724</v>
      </c>
      <c r="G1984" s="9">
        <f t="shared" si="91"/>
        <v>44043</v>
      </c>
      <c r="H1984" s="10">
        <f t="shared" si="92"/>
        <v>1.5578000000000001</v>
      </c>
    </row>
    <row r="1985" spans="1:8" x14ac:dyDescent="0.2">
      <c r="A1985" s="1">
        <v>109</v>
      </c>
      <c r="B1985" s="1" t="str">
        <v>2020-07-31</v>
      </c>
      <c r="C1985" s="1">
        <v>1.7808999999999999</v>
      </c>
      <c r="F1985" s="8">
        <f t="shared" si="90"/>
        <v>109</v>
      </c>
      <c r="G1985" s="9">
        <f t="shared" si="91"/>
        <v>44043</v>
      </c>
      <c r="H1985" s="10">
        <f t="shared" si="92"/>
        <v>1.7808999999999999</v>
      </c>
    </row>
    <row r="1986" spans="1:8" x14ac:dyDescent="0.2">
      <c r="A1986" s="1">
        <v>32260</v>
      </c>
      <c r="B1986" s="1" t="str">
        <v>2020-07-31</v>
      </c>
      <c r="C1986" s="1">
        <v>1.5982000000000001</v>
      </c>
      <c r="F1986" s="8">
        <f t="shared" si="90"/>
        <v>32260</v>
      </c>
      <c r="G1986" s="9">
        <f t="shared" si="91"/>
        <v>44043</v>
      </c>
      <c r="H1986" s="10">
        <f t="shared" si="92"/>
        <v>1.5982000000000001</v>
      </c>
    </row>
    <row r="1987" spans="1:8" x14ac:dyDescent="0.2">
      <c r="A1987" s="1">
        <v>67</v>
      </c>
      <c r="B1987" s="1" t="str">
        <v>2020-07-31</v>
      </c>
      <c r="C1987" s="1">
        <v>1.7197</v>
      </c>
      <c r="F1987" s="8">
        <f t="shared" si="90"/>
        <v>67</v>
      </c>
      <c r="G1987" s="9">
        <f t="shared" si="91"/>
        <v>44043</v>
      </c>
      <c r="H1987" s="10">
        <f t="shared" si="92"/>
        <v>1.7197</v>
      </c>
    </row>
    <row r="1988" spans="1:8" x14ac:dyDescent="0.2">
      <c r="A1988" s="1">
        <v>32501</v>
      </c>
      <c r="B1988" s="1" t="str">
        <v>2020-07-31</v>
      </c>
      <c r="C1988" s="1">
        <v>1.9433</v>
      </c>
      <c r="F1988" s="8">
        <f t="shared" si="90"/>
        <v>32501</v>
      </c>
      <c r="G1988" s="9">
        <f t="shared" si="91"/>
        <v>44043</v>
      </c>
      <c r="H1988" s="10">
        <f t="shared" si="92"/>
        <v>1.9433</v>
      </c>
    </row>
    <row r="1989" spans="1:8" x14ac:dyDescent="0.2">
      <c r="A1989" s="1">
        <v>139</v>
      </c>
      <c r="B1989" s="1" t="str">
        <v>2020-07-31</v>
      </c>
      <c r="C1989" s="1">
        <v>1.7199</v>
      </c>
      <c r="F1989" s="8">
        <f t="shared" si="90"/>
        <v>139</v>
      </c>
      <c r="G1989" s="9">
        <f t="shared" si="91"/>
        <v>44043</v>
      </c>
      <c r="H1989" s="10">
        <f t="shared" si="92"/>
        <v>1.7199</v>
      </c>
    </row>
    <row r="1990" spans="1:8" x14ac:dyDescent="0.2">
      <c r="A1990" s="1">
        <v>31</v>
      </c>
      <c r="B1990" s="1" t="str">
        <v>2020-07-31</v>
      </c>
      <c r="C1990" s="1">
        <v>1.6797</v>
      </c>
      <c r="F1990" s="8">
        <f t="shared" si="90"/>
        <v>31</v>
      </c>
      <c r="G1990" s="9">
        <f t="shared" si="91"/>
        <v>44043</v>
      </c>
      <c r="H1990" s="10">
        <f t="shared" si="92"/>
        <v>1.6797</v>
      </c>
    </row>
    <row r="1991" spans="1:8" x14ac:dyDescent="0.2">
      <c r="A1991" s="1">
        <v>133</v>
      </c>
      <c r="B1991" s="1" t="str">
        <v>2020-07-31</v>
      </c>
      <c r="C1991" s="1">
        <v>1.4968999999999999</v>
      </c>
      <c r="F1991" s="8">
        <f t="shared" si="90"/>
        <v>133</v>
      </c>
      <c r="G1991" s="9">
        <f t="shared" si="91"/>
        <v>44043</v>
      </c>
      <c r="H1991" s="10">
        <f t="shared" si="92"/>
        <v>1.4968999999999999</v>
      </c>
    </row>
    <row r="1992" spans="1:8" x14ac:dyDescent="0.2">
      <c r="A1992" s="1">
        <v>49</v>
      </c>
      <c r="B1992" s="1" t="str">
        <v>2020-07-31</v>
      </c>
      <c r="C1992" s="1">
        <v>1.0924</v>
      </c>
      <c r="F1992" s="8">
        <f t="shared" si="90"/>
        <v>49</v>
      </c>
      <c r="G1992" s="9">
        <f t="shared" si="91"/>
        <v>44043</v>
      </c>
      <c r="H1992" s="10">
        <f t="shared" si="92"/>
        <v>1.0924</v>
      </c>
    </row>
    <row r="1993" spans="1:8" x14ac:dyDescent="0.2">
      <c r="A1993" s="1">
        <v>32400</v>
      </c>
      <c r="B1993" s="1" t="str">
        <v>2020-07-31</v>
      </c>
      <c r="C1993" s="1">
        <v>1.6692</v>
      </c>
      <c r="F1993" s="8">
        <f t="shared" ref="F1993:F2056" si="93">A1993</f>
        <v>32400</v>
      </c>
      <c r="G1993" s="9">
        <f t="shared" ref="G1993:G2056" si="94">DATE(LEFT(B1993,4),MID(B1993,6,2),RIGHT(B1993,2))</f>
        <v>44043</v>
      </c>
      <c r="H1993" s="10">
        <f t="shared" ref="H1993:H2056" si="95">C1993</f>
        <v>1.6692</v>
      </c>
    </row>
    <row r="1994" spans="1:8" x14ac:dyDescent="0.2">
      <c r="A1994" s="1">
        <v>37</v>
      </c>
      <c r="B1994" s="1" t="str">
        <v>2020-07-31</v>
      </c>
      <c r="C1994" s="1">
        <v>1.9634</v>
      </c>
      <c r="F1994" s="8">
        <f t="shared" si="93"/>
        <v>37</v>
      </c>
      <c r="G1994" s="9">
        <f t="shared" si="94"/>
        <v>44043</v>
      </c>
      <c r="H1994" s="10">
        <f t="shared" si="95"/>
        <v>1.9634</v>
      </c>
    </row>
    <row r="1995" spans="1:8" x14ac:dyDescent="0.2">
      <c r="A1995" s="1">
        <v>146</v>
      </c>
      <c r="B1995" s="1" t="str">
        <v>2020-07-31</v>
      </c>
      <c r="C1995" s="1">
        <v>1.74</v>
      </c>
      <c r="F1995" s="8">
        <f t="shared" si="93"/>
        <v>146</v>
      </c>
      <c r="G1995" s="9">
        <f t="shared" si="94"/>
        <v>44043</v>
      </c>
      <c r="H1995" s="10">
        <f t="shared" si="95"/>
        <v>1.74</v>
      </c>
    </row>
    <row r="1996" spans="1:8" x14ac:dyDescent="0.2">
      <c r="A1996" s="1">
        <v>32121</v>
      </c>
      <c r="B1996" s="1" t="str">
        <v>2020-07-31</v>
      </c>
      <c r="C1996" s="1">
        <v>1.4664999999999999</v>
      </c>
      <c r="F1996" s="8">
        <f t="shared" si="93"/>
        <v>32121</v>
      </c>
      <c r="G1996" s="9">
        <f t="shared" si="94"/>
        <v>44043</v>
      </c>
      <c r="H1996" s="10">
        <f t="shared" si="95"/>
        <v>1.4664999999999999</v>
      </c>
    </row>
    <row r="1997" spans="1:8" x14ac:dyDescent="0.2">
      <c r="A1997" s="1">
        <v>24</v>
      </c>
      <c r="B1997" s="1" t="str">
        <v>2020-07-31</v>
      </c>
      <c r="C1997" s="1">
        <v>1.7910999999999999</v>
      </c>
      <c r="F1997" s="8">
        <f t="shared" si="93"/>
        <v>24</v>
      </c>
      <c r="G1997" s="9">
        <f t="shared" si="94"/>
        <v>44043</v>
      </c>
      <c r="H1997" s="10">
        <f t="shared" si="95"/>
        <v>1.7910999999999999</v>
      </c>
    </row>
    <row r="1998" spans="1:8" x14ac:dyDescent="0.2">
      <c r="A1998" s="1">
        <v>33129</v>
      </c>
      <c r="B1998" s="1" t="str">
        <v>2020-07-31</v>
      </c>
      <c r="C1998" s="1">
        <v>1.3554999999999999</v>
      </c>
      <c r="F1998" s="8">
        <f t="shared" si="93"/>
        <v>33129</v>
      </c>
      <c r="G1998" s="9">
        <f t="shared" si="94"/>
        <v>44043</v>
      </c>
      <c r="H1998" s="10">
        <f t="shared" si="95"/>
        <v>1.3554999999999999</v>
      </c>
    </row>
    <row r="1999" spans="1:8" x14ac:dyDescent="0.2">
      <c r="A1999" s="1">
        <v>32863</v>
      </c>
      <c r="B1999" s="1" t="str">
        <v>2020-07-31</v>
      </c>
      <c r="C1999" s="1">
        <v>1.4665999999999999</v>
      </c>
      <c r="F1999" s="8">
        <f t="shared" si="93"/>
        <v>32863</v>
      </c>
      <c r="G1999" s="9">
        <f t="shared" si="94"/>
        <v>44043</v>
      </c>
      <c r="H1999" s="10">
        <f t="shared" si="95"/>
        <v>1.4665999999999999</v>
      </c>
    </row>
    <row r="2000" spans="1:8" x14ac:dyDescent="0.2">
      <c r="A2000" s="1">
        <v>32803</v>
      </c>
      <c r="B2000" s="1" t="str">
        <v>2020-07-31</v>
      </c>
      <c r="C2000" s="1">
        <v>1.4561999999999999</v>
      </c>
      <c r="F2000" s="8">
        <f t="shared" si="93"/>
        <v>32803</v>
      </c>
      <c r="G2000" s="9">
        <f t="shared" si="94"/>
        <v>44043</v>
      </c>
      <c r="H2000" s="10">
        <f t="shared" si="95"/>
        <v>1.4561999999999999</v>
      </c>
    </row>
    <row r="2001" spans="1:8" x14ac:dyDescent="0.2">
      <c r="A2001" s="1">
        <v>136</v>
      </c>
      <c r="B2001" s="1" t="str">
        <v>2020-07-31</v>
      </c>
      <c r="C2001" s="1">
        <v>1.6182000000000001</v>
      </c>
      <c r="F2001" s="8">
        <f t="shared" si="93"/>
        <v>136</v>
      </c>
      <c r="G2001" s="9">
        <f t="shared" si="94"/>
        <v>44043</v>
      </c>
      <c r="H2001" s="10">
        <f t="shared" si="95"/>
        <v>1.6182000000000001</v>
      </c>
    </row>
    <row r="2002" spans="1:8" x14ac:dyDescent="0.2">
      <c r="A2002" s="1">
        <v>150</v>
      </c>
      <c r="B2002" s="1" t="str">
        <v>2020-07-31</v>
      </c>
      <c r="C2002" s="1">
        <v>1.899</v>
      </c>
      <c r="F2002" s="8">
        <f t="shared" si="93"/>
        <v>150</v>
      </c>
      <c r="G2002" s="9">
        <f t="shared" si="94"/>
        <v>44043</v>
      </c>
      <c r="H2002" s="10">
        <f t="shared" si="95"/>
        <v>1.899</v>
      </c>
    </row>
    <row r="2003" spans="1:8" x14ac:dyDescent="0.2">
      <c r="A2003" s="1">
        <v>1</v>
      </c>
      <c r="B2003" s="1" t="str">
        <v>2020-07-31</v>
      </c>
      <c r="C2003" s="1">
        <v>1.4766999999999999</v>
      </c>
      <c r="F2003" s="8">
        <f t="shared" si="93"/>
        <v>1</v>
      </c>
      <c r="G2003" s="9">
        <f t="shared" si="94"/>
        <v>44043</v>
      </c>
      <c r="H2003" s="10">
        <f t="shared" si="95"/>
        <v>1.4766999999999999</v>
      </c>
    </row>
    <row r="2004" spans="1:8" x14ac:dyDescent="0.2">
      <c r="A2004" s="1">
        <v>156</v>
      </c>
      <c r="B2004" s="1" t="str">
        <v>2020-07-31</v>
      </c>
      <c r="C2004" s="1">
        <v>2.1164999999999998</v>
      </c>
      <c r="F2004" s="8">
        <f t="shared" si="93"/>
        <v>156</v>
      </c>
      <c r="G2004" s="9">
        <f t="shared" si="94"/>
        <v>44043</v>
      </c>
      <c r="H2004" s="10">
        <f t="shared" si="95"/>
        <v>2.1164999999999998</v>
      </c>
    </row>
    <row r="2005" spans="1:8" x14ac:dyDescent="0.2">
      <c r="A2005" s="1">
        <v>33125</v>
      </c>
      <c r="B2005" s="1" t="str">
        <v>2020-07-31</v>
      </c>
      <c r="C2005" s="1">
        <v>1.5983000000000001</v>
      </c>
      <c r="F2005" s="8">
        <f t="shared" si="93"/>
        <v>33125</v>
      </c>
      <c r="G2005" s="9">
        <f t="shared" si="94"/>
        <v>44043</v>
      </c>
      <c r="H2005" s="10">
        <f t="shared" si="95"/>
        <v>1.5983000000000001</v>
      </c>
    </row>
    <row r="2006" spans="1:8" x14ac:dyDescent="0.2">
      <c r="A2006" s="1">
        <v>20</v>
      </c>
      <c r="B2006" s="1" t="str">
        <v>2020-07-31</v>
      </c>
      <c r="C2006" s="1">
        <v>1.76</v>
      </c>
      <c r="F2006" s="8">
        <f t="shared" si="93"/>
        <v>20</v>
      </c>
      <c r="G2006" s="9">
        <f t="shared" si="94"/>
        <v>44043</v>
      </c>
      <c r="H2006" s="10">
        <f t="shared" si="95"/>
        <v>1.76</v>
      </c>
    </row>
    <row r="2007" spans="1:8" x14ac:dyDescent="0.2">
      <c r="A2007" s="1">
        <v>59</v>
      </c>
      <c r="B2007" s="1" t="str">
        <v>2020-07-31</v>
      </c>
      <c r="C2007" s="1">
        <v>1.5780000000000001</v>
      </c>
      <c r="F2007" s="8">
        <f t="shared" si="93"/>
        <v>59</v>
      </c>
      <c r="G2007" s="9">
        <f t="shared" si="94"/>
        <v>44043</v>
      </c>
      <c r="H2007" s="10">
        <f t="shared" si="95"/>
        <v>1.5780000000000001</v>
      </c>
    </row>
    <row r="2008" spans="1:8" x14ac:dyDescent="0.2">
      <c r="A2008" s="1">
        <v>30250</v>
      </c>
      <c r="B2008" s="1" t="str">
        <v>2020-07-31</v>
      </c>
      <c r="C2008" s="1">
        <v>1.4967999999999999</v>
      </c>
      <c r="F2008" s="8">
        <f t="shared" si="93"/>
        <v>30250</v>
      </c>
      <c r="G2008" s="9">
        <f t="shared" si="94"/>
        <v>44043</v>
      </c>
      <c r="H2008" s="10">
        <f t="shared" si="95"/>
        <v>1.4967999999999999</v>
      </c>
    </row>
    <row r="2009" spans="1:8" x14ac:dyDescent="0.2">
      <c r="A2009" s="1">
        <v>10</v>
      </c>
      <c r="B2009" s="1" t="str">
        <v>2020-07-31</v>
      </c>
      <c r="C2009" s="1">
        <v>1.5274000000000001</v>
      </c>
      <c r="F2009" s="8">
        <f t="shared" si="93"/>
        <v>10</v>
      </c>
      <c r="G2009" s="9">
        <f t="shared" si="94"/>
        <v>44043</v>
      </c>
      <c r="H2009" s="10">
        <f t="shared" si="95"/>
        <v>1.5274000000000001</v>
      </c>
    </row>
    <row r="2010" spans="1:8" x14ac:dyDescent="0.2">
      <c r="A2010" s="1">
        <v>33203</v>
      </c>
      <c r="B2010" s="1" t="str">
        <v>2020-07-31</v>
      </c>
      <c r="C2010" s="1">
        <v>1.6886000000000001</v>
      </c>
      <c r="F2010" s="8">
        <f t="shared" si="93"/>
        <v>33203</v>
      </c>
      <c r="G2010" s="9">
        <f t="shared" si="94"/>
        <v>44043</v>
      </c>
      <c r="H2010" s="10">
        <f t="shared" si="95"/>
        <v>1.6886000000000001</v>
      </c>
    </row>
    <row r="2011" spans="1:8" x14ac:dyDescent="0.2">
      <c r="A2011" s="1">
        <v>32360</v>
      </c>
      <c r="B2011" s="1" t="str">
        <v>2020-07-31</v>
      </c>
      <c r="C2011" s="1">
        <v>1.2542</v>
      </c>
      <c r="F2011" s="8">
        <f t="shared" si="93"/>
        <v>32360</v>
      </c>
      <c r="G2011" s="9">
        <f t="shared" si="94"/>
        <v>44043</v>
      </c>
      <c r="H2011" s="10">
        <f t="shared" si="95"/>
        <v>1.2542</v>
      </c>
    </row>
    <row r="2012" spans="1:8" x14ac:dyDescent="0.2">
      <c r="A2012" s="1">
        <v>32502</v>
      </c>
      <c r="B2012" s="1" t="str">
        <v>2020-07-31</v>
      </c>
      <c r="C2012" s="1">
        <v>1.649</v>
      </c>
      <c r="F2012" s="8">
        <f t="shared" si="93"/>
        <v>32502</v>
      </c>
      <c r="G2012" s="9">
        <f t="shared" si="94"/>
        <v>44043</v>
      </c>
      <c r="H2012" s="10">
        <f t="shared" si="95"/>
        <v>1.649</v>
      </c>
    </row>
    <row r="2013" spans="1:8" x14ac:dyDescent="0.2">
      <c r="A2013" s="1">
        <v>32500</v>
      </c>
      <c r="B2013" s="1" t="str">
        <v>2020-07-31</v>
      </c>
      <c r="C2013" s="1">
        <v>1.5472999999999999</v>
      </c>
      <c r="F2013" s="8">
        <f t="shared" si="93"/>
        <v>32500</v>
      </c>
      <c r="G2013" s="9">
        <f t="shared" si="94"/>
        <v>44043</v>
      </c>
      <c r="H2013" s="10">
        <f t="shared" si="95"/>
        <v>1.5472999999999999</v>
      </c>
    </row>
    <row r="2014" spans="1:8" x14ac:dyDescent="0.2">
      <c r="A2014" s="1">
        <v>32521</v>
      </c>
      <c r="B2014" s="1" t="str">
        <v>2020-07-31</v>
      </c>
      <c r="C2014" s="1">
        <v>1.9638</v>
      </c>
      <c r="F2014" s="8">
        <f t="shared" si="93"/>
        <v>32521</v>
      </c>
      <c r="G2014" s="9">
        <f t="shared" si="94"/>
        <v>44043</v>
      </c>
      <c r="H2014" s="10">
        <f t="shared" si="95"/>
        <v>1.9638</v>
      </c>
    </row>
    <row r="2015" spans="1:8" x14ac:dyDescent="0.2">
      <c r="A2015" s="1">
        <v>115</v>
      </c>
      <c r="B2015" s="1" t="str">
        <v>2020-07-31</v>
      </c>
      <c r="C2015" s="1">
        <v>1.8011999999999999</v>
      </c>
      <c r="F2015" s="8">
        <f t="shared" si="93"/>
        <v>115</v>
      </c>
      <c r="G2015" s="9">
        <f t="shared" si="94"/>
        <v>44043</v>
      </c>
      <c r="H2015" s="10">
        <f t="shared" si="95"/>
        <v>1.8011999999999999</v>
      </c>
    </row>
    <row r="2016" spans="1:8" x14ac:dyDescent="0.2">
      <c r="A2016" s="1">
        <v>33183</v>
      </c>
      <c r="B2016" s="1" t="str">
        <v>2020-07-31</v>
      </c>
      <c r="C2016" s="1">
        <v>1.3654999999999999</v>
      </c>
      <c r="F2016" s="8">
        <f t="shared" si="93"/>
        <v>33183</v>
      </c>
      <c r="G2016" s="9">
        <f t="shared" si="94"/>
        <v>44043</v>
      </c>
      <c r="H2016" s="10">
        <f t="shared" si="95"/>
        <v>1.3654999999999999</v>
      </c>
    </row>
    <row r="2017" spans="1:8" x14ac:dyDescent="0.2">
      <c r="A2017" s="1">
        <v>30400</v>
      </c>
      <c r="B2017" s="1" t="str">
        <v>2020-07-31</v>
      </c>
      <c r="C2017" s="1">
        <v>1.2522</v>
      </c>
      <c r="F2017" s="8">
        <f t="shared" si="93"/>
        <v>30400</v>
      </c>
      <c r="G2017" s="9">
        <f t="shared" si="94"/>
        <v>44043</v>
      </c>
      <c r="H2017" s="10">
        <f t="shared" si="95"/>
        <v>1.2522</v>
      </c>
    </row>
    <row r="2018" spans="1:8" x14ac:dyDescent="0.2">
      <c r="A2018" s="1">
        <v>110</v>
      </c>
      <c r="B2018" s="1" t="str">
        <v>2020-07-31</v>
      </c>
      <c r="C2018" s="1">
        <v>1.6996</v>
      </c>
      <c r="F2018" s="8">
        <f t="shared" si="93"/>
        <v>110</v>
      </c>
      <c r="G2018" s="9">
        <f t="shared" si="94"/>
        <v>44043</v>
      </c>
      <c r="H2018" s="10">
        <f t="shared" si="95"/>
        <v>1.6996</v>
      </c>
    </row>
    <row r="2019" spans="1:8" x14ac:dyDescent="0.2">
      <c r="A2019" s="1">
        <v>9250</v>
      </c>
      <c r="B2019" s="1" t="str">
        <v>2020-07-31</v>
      </c>
      <c r="C2019" s="1">
        <v>1.8416999999999999</v>
      </c>
      <c r="F2019" s="8">
        <f t="shared" si="93"/>
        <v>9250</v>
      </c>
      <c r="G2019" s="9">
        <f t="shared" si="94"/>
        <v>44043</v>
      </c>
      <c r="H2019" s="10">
        <f t="shared" si="95"/>
        <v>1.8416999999999999</v>
      </c>
    </row>
    <row r="2020" spans="1:8" x14ac:dyDescent="0.2">
      <c r="A2020" s="1">
        <v>72</v>
      </c>
      <c r="B2020" s="1" t="str">
        <v>2020-07-31</v>
      </c>
      <c r="C2020" s="1">
        <v>1.2338</v>
      </c>
      <c r="F2020" s="8">
        <f t="shared" si="93"/>
        <v>72</v>
      </c>
      <c r="G2020" s="9">
        <f t="shared" si="94"/>
        <v>44043</v>
      </c>
      <c r="H2020" s="10">
        <f t="shared" si="95"/>
        <v>1.2338</v>
      </c>
    </row>
    <row r="2021" spans="1:8" x14ac:dyDescent="0.2">
      <c r="A2021" s="1">
        <v>187</v>
      </c>
      <c r="B2021" s="1" t="str">
        <v>2020-07-31</v>
      </c>
      <c r="C2021" s="1">
        <v>1.6085</v>
      </c>
      <c r="F2021" s="8">
        <f t="shared" si="93"/>
        <v>187</v>
      </c>
      <c r="G2021" s="9">
        <f t="shared" si="94"/>
        <v>44043</v>
      </c>
      <c r="H2021" s="10">
        <f t="shared" si="95"/>
        <v>1.6085</v>
      </c>
    </row>
    <row r="2022" spans="1:8" x14ac:dyDescent="0.2">
      <c r="A2022" s="1">
        <v>32783</v>
      </c>
      <c r="B2022" s="1" t="str">
        <v>2020-07-31</v>
      </c>
      <c r="C2022" s="1">
        <v>1.8515999999999999</v>
      </c>
      <c r="F2022" s="8">
        <f t="shared" si="93"/>
        <v>32783</v>
      </c>
      <c r="G2022" s="9">
        <f t="shared" si="94"/>
        <v>44043</v>
      </c>
      <c r="H2022" s="10">
        <f t="shared" si="95"/>
        <v>1.8515999999999999</v>
      </c>
    </row>
    <row r="2023" spans="1:8" x14ac:dyDescent="0.2">
      <c r="A2023" s="1">
        <v>196</v>
      </c>
      <c r="B2023" s="1" t="str">
        <v>2020-07-31</v>
      </c>
      <c r="C2023" s="1">
        <v>1.5274000000000001</v>
      </c>
      <c r="F2023" s="8">
        <f t="shared" si="93"/>
        <v>196</v>
      </c>
      <c r="G2023" s="9">
        <f t="shared" si="94"/>
        <v>44043</v>
      </c>
      <c r="H2023" s="10">
        <f t="shared" si="95"/>
        <v>1.5274000000000001</v>
      </c>
    </row>
    <row r="2024" spans="1:8" x14ac:dyDescent="0.2">
      <c r="A2024" s="1">
        <v>30300</v>
      </c>
      <c r="B2024" s="1" t="str">
        <v>2020-07-31</v>
      </c>
      <c r="C2024" s="1">
        <v>1.6185</v>
      </c>
      <c r="F2024" s="8">
        <f t="shared" si="93"/>
        <v>30300</v>
      </c>
      <c r="G2024" s="9">
        <f t="shared" si="94"/>
        <v>44043</v>
      </c>
      <c r="H2024" s="10">
        <f t="shared" si="95"/>
        <v>1.6185</v>
      </c>
    </row>
    <row r="2025" spans="1:8" x14ac:dyDescent="0.2">
      <c r="A2025" s="1">
        <v>81</v>
      </c>
      <c r="B2025" s="1" t="str">
        <v>2020-07-31</v>
      </c>
      <c r="C2025" s="1">
        <v>2.0041000000000002</v>
      </c>
      <c r="F2025" s="8">
        <f t="shared" si="93"/>
        <v>81</v>
      </c>
      <c r="G2025" s="9">
        <f t="shared" si="94"/>
        <v>44043</v>
      </c>
      <c r="H2025" s="10">
        <f t="shared" si="95"/>
        <v>2.0041000000000002</v>
      </c>
    </row>
    <row r="2026" spans="1:8" x14ac:dyDescent="0.2">
      <c r="A2026" s="1">
        <v>53</v>
      </c>
      <c r="B2026" s="1" t="str">
        <v>2020-07-31</v>
      </c>
      <c r="C2026" s="1">
        <v>1.3749</v>
      </c>
      <c r="F2026" s="8">
        <f t="shared" si="93"/>
        <v>53</v>
      </c>
      <c r="G2026" s="9">
        <f t="shared" si="94"/>
        <v>44043</v>
      </c>
      <c r="H2026" s="10">
        <f t="shared" si="95"/>
        <v>1.3749</v>
      </c>
    </row>
    <row r="2027" spans="1:8" x14ac:dyDescent="0.2">
      <c r="A2027" s="1">
        <v>78</v>
      </c>
      <c r="B2027" s="1" t="str">
        <v>2020-07-31</v>
      </c>
      <c r="C2027" s="1">
        <v>1.8211999999999999</v>
      </c>
      <c r="F2027" s="8">
        <f t="shared" si="93"/>
        <v>78</v>
      </c>
      <c r="G2027" s="9">
        <f t="shared" si="94"/>
        <v>44043</v>
      </c>
      <c r="H2027" s="10">
        <f t="shared" si="95"/>
        <v>1.8211999999999999</v>
      </c>
    </row>
    <row r="2028" spans="1:8" x14ac:dyDescent="0.2">
      <c r="A2028" s="1">
        <v>32582</v>
      </c>
      <c r="B2028" s="1" t="str">
        <v>2020-07-31</v>
      </c>
      <c r="C2028" s="1">
        <v>1.4157999999999999</v>
      </c>
      <c r="F2028" s="8">
        <f t="shared" si="93"/>
        <v>32582</v>
      </c>
      <c r="G2028" s="9">
        <f t="shared" si="94"/>
        <v>44043</v>
      </c>
      <c r="H2028" s="10">
        <f t="shared" si="95"/>
        <v>1.4157999999999999</v>
      </c>
    </row>
    <row r="2029" spans="1:8" x14ac:dyDescent="0.2">
      <c r="A2029" s="1">
        <v>90</v>
      </c>
      <c r="B2029" s="1" t="str">
        <v>2020-07-31</v>
      </c>
      <c r="C2029" s="1">
        <v>1.7201</v>
      </c>
      <c r="F2029" s="8">
        <f t="shared" si="93"/>
        <v>90</v>
      </c>
      <c r="G2029" s="9">
        <f t="shared" si="94"/>
        <v>44043</v>
      </c>
      <c r="H2029" s="10">
        <f t="shared" si="95"/>
        <v>1.7201</v>
      </c>
    </row>
    <row r="2030" spans="1:8" x14ac:dyDescent="0.2">
      <c r="A2030" s="1">
        <v>2250</v>
      </c>
      <c r="B2030" s="1" t="str">
        <v>2020-07-31</v>
      </c>
      <c r="C2030" s="1">
        <v>1.4258999999999999</v>
      </c>
      <c r="F2030" s="8">
        <f t="shared" si="93"/>
        <v>2250</v>
      </c>
      <c r="G2030" s="9">
        <f t="shared" si="94"/>
        <v>44043</v>
      </c>
      <c r="H2030" s="10">
        <f t="shared" si="95"/>
        <v>1.4258999999999999</v>
      </c>
    </row>
    <row r="2031" spans="1:8" x14ac:dyDescent="0.2">
      <c r="A2031" s="1">
        <v>32340</v>
      </c>
      <c r="B2031" s="1" t="str">
        <v>2020-08-03</v>
      </c>
      <c r="C2031" s="1">
        <v>1.5373000000000001</v>
      </c>
      <c r="F2031" s="8">
        <f t="shared" si="93"/>
        <v>32340</v>
      </c>
      <c r="G2031" s="9">
        <f t="shared" si="94"/>
        <v>44046</v>
      </c>
      <c r="H2031" s="10">
        <f t="shared" si="95"/>
        <v>1.5373000000000001</v>
      </c>
    </row>
    <row r="2032" spans="1:8" x14ac:dyDescent="0.2">
      <c r="A2032" s="1">
        <v>99</v>
      </c>
      <c r="B2032" s="1" t="str">
        <v>2020-08-03</v>
      </c>
      <c r="C2032" s="1">
        <v>2.7589000000000001</v>
      </c>
      <c r="F2032" s="8">
        <f t="shared" si="93"/>
        <v>99</v>
      </c>
      <c r="G2032" s="9">
        <f t="shared" si="94"/>
        <v>44046</v>
      </c>
      <c r="H2032" s="10">
        <f t="shared" si="95"/>
        <v>2.7589000000000001</v>
      </c>
    </row>
    <row r="2033" spans="1:8" x14ac:dyDescent="0.2">
      <c r="A2033" s="1">
        <v>32421</v>
      </c>
      <c r="B2033" s="1" t="str">
        <v>2020-08-03</v>
      </c>
      <c r="C2033" s="1">
        <v>1.5183</v>
      </c>
      <c r="F2033" s="8">
        <f t="shared" si="93"/>
        <v>32421</v>
      </c>
      <c r="G2033" s="9">
        <f t="shared" si="94"/>
        <v>44046</v>
      </c>
      <c r="H2033" s="10">
        <f t="shared" si="95"/>
        <v>1.5183</v>
      </c>
    </row>
    <row r="2034" spans="1:8" x14ac:dyDescent="0.2">
      <c r="A2034" s="1">
        <v>182</v>
      </c>
      <c r="B2034" s="1" t="str">
        <v>2020-08-03</v>
      </c>
      <c r="C2034" s="1">
        <v>2.0249000000000001</v>
      </c>
      <c r="F2034" s="8">
        <f t="shared" si="93"/>
        <v>182</v>
      </c>
      <c r="G2034" s="9">
        <f t="shared" si="94"/>
        <v>44046</v>
      </c>
      <c r="H2034" s="10">
        <f t="shared" si="95"/>
        <v>2.0249000000000001</v>
      </c>
    </row>
    <row r="2035" spans="1:8" x14ac:dyDescent="0.2">
      <c r="A2035" s="1">
        <v>178</v>
      </c>
      <c r="B2035" s="1" t="str">
        <v>2020-08-03</v>
      </c>
      <c r="C2035" s="1">
        <v>1.7814000000000001</v>
      </c>
      <c r="F2035" s="8">
        <f t="shared" si="93"/>
        <v>178</v>
      </c>
      <c r="G2035" s="9">
        <f t="shared" si="94"/>
        <v>44046</v>
      </c>
      <c r="H2035" s="10">
        <f t="shared" si="95"/>
        <v>1.7814000000000001</v>
      </c>
    </row>
    <row r="2036" spans="1:8" x14ac:dyDescent="0.2">
      <c r="A2036" s="1">
        <v>24250</v>
      </c>
      <c r="B2036" s="1" t="str">
        <v>2020-08-04</v>
      </c>
      <c r="C2036" s="1">
        <v>1.4869000000000001</v>
      </c>
      <c r="F2036" s="8">
        <f t="shared" si="93"/>
        <v>24250</v>
      </c>
      <c r="G2036" s="9">
        <f t="shared" si="94"/>
        <v>44047</v>
      </c>
      <c r="H2036" s="10">
        <f t="shared" si="95"/>
        <v>1.4869000000000001</v>
      </c>
    </row>
    <row r="2037" spans="1:8" x14ac:dyDescent="0.2">
      <c r="A2037" s="1">
        <v>33130</v>
      </c>
      <c r="B2037" s="1" t="str">
        <v>2020-08-04</v>
      </c>
      <c r="C2037" s="1">
        <v>1.5172000000000001</v>
      </c>
      <c r="F2037" s="8">
        <f t="shared" si="93"/>
        <v>33130</v>
      </c>
      <c r="G2037" s="9">
        <f t="shared" si="94"/>
        <v>44047</v>
      </c>
      <c r="H2037" s="10">
        <f t="shared" si="95"/>
        <v>1.5172000000000001</v>
      </c>
    </row>
    <row r="2038" spans="1:8" x14ac:dyDescent="0.2">
      <c r="A2038" s="1">
        <v>33164</v>
      </c>
      <c r="B2038" s="1" t="str">
        <v>2020-08-05</v>
      </c>
      <c r="C2038" s="1">
        <v>1.6693</v>
      </c>
      <c r="F2038" s="8">
        <f t="shared" si="93"/>
        <v>33164</v>
      </c>
      <c r="G2038" s="9">
        <f t="shared" si="94"/>
        <v>44048</v>
      </c>
      <c r="H2038" s="10">
        <f t="shared" si="95"/>
        <v>1.6693</v>
      </c>
    </row>
    <row r="2039" spans="1:8" x14ac:dyDescent="0.2">
      <c r="A2039" s="1">
        <v>32963</v>
      </c>
      <c r="B2039" s="1" t="str">
        <v>2020-08-05</v>
      </c>
      <c r="C2039" s="1">
        <v>1.3956999999999999</v>
      </c>
      <c r="F2039" s="8">
        <f t="shared" si="93"/>
        <v>32963</v>
      </c>
      <c r="G2039" s="9">
        <f t="shared" si="94"/>
        <v>44048</v>
      </c>
      <c r="H2039" s="10">
        <f t="shared" si="95"/>
        <v>1.3956999999999999</v>
      </c>
    </row>
    <row r="2040" spans="1:8" x14ac:dyDescent="0.2">
      <c r="A2040" s="1">
        <v>32400</v>
      </c>
      <c r="B2040" s="1" t="str">
        <v>2020-08-06</v>
      </c>
      <c r="C2040" s="1">
        <v>1.6692</v>
      </c>
      <c r="F2040" s="8">
        <f t="shared" si="93"/>
        <v>32400</v>
      </c>
      <c r="G2040" s="9">
        <f t="shared" si="94"/>
        <v>44049</v>
      </c>
      <c r="H2040" s="10">
        <f t="shared" si="95"/>
        <v>1.6692</v>
      </c>
    </row>
    <row r="2041" spans="1:8" x14ac:dyDescent="0.2">
      <c r="A2041" s="1">
        <v>147</v>
      </c>
      <c r="B2041" s="1" t="str">
        <v>2020-08-06</v>
      </c>
      <c r="C2041" s="1">
        <v>1.0321</v>
      </c>
      <c r="F2041" s="8">
        <f t="shared" si="93"/>
        <v>147</v>
      </c>
      <c r="G2041" s="9">
        <f t="shared" si="94"/>
        <v>44049</v>
      </c>
      <c r="H2041" s="10">
        <f t="shared" si="95"/>
        <v>1.0321</v>
      </c>
    </row>
    <row r="2042" spans="1:8" x14ac:dyDescent="0.2">
      <c r="A2042" s="1">
        <v>146</v>
      </c>
      <c r="B2042" s="1" t="str">
        <v>2020-08-06</v>
      </c>
      <c r="C2042" s="1">
        <v>1.74</v>
      </c>
      <c r="F2042" s="8">
        <f t="shared" si="93"/>
        <v>146</v>
      </c>
      <c r="G2042" s="9">
        <f t="shared" si="94"/>
        <v>44049</v>
      </c>
      <c r="H2042" s="10">
        <f t="shared" si="95"/>
        <v>1.74</v>
      </c>
    </row>
    <row r="2043" spans="1:8" x14ac:dyDescent="0.2">
      <c r="A2043" s="1">
        <v>32200</v>
      </c>
      <c r="B2043" s="1" t="str">
        <v>2020-08-07</v>
      </c>
      <c r="C2043" s="1">
        <v>1.3447</v>
      </c>
      <c r="F2043" s="8">
        <f t="shared" si="93"/>
        <v>32200</v>
      </c>
      <c r="G2043" s="9">
        <f t="shared" si="94"/>
        <v>44050</v>
      </c>
      <c r="H2043" s="10">
        <f t="shared" si="95"/>
        <v>1.3447</v>
      </c>
    </row>
    <row r="2044" spans="1:8" x14ac:dyDescent="0.2">
      <c r="A2044" s="1">
        <v>28</v>
      </c>
      <c r="B2044" s="1" t="str">
        <v>2020-08-07</v>
      </c>
      <c r="C2044" s="1">
        <v>1.4861</v>
      </c>
      <c r="F2044" s="8">
        <f t="shared" si="93"/>
        <v>28</v>
      </c>
      <c r="G2044" s="9">
        <f t="shared" si="94"/>
        <v>44050</v>
      </c>
      <c r="H2044" s="10">
        <f t="shared" si="95"/>
        <v>1.4861</v>
      </c>
    </row>
    <row r="2045" spans="1:8" x14ac:dyDescent="0.2">
      <c r="A2045" s="1">
        <v>33183</v>
      </c>
      <c r="B2045" s="1" t="str">
        <v>2020-08-07</v>
      </c>
      <c r="C2045" s="1">
        <v>1.3705000000000001</v>
      </c>
      <c r="F2045" s="8">
        <f t="shared" si="93"/>
        <v>33183</v>
      </c>
      <c r="G2045" s="9">
        <f t="shared" si="94"/>
        <v>44050</v>
      </c>
      <c r="H2045" s="10">
        <f t="shared" si="95"/>
        <v>1.3705000000000001</v>
      </c>
    </row>
    <row r="2046" spans="1:8" x14ac:dyDescent="0.2">
      <c r="A2046" s="1">
        <v>150</v>
      </c>
      <c r="B2046" s="1" t="str">
        <v>2020-08-07</v>
      </c>
      <c r="C2046" s="1">
        <v>1.8463000000000001</v>
      </c>
      <c r="F2046" s="8">
        <f t="shared" si="93"/>
        <v>150</v>
      </c>
      <c r="G2046" s="9">
        <f t="shared" si="94"/>
        <v>44050</v>
      </c>
      <c r="H2046" s="10">
        <f t="shared" si="95"/>
        <v>1.8463000000000001</v>
      </c>
    </row>
    <row r="2047" spans="1:8" x14ac:dyDescent="0.2">
      <c r="A2047" s="1">
        <v>32180</v>
      </c>
      <c r="B2047" s="1" t="str">
        <v>2020-08-07</v>
      </c>
      <c r="C2047" s="1">
        <v>1.5447</v>
      </c>
      <c r="F2047" s="8">
        <f t="shared" si="93"/>
        <v>32180</v>
      </c>
      <c r="G2047" s="9">
        <f t="shared" si="94"/>
        <v>44050</v>
      </c>
      <c r="H2047" s="10">
        <f t="shared" si="95"/>
        <v>1.5447</v>
      </c>
    </row>
    <row r="2048" spans="1:8" x14ac:dyDescent="0.2">
      <c r="A2048" s="1">
        <v>139</v>
      </c>
      <c r="B2048" s="1" t="str">
        <v>2020-08-07</v>
      </c>
      <c r="C2048" s="1">
        <v>1.6996</v>
      </c>
      <c r="F2048" s="8">
        <f t="shared" si="93"/>
        <v>139</v>
      </c>
      <c r="G2048" s="9">
        <f t="shared" si="94"/>
        <v>44050</v>
      </c>
      <c r="H2048" s="10">
        <f t="shared" si="95"/>
        <v>1.6996</v>
      </c>
    </row>
    <row r="2049" spans="1:8" x14ac:dyDescent="0.2">
      <c r="A2049" s="1">
        <v>133</v>
      </c>
      <c r="B2049" s="1" t="str">
        <v>2020-08-07</v>
      </c>
      <c r="C2049" s="1">
        <v>1.6083000000000001</v>
      </c>
      <c r="F2049" s="8">
        <f t="shared" si="93"/>
        <v>133</v>
      </c>
      <c r="G2049" s="9">
        <f t="shared" si="94"/>
        <v>44050</v>
      </c>
      <c r="H2049" s="10">
        <f t="shared" si="95"/>
        <v>1.6083000000000001</v>
      </c>
    </row>
    <row r="2050" spans="1:8" x14ac:dyDescent="0.2">
      <c r="A2050" s="1">
        <v>81</v>
      </c>
      <c r="B2050" s="1" t="str">
        <v>2020-08-07</v>
      </c>
      <c r="C2050" s="1">
        <v>1.9635</v>
      </c>
      <c r="F2050" s="8">
        <f t="shared" si="93"/>
        <v>81</v>
      </c>
      <c r="G2050" s="9">
        <f t="shared" si="94"/>
        <v>44050</v>
      </c>
      <c r="H2050" s="10">
        <f t="shared" si="95"/>
        <v>1.9635</v>
      </c>
    </row>
    <row r="2051" spans="1:8" x14ac:dyDescent="0.2">
      <c r="A2051" s="1">
        <v>67</v>
      </c>
      <c r="B2051" s="1" t="str">
        <v>2020-08-07</v>
      </c>
      <c r="C2051" s="1">
        <v>1.6994</v>
      </c>
      <c r="F2051" s="8">
        <f t="shared" si="93"/>
        <v>67</v>
      </c>
      <c r="G2051" s="9">
        <f t="shared" si="94"/>
        <v>44050</v>
      </c>
      <c r="H2051" s="10">
        <f t="shared" si="95"/>
        <v>1.6994</v>
      </c>
    </row>
    <row r="2052" spans="1:8" x14ac:dyDescent="0.2">
      <c r="A2052" s="1">
        <v>147</v>
      </c>
      <c r="B2052" s="1" t="str">
        <v>2020-08-07</v>
      </c>
      <c r="C2052" s="1">
        <v>1.0623</v>
      </c>
      <c r="F2052" s="8">
        <f t="shared" si="93"/>
        <v>147</v>
      </c>
      <c r="G2052" s="9">
        <f t="shared" si="94"/>
        <v>44050</v>
      </c>
      <c r="H2052" s="10">
        <f t="shared" si="95"/>
        <v>1.0623</v>
      </c>
    </row>
    <row r="2053" spans="1:8" x14ac:dyDescent="0.2">
      <c r="A2053" s="1">
        <v>13250</v>
      </c>
      <c r="B2053" s="1" t="str">
        <v>2020-08-07</v>
      </c>
      <c r="C2053" s="1">
        <v>1.3148</v>
      </c>
      <c r="F2053" s="8">
        <f t="shared" si="93"/>
        <v>13250</v>
      </c>
      <c r="G2053" s="9">
        <f t="shared" si="94"/>
        <v>44050</v>
      </c>
      <c r="H2053" s="10">
        <f t="shared" si="95"/>
        <v>1.3148</v>
      </c>
    </row>
    <row r="2054" spans="1:8" x14ac:dyDescent="0.2">
      <c r="A2054" s="1">
        <v>32724</v>
      </c>
      <c r="B2054" s="1" t="str">
        <v>2020-08-07</v>
      </c>
      <c r="C2054" s="1">
        <v>1.6288</v>
      </c>
      <c r="F2054" s="8">
        <f t="shared" si="93"/>
        <v>32724</v>
      </c>
      <c r="G2054" s="9">
        <f t="shared" si="94"/>
        <v>44050</v>
      </c>
      <c r="H2054" s="10">
        <f t="shared" si="95"/>
        <v>1.6288</v>
      </c>
    </row>
    <row r="2055" spans="1:8" x14ac:dyDescent="0.2">
      <c r="A2055" s="1">
        <v>20</v>
      </c>
      <c r="B2055" s="1" t="str">
        <v>2020-08-07</v>
      </c>
      <c r="C2055" s="1">
        <v>1.7904</v>
      </c>
      <c r="F2055" s="8">
        <f t="shared" si="93"/>
        <v>20</v>
      </c>
      <c r="G2055" s="9">
        <f t="shared" si="94"/>
        <v>44050</v>
      </c>
      <c r="H2055" s="10">
        <f t="shared" si="95"/>
        <v>1.7904</v>
      </c>
    </row>
    <row r="2056" spans="1:8" x14ac:dyDescent="0.2">
      <c r="A2056" s="1">
        <v>161</v>
      </c>
      <c r="B2056" s="1" t="str">
        <v>2020-08-07</v>
      </c>
      <c r="C2056" s="1">
        <v>1.5576000000000001</v>
      </c>
      <c r="F2056" s="8">
        <f t="shared" si="93"/>
        <v>161</v>
      </c>
      <c r="G2056" s="9">
        <f t="shared" si="94"/>
        <v>44050</v>
      </c>
      <c r="H2056" s="10">
        <f t="shared" si="95"/>
        <v>1.5576000000000001</v>
      </c>
    </row>
    <row r="2057" spans="1:8" x14ac:dyDescent="0.2">
      <c r="A2057" s="1">
        <v>33103</v>
      </c>
      <c r="B2057" s="1" t="str">
        <v>2020-08-07</v>
      </c>
      <c r="C2057" s="1">
        <v>2.2212999999999998</v>
      </c>
      <c r="F2057" s="8">
        <f t="shared" ref="F2057:F2120" si="96">A2057</f>
        <v>33103</v>
      </c>
      <c r="G2057" s="9">
        <f t="shared" ref="G2057:G2120" si="97">DATE(LEFT(B2057,4),MID(B2057,6,2),RIGHT(B2057,2))</f>
        <v>44050</v>
      </c>
      <c r="H2057" s="10">
        <f t="shared" ref="H2057:H2120" si="98">C2057</f>
        <v>2.2212999999999998</v>
      </c>
    </row>
    <row r="2058" spans="1:8" x14ac:dyDescent="0.2">
      <c r="A2058" s="1">
        <v>164</v>
      </c>
      <c r="B2058" s="1" t="str">
        <v>2020-08-07</v>
      </c>
      <c r="C2058" s="1">
        <v>1.8112999999999999</v>
      </c>
      <c r="F2058" s="8">
        <f t="shared" si="96"/>
        <v>164</v>
      </c>
      <c r="G2058" s="9">
        <f t="shared" si="97"/>
        <v>44050</v>
      </c>
      <c r="H2058" s="10">
        <f t="shared" si="98"/>
        <v>1.8112999999999999</v>
      </c>
    </row>
    <row r="2059" spans="1:8" x14ac:dyDescent="0.2">
      <c r="A2059" s="1">
        <v>16</v>
      </c>
      <c r="B2059" s="1" t="str">
        <v>2020-08-07</v>
      </c>
      <c r="C2059" s="1">
        <v>1.3853</v>
      </c>
      <c r="F2059" s="8">
        <f t="shared" si="96"/>
        <v>16</v>
      </c>
      <c r="G2059" s="9">
        <f t="shared" si="97"/>
        <v>44050</v>
      </c>
      <c r="H2059" s="10">
        <f t="shared" si="98"/>
        <v>1.3853</v>
      </c>
    </row>
    <row r="2060" spans="1:8" x14ac:dyDescent="0.2">
      <c r="A2060" s="1">
        <v>10</v>
      </c>
      <c r="B2060" s="1" t="str">
        <v>2020-08-07</v>
      </c>
      <c r="C2060" s="1">
        <v>1.4970000000000001</v>
      </c>
      <c r="F2060" s="8">
        <f t="shared" si="96"/>
        <v>10</v>
      </c>
      <c r="G2060" s="9">
        <f t="shared" si="97"/>
        <v>44050</v>
      </c>
      <c r="H2060" s="10">
        <f t="shared" si="98"/>
        <v>1.4970000000000001</v>
      </c>
    </row>
    <row r="2061" spans="1:8" x14ac:dyDescent="0.2">
      <c r="A2061" s="1">
        <v>115</v>
      </c>
      <c r="B2061" s="1" t="str">
        <v>2020-08-07</v>
      </c>
      <c r="C2061" s="1">
        <v>1.8825000000000001</v>
      </c>
      <c r="F2061" s="8">
        <f t="shared" si="96"/>
        <v>115</v>
      </c>
      <c r="G2061" s="9">
        <f t="shared" si="97"/>
        <v>44050</v>
      </c>
      <c r="H2061" s="10">
        <f t="shared" si="98"/>
        <v>1.8825000000000001</v>
      </c>
    </row>
    <row r="2062" spans="1:8" x14ac:dyDescent="0.2">
      <c r="A2062" s="1">
        <v>33203</v>
      </c>
      <c r="B2062" s="1" t="str">
        <v>2020-08-07</v>
      </c>
      <c r="C2062" s="1">
        <v>1.6667000000000001</v>
      </c>
      <c r="F2062" s="8">
        <f t="shared" si="96"/>
        <v>33203</v>
      </c>
      <c r="G2062" s="9">
        <f t="shared" si="97"/>
        <v>44050</v>
      </c>
      <c r="H2062" s="10">
        <f t="shared" si="98"/>
        <v>1.6667000000000001</v>
      </c>
    </row>
    <row r="2063" spans="1:8" x14ac:dyDescent="0.2">
      <c r="A2063" s="1">
        <v>33130</v>
      </c>
      <c r="B2063" s="1" t="str">
        <v>2020-08-07</v>
      </c>
      <c r="C2063" s="1">
        <v>1.5475000000000001</v>
      </c>
      <c r="F2063" s="8">
        <f t="shared" si="96"/>
        <v>33130</v>
      </c>
      <c r="G2063" s="9">
        <f t="shared" si="97"/>
        <v>44050</v>
      </c>
      <c r="H2063" s="10">
        <f t="shared" si="98"/>
        <v>1.5475000000000001</v>
      </c>
    </row>
    <row r="2064" spans="1:8" x14ac:dyDescent="0.2">
      <c r="A2064" s="1">
        <v>187</v>
      </c>
      <c r="B2064" s="1" t="str">
        <v>2020-08-07</v>
      </c>
      <c r="C2064" s="1">
        <v>1.6289</v>
      </c>
      <c r="F2064" s="8">
        <f t="shared" si="96"/>
        <v>187</v>
      </c>
      <c r="G2064" s="9">
        <f t="shared" si="97"/>
        <v>44050</v>
      </c>
      <c r="H2064" s="10">
        <f t="shared" si="98"/>
        <v>1.6289</v>
      </c>
    </row>
    <row r="2065" spans="1:8" x14ac:dyDescent="0.2">
      <c r="A2065" s="1">
        <v>101</v>
      </c>
      <c r="B2065" s="1" t="str">
        <v>2020-08-10</v>
      </c>
      <c r="C2065" s="1">
        <v>1.5576000000000001</v>
      </c>
      <c r="F2065" s="8">
        <f t="shared" si="96"/>
        <v>101</v>
      </c>
      <c r="G2065" s="9">
        <f t="shared" si="97"/>
        <v>44053</v>
      </c>
      <c r="H2065" s="10">
        <f t="shared" si="98"/>
        <v>1.5576000000000001</v>
      </c>
    </row>
    <row r="2066" spans="1:8" x14ac:dyDescent="0.2">
      <c r="A2066" s="1">
        <v>32400</v>
      </c>
      <c r="B2066" s="1" t="str">
        <v>2020-08-10</v>
      </c>
      <c r="C2066" s="1">
        <v>1.7301</v>
      </c>
      <c r="F2066" s="8">
        <f t="shared" si="96"/>
        <v>32400</v>
      </c>
      <c r="G2066" s="9">
        <f t="shared" si="97"/>
        <v>44053</v>
      </c>
      <c r="H2066" s="10">
        <f t="shared" si="98"/>
        <v>1.7301</v>
      </c>
    </row>
    <row r="2067" spans="1:8" x14ac:dyDescent="0.2">
      <c r="A2067" s="1">
        <v>33023</v>
      </c>
      <c r="B2067" s="1" t="str">
        <v>2020-08-10</v>
      </c>
      <c r="C2067" s="1">
        <v>1.6693</v>
      </c>
      <c r="F2067" s="8">
        <f t="shared" si="96"/>
        <v>33023</v>
      </c>
      <c r="G2067" s="9">
        <f t="shared" si="97"/>
        <v>44053</v>
      </c>
      <c r="H2067" s="10">
        <f t="shared" si="98"/>
        <v>1.6693</v>
      </c>
    </row>
    <row r="2068" spans="1:8" x14ac:dyDescent="0.2">
      <c r="A2068" s="1">
        <v>8</v>
      </c>
      <c r="B2068" s="1" t="str">
        <v>2020-08-10</v>
      </c>
      <c r="C2068" s="1">
        <v>2.2692000000000001</v>
      </c>
      <c r="F2068" s="8">
        <f t="shared" si="96"/>
        <v>8</v>
      </c>
      <c r="G2068" s="9">
        <f t="shared" si="97"/>
        <v>44053</v>
      </c>
      <c r="H2068" s="10">
        <f t="shared" si="98"/>
        <v>2.2692000000000001</v>
      </c>
    </row>
    <row r="2069" spans="1:8" x14ac:dyDescent="0.2">
      <c r="A2069" s="1">
        <v>32260</v>
      </c>
      <c r="B2069" s="1" t="str">
        <v>2020-08-10</v>
      </c>
      <c r="C2069" s="1">
        <v>1.5881000000000001</v>
      </c>
      <c r="F2069" s="8">
        <f t="shared" si="96"/>
        <v>32260</v>
      </c>
      <c r="G2069" s="9">
        <f t="shared" si="97"/>
        <v>44053</v>
      </c>
      <c r="H2069" s="10">
        <f t="shared" si="98"/>
        <v>1.5881000000000001</v>
      </c>
    </row>
    <row r="2070" spans="1:8" x14ac:dyDescent="0.2">
      <c r="A2070" s="1">
        <v>32663</v>
      </c>
      <c r="B2070" s="1" t="str">
        <v>2020-08-10</v>
      </c>
      <c r="C2070" s="1">
        <v>1.5681</v>
      </c>
      <c r="F2070" s="8">
        <f t="shared" si="96"/>
        <v>32663</v>
      </c>
      <c r="G2070" s="9">
        <f t="shared" si="97"/>
        <v>44053</v>
      </c>
      <c r="H2070" s="10">
        <f t="shared" si="98"/>
        <v>1.5681</v>
      </c>
    </row>
    <row r="2071" spans="1:8" x14ac:dyDescent="0.2">
      <c r="A2071" s="1">
        <v>32421</v>
      </c>
      <c r="B2071" s="1" t="str">
        <v>2020-08-10</v>
      </c>
      <c r="C2071" s="1">
        <v>1.6593</v>
      </c>
      <c r="F2071" s="8">
        <f t="shared" si="96"/>
        <v>32421</v>
      </c>
      <c r="G2071" s="9">
        <f t="shared" si="97"/>
        <v>44053</v>
      </c>
      <c r="H2071" s="10">
        <f t="shared" si="98"/>
        <v>1.6593</v>
      </c>
    </row>
    <row r="2072" spans="1:8" x14ac:dyDescent="0.2">
      <c r="A2072" s="1">
        <v>24250</v>
      </c>
      <c r="B2072" s="1" t="str">
        <v>2020-08-10</v>
      </c>
      <c r="C2072" s="1">
        <v>1.5071000000000001</v>
      </c>
      <c r="F2072" s="8">
        <f t="shared" si="96"/>
        <v>24250</v>
      </c>
      <c r="G2072" s="9">
        <f t="shared" si="97"/>
        <v>44053</v>
      </c>
      <c r="H2072" s="10">
        <f t="shared" si="98"/>
        <v>1.5071000000000001</v>
      </c>
    </row>
    <row r="2073" spans="1:8" x14ac:dyDescent="0.2">
      <c r="A2073" s="1">
        <v>33103</v>
      </c>
      <c r="B2073" s="1" t="str">
        <v>2020-08-10</v>
      </c>
      <c r="C2073" s="1">
        <v>2.3938999999999999</v>
      </c>
      <c r="F2073" s="8">
        <f t="shared" si="96"/>
        <v>33103</v>
      </c>
      <c r="G2073" s="9">
        <f t="shared" si="97"/>
        <v>44053</v>
      </c>
      <c r="H2073" s="10">
        <f t="shared" si="98"/>
        <v>2.3938999999999999</v>
      </c>
    </row>
    <row r="2074" spans="1:8" x14ac:dyDescent="0.2">
      <c r="A2074" s="1">
        <v>178</v>
      </c>
      <c r="B2074" s="1" t="str">
        <v>2020-08-10</v>
      </c>
      <c r="C2074" s="1">
        <v>1.7932999999999999</v>
      </c>
      <c r="F2074" s="8">
        <f t="shared" si="96"/>
        <v>178</v>
      </c>
      <c r="G2074" s="9">
        <f t="shared" si="97"/>
        <v>44053</v>
      </c>
      <c r="H2074" s="10">
        <f t="shared" si="98"/>
        <v>1.7932999999999999</v>
      </c>
    </row>
    <row r="2075" spans="1:8" x14ac:dyDescent="0.2">
      <c r="A2075" s="1">
        <v>8</v>
      </c>
      <c r="B2075" s="1" t="str">
        <v>2020-08-11</v>
      </c>
      <c r="C2075" s="1">
        <v>2.1059999999999999</v>
      </c>
      <c r="F2075" s="8">
        <f t="shared" si="96"/>
        <v>8</v>
      </c>
      <c r="G2075" s="9">
        <f t="shared" si="97"/>
        <v>44054</v>
      </c>
      <c r="H2075" s="10">
        <f t="shared" si="98"/>
        <v>2.1059999999999999</v>
      </c>
    </row>
    <row r="2076" spans="1:8" x14ac:dyDescent="0.2">
      <c r="A2076" s="1">
        <v>33125</v>
      </c>
      <c r="B2076" s="1" t="str">
        <v>2020-08-11</v>
      </c>
      <c r="C2076" s="1">
        <v>1.5983000000000001</v>
      </c>
      <c r="F2076" s="8">
        <f t="shared" si="96"/>
        <v>33125</v>
      </c>
      <c r="G2076" s="9">
        <f t="shared" si="97"/>
        <v>44054</v>
      </c>
      <c r="H2076" s="10">
        <f t="shared" si="98"/>
        <v>1.5983000000000001</v>
      </c>
    </row>
    <row r="2077" spans="1:8" x14ac:dyDescent="0.2">
      <c r="A2077" s="1">
        <v>32222</v>
      </c>
      <c r="B2077" s="1" t="str">
        <v>2020-08-11</v>
      </c>
      <c r="C2077" s="1">
        <v>1.7806</v>
      </c>
      <c r="F2077" s="8">
        <f t="shared" si="96"/>
        <v>32222</v>
      </c>
      <c r="G2077" s="9">
        <f t="shared" si="97"/>
        <v>44054</v>
      </c>
      <c r="H2077" s="10">
        <f t="shared" si="98"/>
        <v>1.7806</v>
      </c>
    </row>
    <row r="2078" spans="1:8" x14ac:dyDescent="0.2">
      <c r="A2078" s="1">
        <v>32040</v>
      </c>
      <c r="B2078" s="1" t="str">
        <v>2020-08-11</v>
      </c>
      <c r="C2078" s="1">
        <v>1.6378999999999999</v>
      </c>
      <c r="F2078" s="8">
        <f t="shared" si="96"/>
        <v>32040</v>
      </c>
      <c r="G2078" s="9">
        <f t="shared" si="97"/>
        <v>44054</v>
      </c>
      <c r="H2078" s="10">
        <f t="shared" si="98"/>
        <v>1.6378999999999999</v>
      </c>
    </row>
    <row r="2079" spans="1:8" x14ac:dyDescent="0.2">
      <c r="A2079" s="1">
        <v>115</v>
      </c>
      <c r="B2079" s="1" t="str">
        <v>2020-08-11</v>
      </c>
      <c r="C2079" s="1">
        <v>1.8216000000000001</v>
      </c>
      <c r="F2079" s="8">
        <f t="shared" si="96"/>
        <v>115</v>
      </c>
      <c r="G2079" s="9">
        <f t="shared" si="97"/>
        <v>44054</v>
      </c>
      <c r="H2079" s="10">
        <f t="shared" si="98"/>
        <v>1.8216000000000001</v>
      </c>
    </row>
    <row r="2080" spans="1:8" x14ac:dyDescent="0.2">
      <c r="A2080" s="1">
        <v>32964</v>
      </c>
      <c r="B2080" s="1" t="str">
        <v>2020-08-11</v>
      </c>
      <c r="C2080" s="1">
        <v>1.5128999999999999</v>
      </c>
      <c r="F2080" s="8">
        <f t="shared" si="96"/>
        <v>32964</v>
      </c>
      <c r="G2080" s="9">
        <f t="shared" si="97"/>
        <v>44054</v>
      </c>
      <c r="H2080" s="10">
        <f t="shared" si="98"/>
        <v>1.5128999999999999</v>
      </c>
    </row>
    <row r="2081" spans="1:8" x14ac:dyDescent="0.2">
      <c r="A2081" s="1">
        <v>2250</v>
      </c>
      <c r="B2081" s="1" t="str">
        <v>2020-08-12</v>
      </c>
      <c r="C2081" s="1">
        <v>1.4056999999999999</v>
      </c>
      <c r="F2081" s="8">
        <f t="shared" si="96"/>
        <v>2250</v>
      </c>
      <c r="G2081" s="9">
        <f t="shared" si="97"/>
        <v>44055</v>
      </c>
      <c r="H2081" s="10">
        <f t="shared" si="98"/>
        <v>1.4056999999999999</v>
      </c>
    </row>
    <row r="2082" spans="1:8" x14ac:dyDescent="0.2">
      <c r="A2082" s="1">
        <v>32963</v>
      </c>
      <c r="B2082" s="1" t="str">
        <v>2020-08-12</v>
      </c>
      <c r="C2082" s="1">
        <v>1.5477000000000001</v>
      </c>
      <c r="F2082" s="8">
        <f t="shared" si="96"/>
        <v>32963</v>
      </c>
      <c r="G2082" s="9">
        <f t="shared" si="97"/>
        <v>44055</v>
      </c>
      <c r="H2082" s="10">
        <f t="shared" si="98"/>
        <v>1.5477000000000001</v>
      </c>
    </row>
    <row r="2083" spans="1:8" x14ac:dyDescent="0.2">
      <c r="A2083" s="1">
        <v>32583</v>
      </c>
      <c r="B2083" s="1" t="str">
        <v>2020-08-12</v>
      </c>
      <c r="C2083" s="1">
        <v>1.6</v>
      </c>
      <c r="F2083" s="8">
        <f t="shared" si="96"/>
        <v>32583</v>
      </c>
      <c r="G2083" s="9">
        <f t="shared" si="97"/>
        <v>44055</v>
      </c>
      <c r="H2083" s="10">
        <f t="shared" si="98"/>
        <v>1.6</v>
      </c>
    </row>
    <row r="2084" spans="1:8" x14ac:dyDescent="0.2">
      <c r="A2084" s="1">
        <v>77</v>
      </c>
      <c r="B2084" s="1" t="str">
        <v>2020-08-12</v>
      </c>
      <c r="C2084" s="1">
        <v>1.9944</v>
      </c>
      <c r="F2084" s="8">
        <f t="shared" si="96"/>
        <v>77</v>
      </c>
      <c r="G2084" s="9">
        <f t="shared" si="97"/>
        <v>44055</v>
      </c>
      <c r="H2084" s="10">
        <f t="shared" si="98"/>
        <v>1.9944</v>
      </c>
    </row>
    <row r="2085" spans="1:8" x14ac:dyDescent="0.2">
      <c r="A2085" s="1">
        <v>30350</v>
      </c>
      <c r="B2085" s="1" t="str">
        <v>2020-08-12</v>
      </c>
      <c r="C2085" s="1">
        <v>1.5172000000000001</v>
      </c>
      <c r="F2085" s="8">
        <f t="shared" si="96"/>
        <v>30350</v>
      </c>
      <c r="G2085" s="9">
        <f t="shared" si="97"/>
        <v>44055</v>
      </c>
      <c r="H2085" s="10">
        <f t="shared" si="98"/>
        <v>1.5172000000000001</v>
      </c>
    </row>
    <row r="2086" spans="1:8" x14ac:dyDescent="0.2">
      <c r="A2086" s="1">
        <v>32400</v>
      </c>
      <c r="B2086" s="1" t="str">
        <v>2020-08-13</v>
      </c>
      <c r="C2086" s="1">
        <v>1.8520000000000001</v>
      </c>
      <c r="F2086" s="8">
        <f t="shared" si="96"/>
        <v>32400</v>
      </c>
      <c r="G2086" s="9">
        <f t="shared" si="97"/>
        <v>44056</v>
      </c>
      <c r="H2086" s="10">
        <f t="shared" si="98"/>
        <v>1.8520000000000001</v>
      </c>
    </row>
    <row r="2087" spans="1:8" x14ac:dyDescent="0.2">
      <c r="A2087" s="1">
        <v>32803</v>
      </c>
      <c r="B2087" s="1" t="str">
        <v>2020-08-13</v>
      </c>
      <c r="C2087" s="1">
        <v>1.6997</v>
      </c>
      <c r="F2087" s="8">
        <f t="shared" si="96"/>
        <v>32803</v>
      </c>
      <c r="G2087" s="9">
        <f t="shared" si="97"/>
        <v>44056</v>
      </c>
      <c r="H2087" s="10">
        <f t="shared" si="98"/>
        <v>1.6997</v>
      </c>
    </row>
    <row r="2088" spans="1:8" x14ac:dyDescent="0.2">
      <c r="A2088" s="1">
        <v>32360</v>
      </c>
      <c r="B2088" s="1" t="str">
        <v>2020-08-13</v>
      </c>
      <c r="C2088" s="1">
        <v>1.2642</v>
      </c>
      <c r="F2088" s="8">
        <f t="shared" si="96"/>
        <v>32360</v>
      </c>
      <c r="G2088" s="9">
        <f t="shared" si="97"/>
        <v>44056</v>
      </c>
      <c r="H2088" s="10">
        <f t="shared" si="98"/>
        <v>1.2642</v>
      </c>
    </row>
    <row r="2089" spans="1:8" x14ac:dyDescent="0.2">
      <c r="A2089" s="1">
        <v>53</v>
      </c>
      <c r="B2089" s="1" t="str">
        <v>2020-08-13</v>
      </c>
      <c r="C2089" s="1">
        <v>1.7603</v>
      </c>
      <c r="F2089" s="8">
        <f t="shared" si="96"/>
        <v>53</v>
      </c>
      <c r="G2089" s="9">
        <f t="shared" si="97"/>
        <v>44056</v>
      </c>
      <c r="H2089" s="10">
        <f t="shared" si="98"/>
        <v>1.7603</v>
      </c>
    </row>
    <row r="2090" spans="1:8" x14ac:dyDescent="0.2">
      <c r="A2090" s="1">
        <v>32401</v>
      </c>
      <c r="B2090" s="1" t="str">
        <v>2020-08-13</v>
      </c>
      <c r="C2090" s="1">
        <v>1.6083000000000001</v>
      </c>
      <c r="F2090" s="8">
        <f t="shared" si="96"/>
        <v>32401</v>
      </c>
      <c r="G2090" s="9">
        <f t="shared" si="97"/>
        <v>44056</v>
      </c>
      <c r="H2090" s="10">
        <f t="shared" si="98"/>
        <v>1.6083000000000001</v>
      </c>
    </row>
    <row r="2091" spans="1:8" x14ac:dyDescent="0.2">
      <c r="A2091" s="1">
        <v>32723</v>
      </c>
      <c r="B2091" s="1" t="str">
        <v>2020-08-14</v>
      </c>
      <c r="C2091" s="1">
        <v>1.7706</v>
      </c>
      <c r="F2091" s="8">
        <f t="shared" si="96"/>
        <v>32723</v>
      </c>
      <c r="G2091" s="9">
        <f t="shared" si="97"/>
        <v>44057</v>
      </c>
      <c r="H2091" s="10">
        <f t="shared" si="98"/>
        <v>1.7706</v>
      </c>
    </row>
    <row r="2092" spans="1:8" x14ac:dyDescent="0.2">
      <c r="A2092" s="1">
        <v>156</v>
      </c>
      <c r="B2092" s="1" t="str">
        <v>2020-08-14</v>
      </c>
      <c r="C2092" s="1">
        <v>2.1265999999999998</v>
      </c>
      <c r="F2092" s="8">
        <f t="shared" si="96"/>
        <v>156</v>
      </c>
      <c r="G2092" s="9">
        <f t="shared" si="97"/>
        <v>44057</v>
      </c>
      <c r="H2092" s="10">
        <f t="shared" si="98"/>
        <v>2.1265999999999998</v>
      </c>
    </row>
    <row r="2093" spans="1:8" x14ac:dyDescent="0.2">
      <c r="A2093" s="1">
        <v>150</v>
      </c>
      <c r="B2093" s="1" t="str">
        <v>2020-08-14</v>
      </c>
      <c r="C2093" s="1">
        <v>1.8463000000000001</v>
      </c>
      <c r="F2093" s="8">
        <f t="shared" si="96"/>
        <v>150</v>
      </c>
      <c r="G2093" s="9">
        <f t="shared" si="97"/>
        <v>44057</v>
      </c>
      <c r="H2093" s="10">
        <f t="shared" si="98"/>
        <v>1.8463000000000001</v>
      </c>
    </row>
    <row r="2094" spans="1:8" x14ac:dyDescent="0.2">
      <c r="A2094" s="1">
        <v>32983</v>
      </c>
      <c r="B2094" s="1" t="str">
        <v>2020-08-14</v>
      </c>
      <c r="C2094" s="1">
        <v>1.6492</v>
      </c>
      <c r="F2094" s="8">
        <f t="shared" si="96"/>
        <v>32983</v>
      </c>
      <c r="G2094" s="9">
        <f t="shared" si="97"/>
        <v>44057</v>
      </c>
      <c r="H2094" s="10">
        <f t="shared" si="98"/>
        <v>1.6492</v>
      </c>
    </row>
    <row r="2095" spans="1:8" x14ac:dyDescent="0.2">
      <c r="A2095" s="1">
        <v>32783</v>
      </c>
      <c r="B2095" s="1" t="str">
        <v>2020-08-14</v>
      </c>
      <c r="C2095" s="1">
        <v>1.8517999999999999</v>
      </c>
      <c r="F2095" s="8">
        <f t="shared" si="96"/>
        <v>32783</v>
      </c>
      <c r="G2095" s="9">
        <f t="shared" si="97"/>
        <v>44057</v>
      </c>
      <c r="H2095" s="10">
        <f t="shared" si="98"/>
        <v>1.8517999999999999</v>
      </c>
    </row>
    <row r="2096" spans="1:8" x14ac:dyDescent="0.2">
      <c r="A2096" s="1">
        <v>102</v>
      </c>
      <c r="B2096" s="1" t="str">
        <v>2020-08-14</v>
      </c>
      <c r="C2096" s="1">
        <v>1.6583000000000001</v>
      </c>
      <c r="F2096" s="8">
        <f t="shared" si="96"/>
        <v>102</v>
      </c>
      <c r="G2096" s="9">
        <f t="shared" si="97"/>
        <v>44057</v>
      </c>
      <c r="H2096" s="10">
        <f t="shared" si="98"/>
        <v>1.6583000000000001</v>
      </c>
    </row>
    <row r="2097" spans="1:8" x14ac:dyDescent="0.2">
      <c r="A2097" s="1">
        <v>59</v>
      </c>
      <c r="B2097" s="1" t="str">
        <v>2020-08-14</v>
      </c>
      <c r="C2097" s="1">
        <v>1.5375000000000001</v>
      </c>
      <c r="F2097" s="8">
        <f t="shared" si="96"/>
        <v>59</v>
      </c>
      <c r="G2097" s="9">
        <f t="shared" si="97"/>
        <v>44057</v>
      </c>
      <c r="H2097" s="10">
        <f t="shared" si="98"/>
        <v>1.5375000000000001</v>
      </c>
    </row>
    <row r="2098" spans="1:8" x14ac:dyDescent="0.2">
      <c r="A2098" s="1">
        <v>24</v>
      </c>
      <c r="B2098" s="1" t="str">
        <v>2020-08-14</v>
      </c>
      <c r="C2098" s="1">
        <v>1.7909999999999999</v>
      </c>
      <c r="F2098" s="8">
        <f t="shared" si="96"/>
        <v>24</v>
      </c>
      <c r="G2098" s="9">
        <f t="shared" si="97"/>
        <v>44057</v>
      </c>
      <c r="H2098" s="10">
        <f t="shared" si="98"/>
        <v>1.7909999999999999</v>
      </c>
    </row>
    <row r="2099" spans="1:8" x14ac:dyDescent="0.2">
      <c r="A2099" s="1">
        <v>32081</v>
      </c>
      <c r="B2099" s="1" t="str">
        <v>2020-08-14</v>
      </c>
      <c r="C2099" s="1">
        <v>1.1632</v>
      </c>
      <c r="F2099" s="8">
        <f t="shared" si="96"/>
        <v>32081</v>
      </c>
      <c r="G2099" s="9">
        <f t="shared" si="97"/>
        <v>44057</v>
      </c>
      <c r="H2099" s="10">
        <f t="shared" si="98"/>
        <v>1.1632</v>
      </c>
    </row>
    <row r="2100" spans="1:8" x14ac:dyDescent="0.2">
      <c r="A2100" s="1">
        <v>146</v>
      </c>
      <c r="B2100" s="1" t="str">
        <v>2020-08-14</v>
      </c>
      <c r="C2100" s="1">
        <v>1.7907</v>
      </c>
      <c r="F2100" s="8">
        <f t="shared" si="96"/>
        <v>146</v>
      </c>
      <c r="G2100" s="9">
        <f t="shared" si="97"/>
        <v>44057</v>
      </c>
      <c r="H2100" s="10">
        <f t="shared" si="98"/>
        <v>1.7907</v>
      </c>
    </row>
    <row r="2101" spans="1:8" x14ac:dyDescent="0.2">
      <c r="A2101" s="1">
        <v>32400</v>
      </c>
      <c r="B2101" s="1" t="str">
        <v>2020-08-14</v>
      </c>
      <c r="C2101" s="1">
        <v>1.8723000000000001</v>
      </c>
      <c r="F2101" s="8">
        <f t="shared" si="96"/>
        <v>32400</v>
      </c>
      <c r="G2101" s="9">
        <f t="shared" si="97"/>
        <v>44057</v>
      </c>
      <c r="H2101" s="10">
        <f t="shared" si="98"/>
        <v>1.8723000000000001</v>
      </c>
    </row>
    <row r="2102" spans="1:8" x14ac:dyDescent="0.2">
      <c r="A2102" s="1">
        <v>81</v>
      </c>
      <c r="B2102" s="1" t="str">
        <v>2020-08-14</v>
      </c>
      <c r="C2102" s="1">
        <v>1.9635</v>
      </c>
      <c r="F2102" s="8">
        <f t="shared" si="96"/>
        <v>81</v>
      </c>
      <c r="G2102" s="9">
        <f t="shared" si="97"/>
        <v>44057</v>
      </c>
      <c r="H2102" s="10">
        <f t="shared" si="98"/>
        <v>1.9635</v>
      </c>
    </row>
    <row r="2103" spans="1:8" x14ac:dyDescent="0.2">
      <c r="A2103" s="1">
        <v>109</v>
      </c>
      <c r="B2103" s="1" t="str">
        <v>2020-08-14</v>
      </c>
      <c r="C2103" s="1">
        <v>1.7706999999999999</v>
      </c>
      <c r="F2103" s="8">
        <f t="shared" si="96"/>
        <v>109</v>
      </c>
      <c r="G2103" s="9">
        <f t="shared" si="97"/>
        <v>44057</v>
      </c>
      <c r="H2103" s="10">
        <f t="shared" si="98"/>
        <v>1.7706999999999999</v>
      </c>
    </row>
    <row r="2104" spans="1:8" x14ac:dyDescent="0.2">
      <c r="A2104" s="1">
        <v>32</v>
      </c>
      <c r="B2104" s="1" t="str">
        <v>2020-08-14</v>
      </c>
      <c r="C2104" s="1">
        <v>1.6894</v>
      </c>
      <c r="F2104" s="8">
        <f t="shared" si="96"/>
        <v>32</v>
      </c>
      <c r="G2104" s="9">
        <f t="shared" si="97"/>
        <v>44057</v>
      </c>
      <c r="H2104" s="10">
        <f t="shared" si="98"/>
        <v>1.6894</v>
      </c>
    </row>
    <row r="2105" spans="1:8" x14ac:dyDescent="0.2">
      <c r="A2105" s="1">
        <v>133</v>
      </c>
      <c r="B2105" s="1" t="str">
        <v>2020-08-14</v>
      </c>
      <c r="C2105" s="1">
        <v>1.6083000000000001</v>
      </c>
      <c r="F2105" s="8">
        <f t="shared" si="96"/>
        <v>133</v>
      </c>
      <c r="G2105" s="9">
        <f t="shared" si="97"/>
        <v>44057</v>
      </c>
      <c r="H2105" s="10">
        <f t="shared" si="98"/>
        <v>1.6083000000000001</v>
      </c>
    </row>
    <row r="2106" spans="1:8" x14ac:dyDescent="0.2">
      <c r="A2106" s="1">
        <v>32724</v>
      </c>
      <c r="B2106" s="1" t="str">
        <v>2020-08-14</v>
      </c>
      <c r="C2106" s="1">
        <v>1.6796</v>
      </c>
      <c r="F2106" s="8">
        <f t="shared" si="96"/>
        <v>32724</v>
      </c>
      <c r="G2106" s="9">
        <f t="shared" si="97"/>
        <v>44057</v>
      </c>
      <c r="H2106" s="10">
        <f t="shared" si="98"/>
        <v>1.6796</v>
      </c>
    </row>
    <row r="2107" spans="1:8" x14ac:dyDescent="0.2">
      <c r="A2107" s="1">
        <v>32200</v>
      </c>
      <c r="B2107" s="1" t="str">
        <v>2020-08-14</v>
      </c>
      <c r="C2107" s="1">
        <v>1.3043</v>
      </c>
      <c r="F2107" s="8">
        <f t="shared" si="96"/>
        <v>32200</v>
      </c>
      <c r="G2107" s="9">
        <f t="shared" si="97"/>
        <v>44057</v>
      </c>
      <c r="H2107" s="10">
        <f t="shared" si="98"/>
        <v>1.3043</v>
      </c>
    </row>
    <row r="2108" spans="1:8" x14ac:dyDescent="0.2">
      <c r="A2108" s="1">
        <v>147</v>
      </c>
      <c r="B2108" s="1" t="str">
        <v>2020-08-14</v>
      </c>
      <c r="C2108" s="1">
        <v>1.0623</v>
      </c>
      <c r="F2108" s="8">
        <f t="shared" si="96"/>
        <v>147</v>
      </c>
      <c r="G2108" s="9">
        <f t="shared" si="97"/>
        <v>44057</v>
      </c>
      <c r="H2108" s="10">
        <f t="shared" si="98"/>
        <v>1.0623</v>
      </c>
    </row>
    <row r="2109" spans="1:8" x14ac:dyDescent="0.2">
      <c r="A2109" s="1">
        <v>30400</v>
      </c>
      <c r="B2109" s="1" t="str">
        <v>2020-08-14</v>
      </c>
      <c r="C2109" s="1">
        <v>1.6187</v>
      </c>
      <c r="F2109" s="8">
        <f t="shared" si="96"/>
        <v>30400</v>
      </c>
      <c r="G2109" s="9">
        <f t="shared" si="97"/>
        <v>44057</v>
      </c>
      <c r="H2109" s="10">
        <f t="shared" si="98"/>
        <v>1.6187</v>
      </c>
    </row>
    <row r="2110" spans="1:8" x14ac:dyDescent="0.2">
      <c r="A2110" s="1">
        <v>32340</v>
      </c>
      <c r="B2110" s="1" t="str">
        <v>2020-08-14</v>
      </c>
      <c r="C2110" s="1">
        <v>1.5476000000000001</v>
      </c>
      <c r="F2110" s="8">
        <f t="shared" si="96"/>
        <v>32340</v>
      </c>
      <c r="G2110" s="9">
        <f t="shared" si="97"/>
        <v>44057</v>
      </c>
      <c r="H2110" s="10">
        <f t="shared" si="98"/>
        <v>1.5476000000000001</v>
      </c>
    </row>
    <row r="2111" spans="1:8" x14ac:dyDescent="0.2">
      <c r="A2111" s="1">
        <v>32401</v>
      </c>
      <c r="B2111" s="1" t="str">
        <v>2020-08-14</v>
      </c>
      <c r="C2111" s="1">
        <v>1.6083000000000001</v>
      </c>
      <c r="F2111" s="8">
        <f t="shared" si="96"/>
        <v>32401</v>
      </c>
      <c r="G2111" s="9">
        <f t="shared" si="97"/>
        <v>44057</v>
      </c>
      <c r="H2111" s="10">
        <f t="shared" si="98"/>
        <v>1.6083000000000001</v>
      </c>
    </row>
    <row r="2112" spans="1:8" x14ac:dyDescent="0.2">
      <c r="A2112" s="1">
        <v>33129</v>
      </c>
      <c r="B2112" s="1" t="str">
        <v>2020-08-14</v>
      </c>
      <c r="C2112" s="1">
        <v>1.8008999999999999</v>
      </c>
      <c r="F2112" s="8">
        <f t="shared" si="96"/>
        <v>33129</v>
      </c>
      <c r="G2112" s="9">
        <f t="shared" si="97"/>
        <v>44057</v>
      </c>
      <c r="H2112" s="10">
        <f t="shared" si="98"/>
        <v>1.8008999999999999</v>
      </c>
    </row>
    <row r="2113" spans="1:8" x14ac:dyDescent="0.2">
      <c r="A2113" s="1">
        <v>33083</v>
      </c>
      <c r="B2113" s="1" t="str">
        <v>2020-08-14</v>
      </c>
      <c r="C2113" s="1">
        <v>1.7524</v>
      </c>
      <c r="F2113" s="8">
        <f t="shared" si="96"/>
        <v>33083</v>
      </c>
      <c r="G2113" s="9">
        <f t="shared" si="97"/>
        <v>44057</v>
      </c>
      <c r="H2113" s="10">
        <f t="shared" si="98"/>
        <v>1.7524</v>
      </c>
    </row>
    <row r="2114" spans="1:8" x14ac:dyDescent="0.2">
      <c r="A2114" s="1">
        <v>32501</v>
      </c>
      <c r="B2114" s="1" t="str">
        <v>2020-08-14</v>
      </c>
      <c r="C2114" s="1">
        <v>2.0552000000000001</v>
      </c>
      <c r="F2114" s="8">
        <f t="shared" si="96"/>
        <v>32501</v>
      </c>
      <c r="G2114" s="9">
        <f t="shared" si="97"/>
        <v>44057</v>
      </c>
      <c r="H2114" s="10">
        <f t="shared" si="98"/>
        <v>2.0552000000000001</v>
      </c>
    </row>
    <row r="2115" spans="1:8" x14ac:dyDescent="0.2">
      <c r="A2115" s="1">
        <v>16</v>
      </c>
      <c r="B2115" s="1" t="str">
        <v>2020-08-14</v>
      </c>
      <c r="C2115" s="1">
        <v>1.4259999999999999</v>
      </c>
      <c r="F2115" s="8">
        <f t="shared" si="96"/>
        <v>16</v>
      </c>
      <c r="G2115" s="9">
        <f t="shared" si="97"/>
        <v>44057</v>
      </c>
      <c r="H2115" s="10">
        <f t="shared" si="98"/>
        <v>1.4259999999999999</v>
      </c>
    </row>
    <row r="2116" spans="1:8" x14ac:dyDescent="0.2">
      <c r="A2116" s="1">
        <v>32963</v>
      </c>
      <c r="B2116" s="1" t="str">
        <v>2020-08-14</v>
      </c>
      <c r="C2116" s="1">
        <v>1.5477000000000001</v>
      </c>
      <c r="F2116" s="8">
        <f t="shared" si="96"/>
        <v>32963</v>
      </c>
      <c r="G2116" s="9">
        <f t="shared" si="97"/>
        <v>44057</v>
      </c>
      <c r="H2116" s="10">
        <f t="shared" si="98"/>
        <v>1.5477000000000001</v>
      </c>
    </row>
    <row r="2117" spans="1:8" x14ac:dyDescent="0.2">
      <c r="A2117" s="1">
        <v>10</v>
      </c>
      <c r="B2117" s="1" t="str">
        <v>2020-08-14</v>
      </c>
      <c r="C2117" s="1">
        <v>1.6289</v>
      </c>
      <c r="F2117" s="8">
        <f t="shared" si="96"/>
        <v>10</v>
      </c>
      <c r="G2117" s="9">
        <f t="shared" si="97"/>
        <v>44057</v>
      </c>
      <c r="H2117" s="10">
        <f t="shared" si="98"/>
        <v>1.6289</v>
      </c>
    </row>
    <row r="2118" spans="1:8" x14ac:dyDescent="0.2">
      <c r="A2118" s="1">
        <v>32180</v>
      </c>
      <c r="B2118" s="1" t="str">
        <v>2020-08-14</v>
      </c>
      <c r="C2118" s="1">
        <v>1.5132000000000001</v>
      </c>
      <c r="F2118" s="8">
        <f t="shared" si="96"/>
        <v>32180</v>
      </c>
      <c r="G2118" s="9">
        <f t="shared" si="97"/>
        <v>44057</v>
      </c>
      <c r="H2118" s="10">
        <f t="shared" si="98"/>
        <v>1.5132000000000001</v>
      </c>
    </row>
    <row r="2119" spans="1:8" x14ac:dyDescent="0.2">
      <c r="A2119" s="1">
        <v>161</v>
      </c>
      <c r="B2119" s="1" t="str">
        <v>2020-08-14</v>
      </c>
      <c r="C2119" s="1">
        <v>1.6386000000000001</v>
      </c>
      <c r="F2119" s="8">
        <f t="shared" si="96"/>
        <v>161</v>
      </c>
      <c r="G2119" s="9">
        <f t="shared" si="97"/>
        <v>44057</v>
      </c>
      <c r="H2119" s="10">
        <f t="shared" si="98"/>
        <v>1.6386000000000001</v>
      </c>
    </row>
    <row r="2120" spans="1:8" x14ac:dyDescent="0.2">
      <c r="A2120" s="1">
        <v>33183</v>
      </c>
      <c r="B2120" s="1" t="str">
        <v>2020-08-14</v>
      </c>
      <c r="C2120" s="1">
        <v>1.7404999999999999</v>
      </c>
      <c r="F2120" s="8">
        <f t="shared" si="96"/>
        <v>33183</v>
      </c>
      <c r="G2120" s="9">
        <f t="shared" si="97"/>
        <v>44057</v>
      </c>
      <c r="H2120" s="10">
        <f t="shared" si="98"/>
        <v>1.7404999999999999</v>
      </c>
    </row>
    <row r="2121" spans="1:8" x14ac:dyDescent="0.2">
      <c r="A2121" s="1">
        <v>32260</v>
      </c>
      <c r="B2121" s="1" t="str">
        <v>2020-08-14</v>
      </c>
      <c r="C2121" s="1">
        <v>1.5982000000000001</v>
      </c>
      <c r="F2121" s="8">
        <f t="shared" ref="F2121:F2184" si="99">A2121</f>
        <v>32260</v>
      </c>
      <c r="G2121" s="9">
        <f t="shared" ref="G2121:G2184" si="100">DATE(LEFT(B2121,4),MID(B2121,6,2),RIGHT(B2121,2))</f>
        <v>44057</v>
      </c>
      <c r="H2121" s="10">
        <f t="shared" ref="H2121:H2184" si="101">C2121</f>
        <v>1.5982000000000001</v>
      </c>
    </row>
    <row r="2122" spans="1:8" x14ac:dyDescent="0.2">
      <c r="A2122" s="1">
        <v>182</v>
      </c>
      <c r="B2122" s="1" t="str">
        <v>2020-08-14</v>
      </c>
      <c r="C2122" s="1">
        <v>2.1366999999999998</v>
      </c>
      <c r="F2122" s="8">
        <f t="shared" si="99"/>
        <v>182</v>
      </c>
      <c r="G2122" s="9">
        <f t="shared" si="100"/>
        <v>44057</v>
      </c>
      <c r="H2122" s="10">
        <f t="shared" si="101"/>
        <v>2.1366999999999998</v>
      </c>
    </row>
    <row r="2123" spans="1:8" x14ac:dyDescent="0.2">
      <c r="A2123" s="1">
        <v>32663</v>
      </c>
      <c r="B2123" s="1" t="str">
        <v>2020-08-14</v>
      </c>
      <c r="C2123" s="1">
        <v>1.7199</v>
      </c>
      <c r="F2123" s="8">
        <f t="shared" si="99"/>
        <v>32663</v>
      </c>
      <c r="G2123" s="9">
        <f t="shared" si="100"/>
        <v>44057</v>
      </c>
      <c r="H2123" s="10">
        <f t="shared" si="101"/>
        <v>1.7199</v>
      </c>
    </row>
    <row r="2124" spans="1:8" x14ac:dyDescent="0.2">
      <c r="A2124" s="1">
        <v>32420</v>
      </c>
      <c r="B2124" s="1" t="str">
        <v>2020-08-14</v>
      </c>
      <c r="C2124" s="1">
        <v>1.6766000000000001</v>
      </c>
      <c r="F2124" s="8">
        <f t="shared" si="99"/>
        <v>32420</v>
      </c>
      <c r="G2124" s="9">
        <f t="shared" si="100"/>
        <v>44057</v>
      </c>
      <c r="H2124" s="10">
        <f t="shared" si="101"/>
        <v>1.6766000000000001</v>
      </c>
    </row>
    <row r="2125" spans="1:8" x14ac:dyDescent="0.2">
      <c r="A2125" s="1">
        <v>2250</v>
      </c>
      <c r="B2125" s="1" t="str">
        <v>2020-08-14</v>
      </c>
      <c r="C2125" s="1">
        <v>1.5069999999999999</v>
      </c>
      <c r="F2125" s="8">
        <f t="shared" si="99"/>
        <v>2250</v>
      </c>
      <c r="G2125" s="9">
        <f t="shared" si="100"/>
        <v>44057</v>
      </c>
      <c r="H2125" s="10">
        <f t="shared" si="101"/>
        <v>1.5069999999999999</v>
      </c>
    </row>
    <row r="2126" spans="1:8" x14ac:dyDescent="0.2">
      <c r="A2126" s="1">
        <v>136</v>
      </c>
      <c r="B2126" s="1" t="str">
        <v>2020-08-17</v>
      </c>
      <c r="C2126" s="1">
        <v>1.7401</v>
      </c>
      <c r="F2126" s="8">
        <f t="shared" si="99"/>
        <v>136</v>
      </c>
      <c r="G2126" s="9">
        <f t="shared" si="100"/>
        <v>44060</v>
      </c>
      <c r="H2126" s="10">
        <f t="shared" si="101"/>
        <v>1.7401</v>
      </c>
    </row>
    <row r="2127" spans="1:8" x14ac:dyDescent="0.2">
      <c r="A2127" s="1">
        <v>32200</v>
      </c>
      <c r="B2127" s="1" t="str">
        <v>2020-08-17</v>
      </c>
      <c r="C2127" s="1">
        <v>1.3043</v>
      </c>
      <c r="F2127" s="8">
        <f t="shared" si="99"/>
        <v>32200</v>
      </c>
      <c r="G2127" s="9">
        <f t="shared" si="100"/>
        <v>44060</v>
      </c>
      <c r="H2127" s="10">
        <f t="shared" si="101"/>
        <v>1.3043</v>
      </c>
    </row>
    <row r="2128" spans="1:8" x14ac:dyDescent="0.2">
      <c r="A2128" s="1">
        <v>157</v>
      </c>
      <c r="B2128" s="1" t="str">
        <v>2020-08-17</v>
      </c>
      <c r="C2128" s="1">
        <v>1.7</v>
      </c>
      <c r="F2128" s="8">
        <f t="shared" si="99"/>
        <v>157</v>
      </c>
      <c r="G2128" s="9">
        <f t="shared" si="100"/>
        <v>44060</v>
      </c>
      <c r="H2128" s="10">
        <f t="shared" si="101"/>
        <v>1.7</v>
      </c>
    </row>
    <row r="2129" spans="1:8" x14ac:dyDescent="0.2">
      <c r="A2129" s="1">
        <v>32260</v>
      </c>
      <c r="B2129" s="1" t="str">
        <v>2020-08-17</v>
      </c>
      <c r="C2129" s="1">
        <v>1.6287</v>
      </c>
      <c r="F2129" s="8">
        <f t="shared" si="99"/>
        <v>32260</v>
      </c>
      <c r="G2129" s="9">
        <f t="shared" si="100"/>
        <v>44060</v>
      </c>
      <c r="H2129" s="10">
        <f t="shared" si="101"/>
        <v>1.6287</v>
      </c>
    </row>
    <row r="2130" spans="1:8" x14ac:dyDescent="0.2">
      <c r="A2130" s="1">
        <v>33143</v>
      </c>
      <c r="B2130" s="1" t="str">
        <v>2020-08-17</v>
      </c>
      <c r="C2130" s="1">
        <v>1.8</v>
      </c>
      <c r="F2130" s="8">
        <f t="shared" si="99"/>
        <v>33143</v>
      </c>
      <c r="G2130" s="9">
        <f t="shared" si="100"/>
        <v>44060</v>
      </c>
      <c r="H2130" s="10">
        <f t="shared" si="101"/>
        <v>1.8</v>
      </c>
    </row>
    <row r="2131" spans="1:8" x14ac:dyDescent="0.2">
      <c r="A2131" s="1">
        <v>32421</v>
      </c>
      <c r="B2131" s="1" t="str">
        <v>2020-08-17</v>
      </c>
      <c r="C2131" s="1">
        <v>1.7645999999999999</v>
      </c>
      <c r="F2131" s="8">
        <f t="shared" si="99"/>
        <v>32421</v>
      </c>
      <c r="G2131" s="9">
        <f t="shared" si="100"/>
        <v>44060</v>
      </c>
      <c r="H2131" s="10">
        <f t="shared" si="101"/>
        <v>1.7645999999999999</v>
      </c>
    </row>
    <row r="2132" spans="1:8" x14ac:dyDescent="0.2">
      <c r="A2132" s="1">
        <v>34</v>
      </c>
      <c r="B2132" s="1" t="str">
        <v>2020-08-17</v>
      </c>
      <c r="C2132" s="1">
        <v>1.6894</v>
      </c>
      <c r="F2132" s="8">
        <f t="shared" si="99"/>
        <v>34</v>
      </c>
      <c r="G2132" s="9">
        <f t="shared" si="100"/>
        <v>44060</v>
      </c>
      <c r="H2132" s="10">
        <f t="shared" si="101"/>
        <v>1.6894</v>
      </c>
    </row>
    <row r="2133" spans="1:8" x14ac:dyDescent="0.2">
      <c r="A2133" s="1">
        <v>8</v>
      </c>
      <c r="B2133" s="1" t="str">
        <v>2020-08-17</v>
      </c>
      <c r="C2133" s="1">
        <v>2.1467999999999998</v>
      </c>
      <c r="F2133" s="8">
        <f t="shared" si="99"/>
        <v>8</v>
      </c>
      <c r="G2133" s="9">
        <f t="shared" si="100"/>
        <v>44060</v>
      </c>
      <c r="H2133" s="10">
        <f t="shared" si="101"/>
        <v>2.1467999999999998</v>
      </c>
    </row>
    <row r="2134" spans="1:8" x14ac:dyDescent="0.2">
      <c r="A2134" s="1">
        <v>178</v>
      </c>
      <c r="B2134" s="1" t="str">
        <v>2020-08-17</v>
      </c>
      <c r="C2134" s="1">
        <v>1.9857</v>
      </c>
      <c r="F2134" s="8">
        <f t="shared" si="99"/>
        <v>178</v>
      </c>
      <c r="G2134" s="9">
        <f t="shared" si="100"/>
        <v>44060</v>
      </c>
      <c r="H2134" s="10">
        <f t="shared" si="101"/>
        <v>1.9857</v>
      </c>
    </row>
    <row r="2135" spans="1:8" x14ac:dyDescent="0.2">
      <c r="A2135" s="1">
        <v>153</v>
      </c>
      <c r="B2135" s="1" t="str">
        <v>2020-08-17</v>
      </c>
      <c r="C2135" s="1">
        <v>1.7707999999999999</v>
      </c>
      <c r="F2135" s="8">
        <f t="shared" si="99"/>
        <v>153</v>
      </c>
      <c r="G2135" s="9">
        <f t="shared" si="100"/>
        <v>44060</v>
      </c>
      <c r="H2135" s="10">
        <f t="shared" si="101"/>
        <v>1.7707999999999999</v>
      </c>
    </row>
    <row r="2136" spans="1:8" x14ac:dyDescent="0.2">
      <c r="A2136" s="1">
        <v>32380</v>
      </c>
      <c r="B2136" s="1" t="str">
        <v>2020-08-17</v>
      </c>
      <c r="C2136" s="1">
        <v>2.2690000000000001</v>
      </c>
      <c r="F2136" s="8">
        <f t="shared" si="99"/>
        <v>32380</v>
      </c>
      <c r="G2136" s="9">
        <f t="shared" si="100"/>
        <v>44060</v>
      </c>
      <c r="H2136" s="10">
        <f t="shared" si="101"/>
        <v>2.2690000000000001</v>
      </c>
    </row>
    <row r="2137" spans="1:8" x14ac:dyDescent="0.2">
      <c r="A2137" s="1">
        <v>32040</v>
      </c>
      <c r="B2137" s="1" t="str">
        <v>2020-08-18</v>
      </c>
      <c r="C2137" s="1">
        <v>1.8105</v>
      </c>
      <c r="F2137" s="8">
        <f t="shared" si="99"/>
        <v>32040</v>
      </c>
      <c r="G2137" s="9">
        <f t="shared" si="100"/>
        <v>44061</v>
      </c>
      <c r="H2137" s="10">
        <f t="shared" si="101"/>
        <v>1.8105</v>
      </c>
    </row>
    <row r="2138" spans="1:8" x14ac:dyDescent="0.2">
      <c r="A2138" s="1">
        <v>33203</v>
      </c>
      <c r="B2138" s="1" t="str">
        <v>2020-08-18</v>
      </c>
      <c r="C2138" s="1">
        <v>1.6338999999999999</v>
      </c>
      <c r="F2138" s="8">
        <f t="shared" si="99"/>
        <v>33203</v>
      </c>
      <c r="G2138" s="9">
        <f t="shared" si="100"/>
        <v>44061</v>
      </c>
      <c r="H2138" s="10">
        <f t="shared" si="101"/>
        <v>1.6338999999999999</v>
      </c>
    </row>
    <row r="2139" spans="1:8" x14ac:dyDescent="0.2">
      <c r="A2139" s="1">
        <v>101</v>
      </c>
      <c r="B2139" s="1" t="str">
        <v>2020-08-18</v>
      </c>
      <c r="C2139" s="1">
        <v>1.7302</v>
      </c>
      <c r="F2139" s="8">
        <f t="shared" si="99"/>
        <v>101</v>
      </c>
      <c r="G2139" s="9">
        <f t="shared" si="100"/>
        <v>44061</v>
      </c>
      <c r="H2139" s="10">
        <f t="shared" si="101"/>
        <v>1.7302</v>
      </c>
    </row>
    <row r="2140" spans="1:8" x14ac:dyDescent="0.2">
      <c r="A2140" s="1">
        <v>34</v>
      </c>
      <c r="B2140" s="1" t="str">
        <v>2020-08-18</v>
      </c>
      <c r="C2140" s="1">
        <v>1.6894</v>
      </c>
      <c r="F2140" s="8">
        <f t="shared" si="99"/>
        <v>34</v>
      </c>
      <c r="G2140" s="9">
        <f t="shared" si="100"/>
        <v>44061</v>
      </c>
      <c r="H2140" s="10">
        <f t="shared" si="101"/>
        <v>1.6894</v>
      </c>
    </row>
    <row r="2141" spans="1:8" x14ac:dyDescent="0.2">
      <c r="A2141" s="1">
        <v>178</v>
      </c>
      <c r="B2141" s="1" t="str">
        <v>2020-08-18</v>
      </c>
      <c r="C2141" s="1">
        <v>1.9857</v>
      </c>
      <c r="F2141" s="8">
        <f t="shared" si="99"/>
        <v>178</v>
      </c>
      <c r="G2141" s="9">
        <f t="shared" si="100"/>
        <v>44061</v>
      </c>
      <c r="H2141" s="10">
        <f t="shared" si="101"/>
        <v>1.9857</v>
      </c>
    </row>
    <row r="2142" spans="1:8" x14ac:dyDescent="0.2">
      <c r="A2142" s="1">
        <v>181</v>
      </c>
      <c r="B2142" s="1" t="str">
        <v>2020-08-18</v>
      </c>
      <c r="C2142" s="1">
        <v>1.9941</v>
      </c>
      <c r="F2142" s="8">
        <f t="shared" si="99"/>
        <v>181</v>
      </c>
      <c r="G2142" s="9">
        <f t="shared" si="100"/>
        <v>44061</v>
      </c>
      <c r="H2142" s="10">
        <f t="shared" si="101"/>
        <v>1.9941</v>
      </c>
    </row>
    <row r="2143" spans="1:8" x14ac:dyDescent="0.2">
      <c r="A2143" s="1">
        <v>28</v>
      </c>
      <c r="B2143" s="1" t="str">
        <v>2020-08-18</v>
      </c>
      <c r="C2143" s="1">
        <v>1.5273000000000001</v>
      </c>
      <c r="F2143" s="8">
        <f t="shared" si="99"/>
        <v>28</v>
      </c>
      <c r="G2143" s="9">
        <f t="shared" si="100"/>
        <v>44061</v>
      </c>
      <c r="H2143" s="10">
        <f t="shared" si="101"/>
        <v>1.5273000000000001</v>
      </c>
    </row>
    <row r="2144" spans="1:8" x14ac:dyDescent="0.2">
      <c r="A2144" s="1">
        <v>187</v>
      </c>
      <c r="B2144" s="1" t="str">
        <v>2020-08-18</v>
      </c>
      <c r="C2144" s="1">
        <v>1.6289</v>
      </c>
      <c r="F2144" s="8">
        <f t="shared" si="99"/>
        <v>187</v>
      </c>
      <c r="G2144" s="9">
        <f t="shared" si="100"/>
        <v>44061</v>
      </c>
      <c r="H2144" s="10">
        <f t="shared" si="101"/>
        <v>1.6289</v>
      </c>
    </row>
    <row r="2145" spans="1:8" x14ac:dyDescent="0.2">
      <c r="A2145" s="1">
        <v>33125</v>
      </c>
      <c r="B2145" s="1" t="str">
        <v>2020-08-18</v>
      </c>
      <c r="C2145" s="1">
        <v>1.6998</v>
      </c>
      <c r="F2145" s="8">
        <f t="shared" si="99"/>
        <v>33125</v>
      </c>
      <c r="G2145" s="9">
        <f t="shared" si="100"/>
        <v>44061</v>
      </c>
      <c r="H2145" s="10">
        <f t="shared" si="101"/>
        <v>1.6998</v>
      </c>
    </row>
    <row r="2146" spans="1:8" x14ac:dyDescent="0.2">
      <c r="A2146" s="1">
        <v>1</v>
      </c>
      <c r="B2146" s="1" t="str">
        <v>2020-08-18</v>
      </c>
      <c r="C2146" s="1">
        <v>1.5578000000000001</v>
      </c>
      <c r="F2146" s="8">
        <f t="shared" si="99"/>
        <v>1</v>
      </c>
      <c r="G2146" s="9">
        <f t="shared" si="100"/>
        <v>44061</v>
      </c>
      <c r="H2146" s="10">
        <f t="shared" si="101"/>
        <v>1.5578000000000001</v>
      </c>
    </row>
    <row r="2147" spans="1:8" x14ac:dyDescent="0.2">
      <c r="A2147" s="1">
        <v>32040</v>
      </c>
      <c r="B2147" s="1" t="str">
        <v>2020-08-19</v>
      </c>
      <c r="C2147" s="1">
        <v>1.9807999999999999</v>
      </c>
      <c r="F2147" s="8">
        <f t="shared" si="99"/>
        <v>32040</v>
      </c>
      <c r="G2147" s="9">
        <f t="shared" si="100"/>
        <v>44062</v>
      </c>
      <c r="H2147" s="10">
        <f t="shared" si="101"/>
        <v>1.9807999999999999</v>
      </c>
    </row>
    <row r="2148" spans="1:8" x14ac:dyDescent="0.2">
      <c r="A2148" s="1">
        <v>32963</v>
      </c>
      <c r="B2148" s="1" t="str">
        <v>2020-08-19</v>
      </c>
      <c r="C2148" s="1">
        <v>1.5679000000000001</v>
      </c>
      <c r="F2148" s="8">
        <f t="shared" si="99"/>
        <v>32963</v>
      </c>
      <c r="G2148" s="9">
        <f t="shared" si="100"/>
        <v>44062</v>
      </c>
      <c r="H2148" s="10">
        <f t="shared" si="101"/>
        <v>1.5679000000000001</v>
      </c>
    </row>
    <row r="2149" spans="1:8" x14ac:dyDescent="0.2">
      <c r="A2149" s="1">
        <v>37</v>
      </c>
      <c r="B2149" s="1" t="str">
        <v>2020-08-20</v>
      </c>
      <c r="C2149" s="1">
        <v>1.9530000000000001</v>
      </c>
      <c r="F2149" s="8">
        <f t="shared" si="99"/>
        <v>37</v>
      </c>
      <c r="G2149" s="9">
        <f t="shared" si="100"/>
        <v>44063</v>
      </c>
      <c r="H2149" s="10">
        <f t="shared" si="101"/>
        <v>1.9530000000000001</v>
      </c>
    </row>
    <row r="2150" spans="1:8" x14ac:dyDescent="0.2">
      <c r="A2150" s="1">
        <v>32400</v>
      </c>
      <c r="B2150" s="1" t="str">
        <v>2020-08-20</v>
      </c>
      <c r="C2150" s="1">
        <v>1.8113999999999999</v>
      </c>
      <c r="F2150" s="8">
        <f t="shared" si="99"/>
        <v>32400</v>
      </c>
      <c r="G2150" s="9">
        <f t="shared" si="100"/>
        <v>44063</v>
      </c>
      <c r="H2150" s="10">
        <f t="shared" si="101"/>
        <v>1.8113999999999999</v>
      </c>
    </row>
    <row r="2151" spans="1:8" x14ac:dyDescent="0.2">
      <c r="A2151" s="1">
        <v>33043</v>
      </c>
      <c r="B2151" s="1" t="str">
        <v>2020-08-20</v>
      </c>
      <c r="C2151" s="1">
        <v>1.8314999999999999</v>
      </c>
      <c r="F2151" s="8">
        <f t="shared" si="99"/>
        <v>33043</v>
      </c>
      <c r="G2151" s="9">
        <f t="shared" si="100"/>
        <v>44063</v>
      </c>
      <c r="H2151" s="10">
        <f t="shared" si="101"/>
        <v>1.8314999999999999</v>
      </c>
    </row>
    <row r="2152" spans="1:8" x14ac:dyDescent="0.2">
      <c r="A2152" s="1">
        <v>33125</v>
      </c>
      <c r="B2152" s="1" t="str">
        <v>2020-08-20</v>
      </c>
      <c r="C2152" s="1">
        <v>1.8826000000000001</v>
      </c>
      <c r="F2152" s="8">
        <f t="shared" si="99"/>
        <v>33125</v>
      </c>
      <c r="G2152" s="9">
        <f t="shared" si="100"/>
        <v>44063</v>
      </c>
      <c r="H2152" s="10">
        <f t="shared" si="101"/>
        <v>1.8826000000000001</v>
      </c>
    </row>
    <row r="2153" spans="1:8" x14ac:dyDescent="0.2">
      <c r="A2153" s="1">
        <v>115</v>
      </c>
      <c r="B2153" s="1" t="str">
        <v>2020-08-20</v>
      </c>
      <c r="C2153" s="1">
        <v>2.0045999999999999</v>
      </c>
      <c r="F2153" s="8">
        <f t="shared" si="99"/>
        <v>115</v>
      </c>
      <c r="G2153" s="9">
        <f t="shared" si="100"/>
        <v>44063</v>
      </c>
      <c r="H2153" s="10">
        <f t="shared" si="101"/>
        <v>2.0045999999999999</v>
      </c>
    </row>
    <row r="2154" spans="1:8" x14ac:dyDescent="0.2">
      <c r="A2154" s="1">
        <v>139</v>
      </c>
      <c r="B2154" s="1" t="str">
        <v>2020-08-20</v>
      </c>
      <c r="C2154" s="1">
        <v>1.9739</v>
      </c>
      <c r="F2154" s="8">
        <f t="shared" si="99"/>
        <v>139</v>
      </c>
      <c r="G2154" s="9">
        <f t="shared" si="100"/>
        <v>44063</v>
      </c>
      <c r="H2154" s="10">
        <f t="shared" si="101"/>
        <v>1.9739</v>
      </c>
    </row>
    <row r="2155" spans="1:8" x14ac:dyDescent="0.2">
      <c r="A2155" s="1">
        <v>137</v>
      </c>
      <c r="B2155" s="1" t="str">
        <v>2020-08-20</v>
      </c>
      <c r="C2155" s="1">
        <v>1.9738</v>
      </c>
      <c r="F2155" s="8">
        <f t="shared" si="99"/>
        <v>137</v>
      </c>
      <c r="G2155" s="9">
        <f t="shared" si="100"/>
        <v>44063</v>
      </c>
      <c r="H2155" s="10">
        <f t="shared" si="101"/>
        <v>1.9738</v>
      </c>
    </row>
    <row r="2156" spans="1:8" x14ac:dyDescent="0.2">
      <c r="A2156" s="1">
        <v>33130</v>
      </c>
      <c r="B2156" s="1" t="str">
        <v>2020-08-21</v>
      </c>
      <c r="C2156" s="1">
        <v>2.0045999999999999</v>
      </c>
      <c r="F2156" s="8">
        <f t="shared" si="99"/>
        <v>33130</v>
      </c>
      <c r="G2156" s="9">
        <f t="shared" si="100"/>
        <v>44064</v>
      </c>
      <c r="H2156" s="10">
        <f t="shared" si="101"/>
        <v>2.0045999999999999</v>
      </c>
    </row>
    <row r="2157" spans="1:8" x14ac:dyDescent="0.2">
      <c r="A2157" s="1">
        <v>150</v>
      </c>
      <c r="B2157" s="1" t="str">
        <v>2020-08-21</v>
      </c>
      <c r="C2157" s="1">
        <v>1.9479</v>
      </c>
      <c r="F2157" s="8">
        <f t="shared" si="99"/>
        <v>150</v>
      </c>
      <c r="G2157" s="9">
        <f t="shared" si="100"/>
        <v>44064</v>
      </c>
      <c r="H2157" s="10">
        <f t="shared" si="101"/>
        <v>1.9479</v>
      </c>
    </row>
    <row r="2158" spans="1:8" x14ac:dyDescent="0.2">
      <c r="A2158" s="1">
        <v>37</v>
      </c>
      <c r="B2158" s="1" t="str">
        <v>2020-08-21</v>
      </c>
      <c r="C2158" s="1">
        <v>1.9530000000000001</v>
      </c>
      <c r="F2158" s="8">
        <f t="shared" si="99"/>
        <v>37</v>
      </c>
      <c r="G2158" s="9">
        <f t="shared" si="100"/>
        <v>44064</v>
      </c>
      <c r="H2158" s="10">
        <f t="shared" si="101"/>
        <v>1.9530000000000001</v>
      </c>
    </row>
    <row r="2159" spans="1:8" x14ac:dyDescent="0.2">
      <c r="A2159" s="1">
        <v>24</v>
      </c>
      <c r="B2159" s="1" t="str">
        <v>2020-08-21</v>
      </c>
      <c r="C2159" s="1">
        <v>1.7808999999999999</v>
      </c>
      <c r="F2159" s="8">
        <f t="shared" si="99"/>
        <v>24</v>
      </c>
      <c r="G2159" s="9">
        <f t="shared" si="100"/>
        <v>44064</v>
      </c>
      <c r="H2159" s="10">
        <f t="shared" si="101"/>
        <v>1.7808999999999999</v>
      </c>
    </row>
    <row r="2160" spans="1:8" x14ac:dyDescent="0.2">
      <c r="A2160" s="1">
        <v>32420</v>
      </c>
      <c r="B2160" s="1" t="str">
        <v>2020-08-21</v>
      </c>
      <c r="C2160" s="1">
        <v>1.6766000000000001</v>
      </c>
      <c r="F2160" s="8">
        <f t="shared" si="99"/>
        <v>32420</v>
      </c>
      <c r="G2160" s="9">
        <f t="shared" si="100"/>
        <v>44064</v>
      </c>
      <c r="H2160" s="10">
        <f t="shared" si="101"/>
        <v>1.6766000000000001</v>
      </c>
    </row>
    <row r="2161" spans="1:8" x14ac:dyDescent="0.2">
      <c r="A2161" s="1">
        <v>81</v>
      </c>
      <c r="B2161" s="1" t="str">
        <v>2020-08-21</v>
      </c>
      <c r="C2161" s="1">
        <v>1.9635</v>
      </c>
      <c r="F2161" s="8">
        <f t="shared" si="99"/>
        <v>81</v>
      </c>
      <c r="G2161" s="9">
        <f t="shared" si="100"/>
        <v>44064</v>
      </c>
      <c r="H2161" s="10">
        <f t="shared" si="101"/>
        <v>1.9635</v>
      </c>
    </row>
    <row r="2162" spans="1:8" x14ac:dyDescent="0.2">
      <c r="A2162" s="1">
        <v>49</v>
      </c>
      <c r="B2162" s="1" t="str">
        <v>2020-08-21</v>
      </c>
      <c r="C2162" s="1">
        <v>1.3958999999999999</v>
      </c>
      <c r="F2162" s="8">
        <f t="shared" si="99"/>
        <v>49</v>
      </c>
      <c r="G2162" s="9">
        <f t="shared" si="100"/>
        <v>44064</v>
      </c>
      <c r="H2162" s="10">
        <f t="shared" si="101"/>
        <v>1.3958999999999999</v>
      </c>
    </row>
    <row r="2163" spans="1:8" x14ac:dyDescent="0.2">
      <c r="A2163" s="1">
        <v>16</v>
      </c>
      <c r="B2163" s="1" t="str">
        <v>2020-08-21</v>
      </c>
      <c r="C2163" s="1">
        <v>1.4259999999999999</v>
      </c>
      <c r="F2163" s="8">
        <f t="shared" si="99"/>
        <v>16</v>
      </c>
      <c r="G2163" s="9">
        <f t="shared" si="100"/>
        <v>44064</v>
      </c>
      <c r="H2163" s="10">
        <f t="shared" si="101"/>
        <v>1.4259999999999999</v>
      </c>
    </row>
    <row r="2164" spans="1:8" x14ac:dyDescent="0.2">
      <c r="A2164" s="1">
        <v>55</v>
      </c>
      <c r="B2164" s="1" t="str">
        <v>2020-08-21</v>
      </c>
      <c r="C2164" s="1">
        <v>1.4564999999999999</v>
      </c>
      <c r="F2164" s="8">
        <f t="shared" si="99"/>
        <v>55</v>
      </c>
      <c r="G2164" s="9">
        <f t="shared" si="100"/>
        <v>44064</v>
      </c>
      <c r="H2164" s="10">
        <f t="shared" si="101"/>
        <v>1.4564999999999999</v>
      </c>
    </row>
    <row r="2165" spans="1:8" x14ac:dyDescent="0.2">
      <c r="A2165" s="1">
        <v>161</v>
      </c>
      <c r="B2165" s="1" t="str">
        <v>2020-08-21</v>
      </c>
      <c r="C2165" s="1">
        <v>1.9435</v>
      </c>
      <c r="F2165" s="8">
        <f t="shared" si="99"/>
        <v>161</v>
      </c>
      <c r="G2165" s="9">
        <f t="shared" si="100"/>
        <v>44064</v>
      </c>
      <c r="H2165" s="10">
        <f t="shared" si="101"/>
        <v>1.9435</v>
      </c>
    </row>
    <row r="2166" spans="1:8" x14ac:dyDescent="0.2">
      <c r="A2166" s="1">
        <v>94</v>
      </c>
      <c r="B2166" s="1" t="str">
        <v>2020-08-21</v>
      </c>
      <c r="C2166" s="1">
        <v>1.7458</v>
      </c>
      <c r="F2166" s="8">
        <f t="shared" si="99"/>
        <v>94</v>
      </c>
      <c r="G2166" s="9">
        <f t="shared" si="100"/>
        <v>44064</v>
      </c>
      <c r="H2166" s="10">
        <f t="shared" si="101"/>
        <v>1.7458</v>
      </c>
    </row>
    <row r="2167" spans="1:8" x14ac:dyDescent="0.2">
      <c r="A2167" s="1">
        <v>32</v>
      </c>
      <c r="B2167" s="1" t="str">
        <v>2020-08-21</v>
      </c>
      <c r="C2167" s="1">
        <v>1.6894</v>
      </c>
      <c r="F2167" s="8">
        <f t="shared" si="99"/>
        <v>32</v>
      </c>
      <c r="G2167" s="9">
        <f t="shared" si="100"/>
        <v>44064</v>
      </c>
      <c r="H2167" s="10">
        <f t="shared" si="101"/>
        <v>1.6894</v>
      </c>
    </row>
    <row r="2168" spans="1:8" x14ac:dyDescent="0.2">
      <c r="A2168" s="1">
        <v>78</v>
      </c>
      <c r="B2168" s="1" t="str">
        <v>2020-08-21</v>
      </c>
      <c r="C2168" s="1">
        <v>2.0044</v>
      </c>
      <c r="F2168" s="8">
        <f t="shared" si="99"/>
        <v>78</v>
      </c>
      <c r="G2168" s="9">
        <f t="shared" si="100"/>
        <v>44064</v>
      </c>
      <c r="H2168" s="10">
        <f t="shared" si="101"/>
        <v>2.0044</v>
      </c>
    </row>
    <row r="2169" spans="1:8" x14ac:dyDescent="0.2">
      <c r="A2169" s="1">
        <v>13250</v>
      </c>
      <c r="B2169" s="1" t="str">
        <v>2020-08-21</v>
      </c>
      <c r="C2169" s="1">
        <v>1.6489</v>
      </c>
      <c r="F2169" s="8">
        <f t="shared" si="99"/>
        <v>13250</v>
      </c>
      <c r="G2169" s="9">
        <f t="shared" si="100"/>
        <v>44064</v>
      </c>
      <c r="H2169" s="10">
        <f t="shared" si="101"/>
        <v>1.6489</v>
      </c>
    </row>
    <row r="2170" spans="1:8" x14ac:dyDescent="0.2">
      <c r="A2170" s="1">
        <v>139</v>
      </c>
      <c r="B2170" s="1" t="str">
        <v>2020-08-21</v>
      </c>
      <c r="C2170" s="1">
        <v>1.8824000000000001</v>
      </c>
      <c r="F2170" s="8">
        <f t="shared" si="99"/>
        <v>139</v>
      </c>
      <c r="G2170" s="9">
        <f t="shared" si="100"/>
        <v>44064</v>
      </c>
      <c r="H2170" s="10">
        <f t="shared" si="101"/>
        <v>1.8824000000000001</v>
      </c>
    </row>
    <row r="2171" spans="1:8" x14ac:dyDescent="0.2">
      <c r="A2171" s="1">
        <v>30300</v>
      </c>
      <c r="B2171" s="1" t="str">
        <v>2020-08-21</v>
      </c>
      <c r="C2171" s="1">
        <v>1.7098</v>
      </c>
      <c r="F2171" s="8">
        <f t="shared" si="99"/>
        <v>30300</v>
      </c>
      <c r="G2171" s="9">
        <f t="shared" si="100"/>
        <v>44064</v>
      </c>
      <c r="H2171" s="10">
        <f t="shared" si="101"/>
        <v>1.7098</v>
      </c>
    </row>
    <row r="2172" spans="1:8" x14ac:dyDescent="0.2">
      <c r="A2172" s="1">
        <v>32783</v>
      </c>
      <c r="B2172" s="1" t="str">
        <v>2020-08-21</v>
      </c>
      <c r="C2172" s="1">
        <v>1.9638</v>
      </c>
      <c r="F2172" s="8">
        <f t="shared" si="99"/>
        <v>32783</v>
      </c>
      <c r="G2172" s="9">
        <f t="shared" si="100"/>
        <v>44064</v>
      </c>
      <c r="H2172" s="10">
        <f t="shared" si="101"/>
        <v>1.9638</v>
      </c>
    </row>
    <row r="2173" spans="1:8" x14ac:dyDescent="0.2">
      <c r="A2173" s="1">
        <v>2250</v>
      </c>
      <c r="B2173" s="1" t="str">
        <v>2020-08-21</v>
      </c>
      <c r="C2173" s="1">
        <v>1.6288</v>
      </c>
      <c r="F2173" s="8">
        <f t="shared" si="99"/>
        <v>2250</v>
      </c>
      <c r="G2173" s="9">
        <f t="shared" si="100"/>
        <v>44064</v>
      </c>
      <c r="H2173" s="10">
        <f t="shared" si="101"/>
        <v>1.6288</v>
      </c>
    </row>
    <row r="2174" spans="1:8" x14ac:dyDescent="0.2">
      <c r="A2174" s="1">
        <v>101</v>
      </c>
      <c r="B2174" s="1" t="str">
        <v>2020-08-21</v>
      </c>
      <c r="C2174" s="1">
        <v>1.7301</v>
      </c>
      <c r="F2174" s="8">
        <f t="shared" si="99"/>
        <v>101</v>
      </c>
      <c r="G2174" s="9">
        <f t="shared" si="100"/>
        <v>44064</v>
      </c>
      <c r="H2174" s="10">
        <f t="shared" si="101"/>
        <v>1.7301</v>
      </c>
    </row>
    <row r="2175" spans="1:8" x14ac:dyDescent="0.2">
      <c r="A2175" s="1">
        <v>10</v>
      </c>
      <c r="B2175" s="1" t="str">
        <v>2020-08-21</v>
      </c>
      <c r="C2175" s="1">
        <v>1.8318000000000001</v>
      </c>
      <c r="F2175" s="8">
        <f t="shared" si="99"/>
        <v>10</v>
      </c>
      <c r="G2175" s="9">
        <f t="shared" si="100"/>
        <v>44064</v>
      </c>
      <c r="H2175" s="10">
        <f t="shared" si="101"/>
        <v>1.8318000000000001</v>
      </c>
    </row>
    <row r="2176" spans="1:8" x14ac:dyDescent="0.2">
      <c r="A2176" s="1">
        <v>187</v>
      </c>
      <c r="B2176" s="1" t="str">
        <v>2020-08-21</v>
      </c>
      <c r="C2176" s="1">
        <v>1.7708999999999999</v>
      </c>
      <c r="F2176" s="8">
        <f t="shared" si="99"/>
        <v>187</v>
      </c>
      <c r="G2176" s="9">
        <f t="shared" si="100"/>
        <v>44064</v>
      </c>
      <c r="H2176" s="10">
        <f t="shared" si="101"/>
        <v>1.7708999999999999</v>
      </c>
    </row>
    <row r="2177" spans="1:8" x14ac:dyDescent="0.2">
      <c r="A2177" s="1">
        <v>32280</v>
      </c>
      <c r="B2177" s="1" t="str">
        <v>2020-08-24</v>
      </c>
      <c r="C2177" s="1">
        <v>1.974</v>
      </c>
      <c r="F2177" s="8">
        <f t="shared" si="99"/>
        <v>32280</v>
      </c>
      <c r="G2177" s="9">
        <f t="shared" si="100"/>
        <v>44067</v>
      </c>
      <c r="H2177" s="10">
        <f t="shared" si="101"/>
        <v>1.974</v>
      </c>
    </row>
    <row r="2178" spans="1:8" x14ac:dyDescent="0.2">
      <c r="A2178" s="1">
        <v>55</v>
      </c>
      <c r="B2178" s="1" t="str">
        <v>2020-08-24</v>
      </c>
      <c r="C2178" s="1">
        <v>1.4564999999999999</v>
      </c>
      <c r="F2178" s="8">
        <f t="shared" si="99"/>
        <v>55</v>
      </c>
      <c r="G2178" s="9">
        <f t="shared" si="100"/>
        <v>44067</v>
      </c>
      <c r="H2178" s="10">
        <f t="shared" si="101"/>
        <v>1.4564999999999999</v>
      </c>
    </row>
    <row r="2179" spans="1:8" x14ac:dyDescent="0.2">
      <c r="A2179" s="1">
        <v>32560</v>
      </c>
      <c r="B2179" s="1" t="str">
        <v>2020-08-24</v>
      </c>
      <c r="C2179" s="1">
        <v>1.6486000000000001</v>
      </c>
      <c r="F2179" s="8">
        <f t="shared" si="99"/>
        <v>32560</v>
      </c>
      <c r="G2179" s="9">
        <f t="shared" si="100"/>
        <v>44067</v>
      </c>
      <c r="H2179" s="10">
        <f t="shared" si="101"/>
        <v>1.6486000000000001</v>
      </c>
    </row>
    <row r="2180" spans="1:8" x14ac:dyDescent="0.2">
      <c r="A2180" s="1">
        <v>8</v>
      </c>
      <c r="B2180" s="1" t="str">
        <v>2020-08-24</v>
      </c>
      <c r="C2180" s="1">
        <v>2.157</v>
      </c>
      <c r="F2180" s="8">
        <f t="shared" si="99"/>
        <v>8</v>
      </c>
      <c r="G2180" s="9">
        <f t="shared" si="100"/>
        <v>44067</v>
      </c>
      <c r="H2180" s="10">
        <f t="shared" si="101"/>
        <v>2.157</v>
      </c>
    </row>
    <row r="2181" spans="1:8" x14ac:dyDescent="0.2">
      <c r="A2181" s="1">
        <v>187</v>
      </c>
      <c r="B2181" s="1" t="str">
        <v>2020-08-24</v>
      </c>
      <c r="C2181" s="1">
        <v>1.6593</v>
      </c>
      <c r="F2181" s="8">
        <f t="shared" si="99"/>
        <v>187</v>
      </c>
      <c r="G2181" s="9">
        <f t="shared" si="100"/>
        <v>44067</v>
      </c>
      <c r="H2181" s="10">
        <f t="shared" si="101"/>
        <v>1.6593</v>
      </c>
    </row>
    <row r="2182" spans="1:8" x14ac:dyDescent="0.2">
      <c r="A2182" s="1">
        <v>133</v>
      </c>
      <c r="B2182" s="1" t="str">
        <v>2020-08-24</v>
      </c>
      <c r="C2182" s="1">
        <v>1.5475000000000001</v>
      </c>
      <c r="F2182" s="8">
        <f t="shared" si="99"/>
        <v>133</v>
      </c>
      <c r="G2182" s="9">
        <f t="shared" si="100"/>
        <v>44067</v>
      </c>
      <c r="H2182" s="10">
        <f t="shared" si="101"/>
        <v>1.5475000000000001</v>
      </c>
    </row>
    <row r="2183" spans="1:8" x14ac:dyDescent="0.2">
      <c r="A2183" s="1">
        <v>32421</v>
      </c>
      <c r="B2183" s="1" t="str">
        <v>2020-08-24</v>
      </c>
      <c r="C2183" s="1">
        <v>1.7258</v>
      </c>
      <c r="F2183" s="8">
        <f t="shared" si="99"/>
        <v>32421</v>
      </c>
      <c r="G2183" s="9">
        <f t="shared" si="100"/>
        <v>44067</v>
      </c>
      <c r="H2183" s="10">
        <f t="shared" si="101"/>
        <v>1.7258</v>
      </c>
    </row>
    <row r="2184" spans="1:8" x14ac:dyDescent="0.2">
      <c r="A2184" s="1">
        <v>30400</v>
      </c>
      <c r="B2184" s="1" t="str">
        <v>2020-08-24</v>
      </c>
      <c r="C2184" s="1">
        <v>1.6187</v>
      </c>
      <c r="F2184" s="8">
        <f t="shared" si="99"/>
        <v>30400</v>
      </c>
      <c r="G2184" s="9">
        <f t="shared" si="100"/>
        <v>44067</v>
      </c>
      <c r="H2184" s="10">
        <f t="shared" si="101"/>
        <v>1.6187</v>
      </c>
    </row>
    <row r="2185" spans="1:8" x14ac:dyDescent="0.2">
      <c r="A2185" s="1">
        <v>89</v>
      </c>
      <c r="B2185" s="1" t="str">
        <v>2020-08-24</v>
      </c>
      <c r="C2185" s="1">
        <v>1.6286</v>
      </c>
      <c r="F2185" s="8">
        <f t="shared" ref="F2185:F2248" si="102">A2185</f>
        <v>89</v>
      </c>
      <c r="G2185" s="9">
        <f t="shared" ref="G2185:G2248" si="103">DATE(LEFT(B2185,4),MID(B2185,6,2),RIGHT(B2185,2))</f>
        <v>44067</v>
      </c>
      <c r="H2185" s="10">
        <f t="shared" ref="H2185:H2248" si="104">C2185</f>
        <v>1.6286</v>
      </c>
    </row>
    <row r="2186" spans="1:8" x14ac:dyDescent="0.2">
      <c r="A2186" s="1">
        <v>83</v>
      </c>
      <c r="B2186" s="1" t="str">
        <v>2020-08-24</v>
      </c>
      <c r="C2186" s="1">
        <v>1.7098</v>
      </c>
      <c r="F2186" s="8">
        <f t="shared" si="102"/>
        <v>83</v>
      </c>
      <c r="G2186" s="9">
        <f t="shared" si="103"/>
        <v>44067</v>
      </c>
      <c r="H2186" s="10">
        <f t="shared" si="104"/>
        <v>1.7098</v>
      </c>
    </row>
    <row r="2187" spans="1:8" x14ac:dyDescent="0.2">
      <c r="A2187" s="1">
        <v>32400</v>
      </c>
      <c r="B2187" s="1" t="str">
        <v>2020-08-24</v>
      </c>
      <c r="C2187" s="1">
        <v>2.0249000000000001</v>
      </c>
      <c r="F2187" s="8">
        <f t="shared" si="102"/>
        <v>32400</v>
      </c>
      <c r="G2187" s="9">
        <f t="shared" si="103"/>
        <v>44067</v>
      </c>
      <c r="H2187" s="10">
        <f t="shared" si="104"/>
        <v>2.0249000000000001</v>
      </c>
    </row>
    <row r="2188" spans="1:8" x14ac:dyDescent="0.2">
      <c r="A2188" s="1">
        <v>32081</v>
      </c>
      <c r="B2188" s="1" t="str">
        <v>2020-08-24</v>
      </c>
      <c r="C2188" s="1">
        <v>1.3957999999999999</v>
      </c>
      <c r="F2188" s="8">
        <f t="shared" si="102"/>
        <v>32081</v>
      </c>
      <c r="G2188" s="9">
        <f t="shared" si="103"/>
        <v>44067</v>
      </c>
      <c r="H2188" s="10">
        <f t="shared" si="104"/>
        <v>1.3957999999999999</v>
      </c>
    </row>
    <row r="2189" spans="1:8" x14ac:dyDescent="0.2">
      <c r="A2189" s="1">
        <v>32480</v>
      </c>
      <c r="B2189" s="1" t="str">
        <v>2020-08-24</v>
      </c>
      <c r="C2189" s="1">
        <v>1.7606999999999999</v>
      </c>
      <c r="F2189" s="8">
        <f t="shared" si="102"/>
        <v>32480</v>
      </c>
      <c r="G2189" s="9">
        <f t="shared" si="103"/>
        <v>44067</v>
      </c>
      <c r="H2189" s="10">
        <f t="shared" si="104"/>
        <v>1.7606999999999999</v>
      </c>
    </row>
    <row r="2190" spans="1:8" x14ac:dyDescent="0.2">
      <c r="A2190" s="1">
        <v>178</v>
      </c>
      <c r="B2190" s="1" t="str">
        <v>2020-08-24</v>
      </c>
      <c r="C2190" s="1">
        <v>1.7655000000000001</v>
      </c>
      <c r="F2190" s="8">
        <f t="shared" si="102"/>
        <v>178</v>
      </c>
      <c r="G2190" s="9">
        <f t="shared" si="103"/>
        <v>44067</v>
      </c>
      <c r="H2190" s="10">
        <f t="shared" si="104"/>
        <v>1.7655000000000001</v>
      </c>
    </row>
    <row r="2191" spans="1:8" x14ac:dyDescent="0.2">
      <c r="A2191" s="1">
        <v>32082</v>
      </c>
      <c r="B2191" s="1" t="str">
        <v>2020-08-24</v>
      </c>
      <c r="C2191" s="1">
        <v>1.9127000000000001</v>
      </c>
      <c r="F2191" s="8">
        <f t="shared" si="102"/>
        <v>32082</v>
      </c>
      <c r="G2191" s="9">
        <f t="shared" si="103"/>
        <v>44067</v>
      </c>
      <c r="H2191" s="10">
        <f t="shared" si="104"/>
        <v>1.9127000000000001</v>
      </c>
    </row>
    <row r="2192" spans="1:8" x14ac:dyDescent="0.2">
      <c r="A2192" s="1">
        <v>33130</v>
      </c>
      <c r="B2192" s="1" t="str">
        <v>2020-08-25</v>
      </c>
      <c r="C2192" s="1">
        <v>1.8115000000000001</v>
      </c>
      <c r="F2192" s="8">
        <f t="shared" si="102"/>
        <v>33130</v>
      </c>
      <c r="G2192" s="9">
        <f t="shared" si="103"/>
        <v>44068</v>
      </c>
      <c r="H2192" s="10">
        <f t="shared" si="104"/>
        <v>1.8115000000000001</v>
      </c>
    </row>
    <row r="2193" spans="1:8" x14ac:dyDescent="0.2">
      <c r="A2193" s="1">
        <v>81</v>
      </c>
      <c r="B2193" s="1" t="str">
        <v>2020-08-25</v>
      </c>
      <c r="C2193" s="1">
        <v>1.9635</v>
      </c>
      <c r="F2193" s="8">
        <f t="shared" si="102"/>
        <v>81</v>
      </c>
      <c r="G2193" s="9">
        <f t="shared" si="103"/>
        <v>44068</v>
      </c>
      <c r="H2193" s="10">
        <f t="shared" si="104"/>
        <v>1.9635</v>
      </c>
    </row>
    <row r="2194" spans="1:8" x14ac:dyDescent="0.2">
      <c r="A2194" s="1">
        <v>32400</v>
      </c>
      <c r="B2194" s="1" t="str">
        <v>2020-08-25</v>
      </c>
      <c r="C2194" s="1">
        <v>1.8217000000000001</v>
      </c>
      <c r="F2194" s="8">
        <f t="shared" si="102"/>
        <v>32400</v>
      </c>
      <c r="G2194" s="9">
        <f t="shared" si="103"/>
        <v>44068</v>
      </c>
      <c r="H2194" s="10">
        <f t="shared" si="104"/>
        <v>1.8217000000000001</v>
      </c>
    </row>
    <row r="2195" spans="1:8" x14ac:dyDescent="0.2">
      <c r="A2195" s="1">
        <v>94</v>
      </c>
      <c r="B2195" s="1" t="str">
        <v>2020-08-25</v>
      </c>
      <c r="C2195" s="1">
        <v>1.9494</v>
      </c>
      <c r="F2195" s="8">
        <f t="shared" si="102"/>
        <v>94</v>
      </c>
      <c r="G2195" s="9">
        <f t="shared" si="103"/>
        <v>44068</v>
      </c>
      <c r="H2195" s="10">
        <f t="shared" si="104"/>
        <v>1.9494</v>
      </c>
    </row>
    <row r="2196" spans="1:8" x14ac:dyDescent="0.2">
      <c r="A2196" s="1">
        <v>20</v>
      </c>
      <c r="B2196" s="1" t="str">
        <v>2020-08-25</v>
      </c>
      <c r="C2196" s="1">
        <v>1.8010999999999999</v>
      </c>
      <c r="F2196" s="8">
        <f t="shared" si="102"/>
        <v>20</v>
      </c>
      <c r="G2196" s="9">
        <f t="shared" si="103"/>
        <v>44068</v>
      </c>
      <c r="H2196" s="10">
        <f t="shared" si="104"/>
        <v>1.8010999999999999</v>
      </c>
    </row>
    <row r="2197" spans="1:8" x14ac:dyDescent="0.2">
      <c r="A2197" s="1">
        <v>115</v>
      </c>
      <c r="B2197" s="1" t="str">
        <v>2020-08-25</v>
      </c>
      <c r="C2197" s="1">
        <v>2.0045999999999999</v>
      </c>
      <c r="F2197" s="8">
        <f t="shared" si="102"/>
        <v>115</v>
      </c>
      <c r="G2197" s="9">
        <f t="shared" si="103"/>
        <v>44068</v>
      </c>
      <c r="H2197" s="10">
        <f t="shared" si="104"/>
        <v>2.0045999999999999</v>
      </c>
    </row>
    <row r="2198" spans="1:8" x14ac:dyDescent="0.2">
      <c r="A2198" s="1">
        <v>32260</v>
      </c>
      <c r="B2198" s="1" t="str">
        <v>2020-08-25</v>
      </c>
      <c r="C2198" s="1">
        <v>1.7707999999999999</v>
      </c>
      <c r="F2198" s="8">
        <f t="shared" si="102"/>
        <v>32260</v>
      </c>
      <c r="G2198" s="9">
        <f t="shared" si="103"/>
        <v>44068</v>
      </c>
      <c r="H2198" s="10">
        <f t="shared" si="104"/>
        <v>1.7707999999999999</v>
      </c>
    </row>
    <row r="2199" spans="1:8" x14ac:dyDescent="0.2">
      <c r="A2199" s="1">
        <v>67</v>
      </c>
      <c r="B2199" s="1" t="str">
        <v>2020-08-25</v>
      </c>
      <c r="C2199" s="1">
        <v>1.7098</v>
      </c>
      <c r="F2199" s="8">
        <f t="shared" si="102"/>
        <v>67</v>
      </c>
      <c r="G2199" s="9">
        <f t="shared" si="103"/>
        <v>44068</v>
      </c>
      <c r="H2199" s="10">
        <f t="shared" si="104"/>
        <v>1.7098</v>
      </c>
    </row>
    <row r="2200" spans="1:8" x14ac:dyDescent="0.2">
      <c r="A2200" s="1">
        <v>32803</v>
      </c>
      <c r="B2200" s="1" t="str">
        <v>2020-08-25</v>
      </c>
      <c r="C2200" s="1">
        <v>2.0350000000000001</v>
      </c>
      <c r="F2200" s="8">
        <f t="shared" si="102"/>
        <v>32803</v>
      </c>
      <c r="G2200" s="9">
        <f t="shared" si="103"/>
        <v>44068</v>
      </c>
      <c r="H2200" s="10">
        <f t="shared" si="104"/>
        <v>2.0350000000000001</v>
      </c>
    </row>
    <row r="2201" spans="1:8" x14ac:dyDescent="0.2">
      <c r="A2201" s="1">
        <v>33125</v>
      </c>
      <c r="B2201" s="1" t="str">
        <v>2020-08-25</v>
      </c>
      <c r="C2201" s="1">
        <v>1.7302</v>
      </c>
      <c r="F2201" s="8">
        <f t="shared" si="102"/>
        <v>33125</v>
      </c>
      <c r="G2201" s="9">
        <f t="shared" si="103"/>
        <v>44068</v>
      </c>
      <c r="H2201" s="10">
        <f t="shared" si="104"/>
        <v>1.7302</v>
      </c>
    </row>
    <row r="2202" spans="1:8" x14ac:dyDescent="0.2">
      <c r="A2202" s="1">
        <v>32200</v>
      </c>
      <c r="B2202" s="1" t="str">
        <v>2020-08-25</v>
      </c>
      <c r="C2202" s="1">
        <v>1.6086</v>
      </c>
      <c r="F2202" s="8">
        <f t="shared" si="102"/>
        <v>32200</v>
      </c>
      <c r="G2202" s="9">
        <f t="shared" si="103"/>
        <v>44068</v>
      </c>
      <c r="H2202" s="10">
        <f t="shared" si="104"/>
        <v>1.6086</v>
      </c>
    </row>
    <row r="2203" spans="1:8" x14ac:dyDescent="0.2">
      <c r="A2203" s="1">
        <v>55</v>
      </c>
      <c r="B2203" s="1" t="str">
        <v>2020-08-26</v>
      </c>
      <c r="C2203" s="1">
        <v>1.4564999999999999</v>
      </c>
      <c r="F2203" s="8">
        <f t="shared" si="102"/>
        <v>55</v>
      </c>
      <c r="G2203" s="9">
        <f t="shared" si="103"/>
        <v>44069</v>
      </c>
      <c r="H2203" s="10">
        <f t="shared" si="104"/>
        <v>1.4564999999999999</v>
      </c>
    </row>
    <row r="2204" spans="1:8" x14ac:dyDescent="0.2">
      <c r="A2204" s="1">
        <v>33183</v>
      </c>
      <c r="B2204" s="1" t="str">
        <v>2020-08-26</v>
      </c>
      <c r="C2204" s="1">
        <v>1.6998</v>
      </c>
      <c r="F2204" s="8">
        <f t="shared" si="102"/>
        <v>33183</v>
      </c>
      <c r="G2204" s="9">
        <f t="shared" si="103"/>
        <v>44069</v>
      </c>
      <c r="H2204" s="10">
        <f t="shared" si="104"/>
        <v>1.6998</v>
      </c>
    </row>
    <row r="2205" spans="1:8" x14ac:dyDescent="0.2">
      <c r="A2205" s="1">
        <v>147</v>
      </c>
      <c r="B2205" s="1" t="str">
        <v>2020-08-26</v>
      </c>
      <c r="C2205" s="1">
        <v>1.0017</v>
      </c>
      <c r="F2205" s="8">
        <f t="shared" si="102"/>
        <v>147</v>
      </c>
      <c r="G2205" s="9">
        <f t="shared" si="103"/>
        <v>44069</v>
      </c>
      <c r="H2205" s="10">
        <f t="shared" si="104"/>
        <v>1.0017</v>
      </c>
    </row>
    <row r="2206" spans="1:8" x14ac:dyDescent="0.2">
      <c r="A2206" s="1">
        <v>33130</v>
      </c>
      <c r="B2206" s="1" t="str">
        <v>2020-08-26</v>
      </c>
      <c r="C2206" s="1">
        <v>1.8520000000000001</v>
      </c>
      <c r="F2206" s="8">
        <f t="shared" si="102"/>
        <v>33130</v>
      </c>
      <c r="G2206" s="9">
        <f t="shared" si="103"/>
        <v>44069</v>
      </c>
      <c r="H2206" s="10">
        <f t="shared" si="104"/>
        <v>1.8520000000000001</v>
      </c>
    </row>
    <row r="2207" spans="1:8" x14ac:dyDescent="0.2">
      <c r="A2207" s="1">
        <v>77</v>
      </c>
      <c r="B2207" s="1" t="str">
        <v>2020-08-26</v>
      </c>
      <c r="C2207" s="1">
        <v>1.9944</v>
      </c>
      <c r="F2207" s="8">
        <f t="shared" si="102"/>
        <v>77</v>
      </c>
      <c r="G2207" s="9">
        <f t="shared" si="103"/>
        <v>44069</v>
      </c>
      <c r="H2207" s="10">
        <f t="shared" si="104"/>
        <v>1.9944</v>
      </c>
    </row>
    <row r="2208" spans="1:8" x14ac:dyDescent="0.2">
      <c r="A2208" s="1">
        <v>102</v>
      </c>
      <c r="B2208" s="1" t="str">
        <v>2020-08-26</v>
      </c>
      <c r="C2208" s="1">
        <v>1.8212999999999999</v>
      </c>
      <c r="F2208" s="8">
        <f t="shared" si="102"/>
        <v>102</v>
      </c>
      <c r="G2208" s="9">
        <f t="shared" si="103"/>
        <v>44069</v>
      </c>
      <c r="H2208" s="10">
        <f t="shared" si="104"/>
        <v>1.8212999999999999</v>
      </c>
    </row>
    <row r="2209" spans="1:8" x14ac:dyDescent="0.2">
      <c r="A2209" s="1">
        <v>32480</v>
      </c>
      <c r="B2209" s="1" t="str">
        <v>2020-08-26</v>
      </c>
      <c r="C2209" s="1">
        <v>1.6287</v>
      </c>
      <c r="F2209" s="8">
        <f t="shared" si="102"/>
        <v>32480</v>
      </c>
      <c r="G2209" s="9">
        <f t="shared" si="103"/>
        <v>44069</v>
      </c>
      <c r="H2209" s="10">
        <f t="shared" si="104"/>
        <v>1.6287</v>
      </c>
    </row>
    <row r="2210" spans="1:8" x14ac:dyDescent="0.2">
      <c r="A2210" s="1">
        <v>110</v>
      </c>
      <c r="B2210" s="1" t="str">
        <v>2020-08-26</v>
      </c>
      <c r="C2210" s="1">
        <v>1.71</v>
      </c>
      <c r="F2210" s="8">
        <f t="shared" si="102"/>
        <v>110</v>
      </c>
      <c r="G2210" s="9">
        <f t="shared" si="103"/>
        <v>44069</v>
      </c>
      <c r="H2210" s="10">
        <f t="shared" si="104"/>
        <v>1.71</v>
      </c>
    </row>
    <row r="2211" spans="1:8" x14ac:dyDescent="0.2">
      <c r="A2211" s="1">
        <v>33043</v>
      </c>
      <c r="B2211" s="1" t="str">
        <v>2020-08-27</v>
      </c>
      <c r="C2211" s="1">
        <v>1.8314999999999999</v>
      </c>
      <c r="F2211" s="8">
        <f t="shared" si="102"/>
        <v>33043</v>
      </c>
      <c r="G2211" s="9">
        <f t="shared" si="103"/>
        <v>44070</v>
      </c>
      <c r="H2211" s="10">
        <f t="shared" si="104"/>
        <v>1.8314999999999999</v>
      </c>
    </row>
    <row r="2212" spans="1:8" x14ac:dyDescent="0.2">
      <c r="A2212" s="1">
        <v>83</v>
      </c>
      <c r="B2212" s="1" t="str">
        <v>2020-08-27</v>
      </c>
      <c r="C2212" s="1">
        <v>1.8011999999999999</v>
      </c>
      <c r="F2212" s="8">
        <f t="shared" si="102"/>
        <v>83</v>
      </c>
      <c r="G2212" s="9">
        <f t="shared" si="103"/>
        <v>44070</v>
      </c>
      <c r="H2212" s="10">
        <f t="shared" si="104"/>
        <v>1.8011999999999999</v>
      </c>
    </row>
    <row r="2213" spans="1:8" x14ac:dyDescent="0.2">
      <c r="A2213" s="1">
        <v>150</v>
      </c>
      <c r="B2213" s="1" t="str">
        <v>2020-08-27</v>
      </c>
      <c r="C2213" s="1">
        <v>2.0466000000000002</v>
      </c>
      <c r="F2213" s="8">
        <f t="shared" si="102"/>
        <v>150</v>
      </c>
      <c r="G2213" s="9">
        <f t="shared" si="103"/>
        <v>44070</v>
      </c>
      <c r="H2213" s="10">
        <f t="shared" si="104"/>
        <v>2.0466000000000002</v>
      </c>
    </row>
    <row r="2214" spans="1:8" x14ac:dyDescent="0.2">
      <c r="A2214" s="1">
        <v>30350</v>
      </c>
      <c r="B2214" s="1" t="str">
        <v>2020-08-27</v>
      </c>
      <c r="C2214" s="1">
        <v>1.6692</v>
      </c>
      <c r="F2214" s="8">
        <f t="shared" si="102"/>
        <v>30350</v>
      </c>
      <c r="G2214" s="9">
        <f t="shared" si="103"/>
        <v>44070</v>
      </c>
      <c r="H2214" s="10">
        <f t="shared" si="104"/>
        <v>1.6692</v>
      </c>
    </row>
    <row r="2215" spans="1:8" x14ac:dyDescent="0.2">
      <c r="A2215" s="1">
        <v>250</v>
      </c>
      <c r="B2215" s="1" t="str">
        <v>2020-08-27</v>
      </c>
      <c r="C2215" s="1">
        <v>1.7706</v>
      </c>
      <c r="F2215" s="8">
        <f t="shared" si="102"/>
        <v>250</v>
      </c>
      <c r="G2215" s="9">
        <f t="shared" si="103"/>
        <v>44070</v>
      </c>
      <c r="H2215" s="10">
        <f t="shared" si="104"/>
        <v>1.7706</v>
      </c>
    </row>
    <row r="2216" spans="1:8" x14ac:dyDescent="0.2">
      <c r="A2216" s="1">
        <v>33129</v>
      </c>
      <c r="B2216" s="1" t="str">
        <v>2020-08-27</v>
      </c>
      <c r="C2216" s="1">
        <v>1.8313999999999999</v>
      </c>
      <c r="F2216" s="8">
        <f t="shared" si="102"/>
        <v>33129</v>
      </c>
      <c r="G2216" s="9">
        <f t="shared" si="103"/>
        <v>44070</v>
      </c>
      <c r="H2216" s="10">
        <f t="shared" si="104"/>
        <v>1.8313999999999999</v>
      </c>
    </row>
    <row r="2217" spans="1:8" x14ac:dyDescent="0.2">
      <c r="A2217" s="1">
        <v>32121</v>
      </c>
      <c r="B2217" s="1" t="str">
        <v>2020-08-27</v>
      </c>
      <c r="C2217" s="1">
        <v>1.8313999999999999</v>
      </c>
      <c r="F2217" s="8">
        <f t="shared" si="102"/>
        <v>32121</v>
      </c>
      <c r="G2217" s="9">
        <f t="shared" si="103"/>
        <v>44070</v>
      </c>
      <c r="H2217" s="10">
        <f t="shared" si="104"/>
        <v>1.8313999999999999</v>
      </c>
    </row>
    <row r="2218" spans="1:8" x14ac:dyDescent="0.2">
      <c r="A2218" s="1">
        <v>8</v>
      </c>
      <c r="B2218" s="1" t="str">
        <v>2020-08-27</v>
      </c>
      <c r="C2218" s="1">
        <v>2.0857000000000001</v>
      </c>
      <c r="F2218" s="8">
        <f t="shared" si="102"/>
        <v>8</v>
      </c>
      <c r="G2218" s="9">
        <f t="shared" si="103"/>
        <v>44070</v>
      </c>
      <c r="H2218" s="10">
        <f t="shared" si="104"/>
        <v>2.0857000000000001</v>
      </c>
    </row>
    <row r="2219" spans="1:8" x14ac:dyDescent="0.2">
      <c r="A2219" s="1">
        <v>32121</v>
      </c>
      <c r="B2219" s="1" t="str">
        <v>2020-08-28</v>
      </c>
      <c r="C2219" s="1">
        <v>1.8313999999999999</v>
      </c>
      <c r="F2219" s="8">
        <f t="shared" si="102"/>
        <v>32121</v>
      </c>
      <c r="G2219" s="9">
        <f t="shared" si="103"/>
        <v>44071</v>
      </c>
      <c r="H2219" s="10">
        <f t="shared" si="104"/>
        <v>1.8313999999999999</v>
      </c>
    </row>
    <row r="2220" spans="1:8" x14ac:dyDescent="0.2">
      <c r="A2220" s="1">
        <v>143</v>
      </c>
      <c r="B2220" s="1" t="str">
        <v>2020-08-28</v>
      </c>
      <c r="C2220" s="1">
        <v>1.8824000000000001</v>
      </c>
      <c r="F2220" s="8">
        <f t="shared" si="102"/>
        <v>143</v>
      </c>
      <c r="G2220" s="9">
        <f t="shared" si="103"/>
        <v>44071</v>
      </c>
      <c r="H2220" s="10">
        <f t="shared" si="104"/>
        <v>1.8824000000000001</v>
      </c>
    </row>
    <row r="2221" spans="1:8" x14ac:dyDescent="0.2">
      <c r="A2221" s="1">
        <v>53</v>
      </c>
      <c r="B2221" s="1" t="str">
        <v>2020-08-28</v>
      </c>
      <c r="C2221" s="1">
        <v>2.0752999999999999</v>
      </c>
      <c r="F2221" s="8">
        <f t="shared" si="102"/>
        <v>53</v>
      </c>
      <c r="G2221" s="9">
        <f t="shared" si="103"/>
        <v>44071</v>
      </c>
      <c r="H2221" s="10">
        <f t="shared" si="104"/>
        <v>2.0752999999999999</v>
      </c>
    </row>
    <row r="2222" spans="1:8" x14ac:dyDescent="0.2">
      <c r="A2222" s="1">
        <v>32963</v>
      </c>
      <c r="B2222" s="1" t="str">
        <v>2020-08-28</v>
      </c>
      <c r="C2222" s="1">
        <v>1.5679000000000001</v>
      </c>
      <c r="F2222" s="8">
        <f t="shared" si="102"/>
        <v>32963</v>
      </c>
      <c r="G2222" s="9">
        <f t="shared" si="103"/>
        <v>44071</v>
      </c>
      <c r="H2222" s="10">
        <f t="shared" si="104"/>
        <v>1.5679000000000001</v>
      </c>
    </row>
    <row r="2223" spans="1:8" x14ac:dyDescent="0.2">
      <c r="A2223" s="1">
        <v>156</v>
      </c>
      <c r="B2223" s="1" t="str">
        <v>2020-08-28</v>
      </c>
      <c r="C2223" s="1">
        <v>2.1164000000000001</v>
      </c>
      <c r="F2223" s="8">
        <f t="shared" si="102"/>
        <v>156</v>
      </c>
      <c r="G2223" s="9">
        <f t="shared" si="103"/>
        <v>44071</v>
      </c>
      <c r="H2223" s="10">
        <f t="shared" si="104"/>
        <v>2.1164000000000001</v>
      </c>
    </row>
    <row r="2224" spans="1:8" x14ac:dyDescent="0.2">
      <c r="A2224" s="1">
        <v>32863</v>
      </c>
      <c r="B2224" s="1" t="str">
        <v>2020-08-28</v>
      </c>
      <c r="C2224" s="1">
        <v>1.6693</v>
      </c>
      <c r="F2224" s="8">
        <f t="shared" si="102"/>
        <v>32863</v>
      </c>
      <c r="G2224" s="9">
        <f t="shared" si="103"/>
        <v>44071</v>
      </c>
      <c r="H2224" s="10">
        <f t="shared" si="104"/>
        <v>1.6693</v>
      </c>
    </row>
    <row r="2225" spans="1:8" x14ac:dyDescent="0.2">
      <c r="A2225" s="1">
        <v>33103</v>
      </c>
      <c r="B2225" s="1" t="str">
        <v>2020-08-28</v>
      </c>
      <c r="C2225" s="1">
        <v>2.3938999999999999</v>
      </c>
      <c r="F2225" s="8">
        <f t="shared" si="102"/>
        <v>33103</v>
      </c>
      <c r="G2225" s="9">
        <f t="shared" si="103"/>
        <v>44071</v>
      </c>
      <c r="H2225" s="10">
        <f t="shared" si="104"/>
        <v>2.3938999999999999</v>
      </c>
    </row>
    <row r="2226" spans="1:8" x14ac:dyDescent="0.2">
      <c r="A2226" s="1">
        <v>33123</v>
      </c>
      <c r="B2226" s="1" t="str">
        <v>2020-08-28</v>
      </c>
      <c r="C2226" s="1">
        <v>1.7403999999999999</v>
      </c>
      <c r="F2226" s="8">
        <f t="shared" si="102"/>
        <v>33123</v>
      </c>
      <c r="G2226" s="9">
        <f t="shared" si="103"/>
        <v>44071</v>
      </c>
      <c r="H2226" s="10">
        <f t="shared" si="104"/>
        <v>1.7403999999999999</v>
      </c>
    </row>
    <row r="2227" spans="1:8" x14ac:dyDescent="0.2">
      <c r="A2227" s="1">
        <v>32180</v>
      </c>
      <c r="B2227" s="1" t="str">
        <v>2020-08-28</v>
      </c>
      <c r="C2227" s="1">
        <v>1.8654999999999999</v>
      </c>
      <c r="F2227" s="8">
        <f t="shared" si="102"/>
        <v>32180</v>
      </c>
      <c r="G2227" s="9">
        <f t="shared" si="103"/>
        <v>44071</v>
      </c>
      <c r="H2227" s="10">
        <f t="shared" si="104"/>
        <v>1.8654999999999999</v>
      </c>
    </row>
    <row r="2228" spans="1:8" x14ac:dyDescent="0.2">
      <c r="A2228" s="1">
        <v>32420</v>
      </c>
      <c r="B2228" s="1" t="str">
        <v>2020-08-28</v>
      </c>
      <c r="C2228" s="1">
        <v>1.6766000000000001</v>
      </c>
      <c r="F2228" s="8">
        <f t="shared" si="102"/>
        <v>32420</v>
      </c>
      <c r="G2228" s="9">
        <f t="shared" si="103"/>
        <v>44071</v>
      </c>
      <c r="H2228" s="10">
        <f t="shared" si="104"/>
        <v>1.6766000000000001</v>
      </c>
    </row>
    <row r="2229" spans="1:8" x14ac:dyDescent="0.2">
      <c r="A2229" s="1">
        <v>13250</v>
      </c>
      <c r="B2229" s="1" t="str">
        <v>2020-08-28</v>
      </c>
      <c r="C2229" s="1">
        <v>1.6083000000000001</v>
      </c>
      <c r="F2229" s="8">
        <f t="shared" si="102"/>
        <v>13250</v>
      </c>
      <c r="G2229" s="9">
        <f t="shared" si="103"/>
        <v>44071</v>
      </c>
      <c r="H2229" s="10">
        <f t="shared" si="104"/>
        <v>1.6083000000000001</v>
      </c>
    </row>
    <row r="2230" spans="1:8" x14ac:dyDescent="0.2">
      <c r="A2230" s="1">
        <v>177</v>
      </c>
      <c r="B2230" s="1" t="str">
        <v>2020-08-28</v>
      </c>
      <c r="C2230" s="1">
        <v>2.0956999999999999</v>
      </c>
      <c r="F2230" s="8">
        <f t="shared" si="102"/>
        <v>177</v>
      </c>
      <c r="G2230" s="9">
        <f t="shared" si="103"/>
        <v>44071</v>
      </c>
      <c r="H2230" s="10">
        <f t="shared" si="104"/>
        <v>2.0956999999999999</v>
      </c>
    </row>
    <row r="2231" spans="1:8" x14ac:dyDescent="0.2">
      <c r="A2231" s="1">
        <v>1</v>
      </c>
      <c r="B2231" s="1" t="str">
        <v>2020-08-28</v>
      </c>
      <c r="C2231" s="1">
        <v>1.5679000000000001</v>
      </c>
      <c r="F2231" s="8">
        <f t="shared" si="102"/>
        <v>1</v>
      </c>
      <c r="G2231" s="9">
        <f t="shared" si="103"/>
        <v>44071</v>
      </c>
      <c r="H2231" s="10">
        <f t="shared" si="104"/>
        <v>1.5679000000000001</v>
      </c>
    </row>
    <row r="2232" spans="1:8" x14ac:dyDescent="0.2">
      <c r="A2232" s="1">
        <v>33063</v>
      </c>
      <c r="B2232" s="1" t="str">
        <v>2020-08-28</v>
      </c>
      <c r="C2232" s="1">
        <v>1.7807999999999999</v>
      </c>
      <c r="F2232" s="8">
        <f t="shared" si="102"/>
        <v>33063</v>
      </c>
      <c r="G2232" s="9">
        <f t="shared" si="103"/>
        <v>44071</v>
      </c>
      <c r="H2232" s="10">
        <f t="shared" si="104"/>
        <v>1.7807999999999999</v>
      </c>
    </row>
    <row r="2233" spans="1:8" x14ac:dyDescent="0.2">
      <c r="A2233" s="1">
        <v>157</v>
      </c>
      <c r="B2233" s="1" t="str">
        <v>2020-08-28</v>
      </c>
      <c r="C2233" s="1">
        <v>1.7404999999999999</v>
      </c>
      <c r="F2233" s="8">
        <f t="shared" si="102"/>
        <v>157</v>
      </c>
      <c r="G2233" s="9">
        <f t="shared" si="103"/>
        <v>44071</v>
      </c>
      <c r="H2233" s="10">
        <f t="shared" si="104"/>
        <v>1.7404999999999999</v>
      </c>
    </row>
    <row r="2234" spans="1:8" x14ac:dyDescent="0.2">
      <c r="A2234" s="1">
        <v>32724</v>
      </c>
      <c r="B2234" s="1" t="str">
        <v>2020-08-28</v>
      </c>
      <c r="C2234" s="1">
        <v>1.6897</v>
      </c>
      <c r="F2234" s="8">
        <f t="shared" si="102"/>
        <v>32724</v>
      </c>
      <c r="G2234" s="9">
        <f t="shared" si="103"/>
        <v>44071</v>
      </c>
      <c r="H2234" s="10">
        <f t="shared" si="104"/>
        <v>1.6897</v>
      </c>
    </row>
    <row r="2235" spans="1:8" x14ac:dyDescent="0.2">
      <c r="A2235" s="1">
        <v>191</v>
      </c>
      <c r="B2235" s="1" t="str">
        <v>2020-08-28</v>
      </c>
      <c r="C2235" s="1">
        <v>1.4764999999999999</v>
      </c>
      <c r="F2235" s="8">
        <f t="shared" si="102"/>
        <v>191</v>
      </c>
      <c r="G2235" s="9">
        <f t="shared" si="103"/>
        <v>44071</v>
      </c>
      <c r="H2235" s="10">
        <f t="shared" si="104"/>
        <v>1.4764999999999999</v>
      </c>
    </row>
    <row r="2236" spans="1:8" x14ac:dyDescent="0.2">
      <c r="A2236" s="1">
        <v>147</v>
      </c>
      <c r="B2236" s="1" t="str">
        <v>2020-08-28</v>
      </c>
      <c r="C2236" s="1">
        <v>1.0219</v>
      </c>
      <c r="F2236" s="8">
        <f t="shared" si="102"/>
        <v>147</v>
      </c>
      <c r="G2236" s="9">
        <f t="shared" si="103"/>
        <v>44071</v>
      </c>
      <c r="H2236" s="10">
        <f t="shared" si="104"/>
        <v>1.0219</v>
      </c>
    </row>
    <row r="2237" spans="1:8" x14ac:dyDescent="0.2">
      <c r="A2237" s="1">
        <v>182</v>
      </c>
      <c r="B2237" s="1" t="str">
        <v>2020-08-28</v>
      </c>
      <c r="C2237" s="1">
        <v>2.1366999999999998</v>
      </c>
      <c r="F2237" s="8">
        <f t="shared" si="102"/>
        <v>182</v>
      </c>
      <c r="G2237" s="9">
        <f t="shared" si="103"/>
        <v>44071</v>
      </c>
      <c r="H2237" s="10">
        <f t="shared" si="104"/>
        <v>2.1366999999999998</v>
      </c>
    </row>
    <row r="2238" spans="1:8" x14ac:dyDescent="0.2">
      <c r="A2238" s="1">
        <v>90</v>
      </c>
      <c r="B2238" s="1" t="str">
        <v>2020-08-28</v>
      </c>
      <c r="C2238" s="1">
        <v>2.0045000000000002</v>
      </c>
      <c r="F2238" s="8">
        <f t="shared" si="102"/>
        <v>90</v>
      </c>
      <c r="G2238" s="9">
        <f t="shared" si="103"/>
        <v>44071</v>
      </c>
      <c r="H2238" s="10">
        <f t="shared" si="104"/>
        <v>2.0045000000000002</v>
      </c>
    </row>
    <row r="2239" spans="1:8" x14ac:dyDescent="0.2">
      <c r="A2239" s="1">
        <v>32260</v>
      </c>
      <c r="B2239" s="1" t="str">
        <v>2020-08-28</v>
      </c>
      <c r="C2239" s="1">
        <v>1.7707999999999999</v>
      </c>
      <c r="F2239" s="8">
        <f t="shared" si="102"/>
        <v>32260</v>
      </c>
      <c r="G2239" s="9">
        <f t="shared" si="103"/>
        <v>44071</v>
      </c>
      <c r="H2239" s="10">
        <f t="shared" si="104"/>
        <v>1.7707999999999999</v>
      </c>
    </row>
    <row r="2240" spans="1:8" x14ac:dyDescent="0.2">
      <c r="A2240" s="1">
        <v>16</v>
      </c>
      <c r="B2240" s="1" t="str">
        <v>2020-08-28</v>
      </c>
      <c r="C2240" s="1">
        <v>1.4259999999999999</v>
      </c>
      <c r="F2240" s="8">
        <f t="shared" si="102"/>
        <v>16</v>
      </c>
      <c r="G2240" s="9">
        <f t="shared" si="103"/>
        <v>44071</v>
      </c>
      <c r="H2240" s="10">
        <f t="shared" si="104"/>
        <v>1.4259999999999999</v>
      </c>
    </row>
    <row r="2241" spans="1:8" x14ac:dyDescent="0.2">
      <c r="A2241" s="1">
        <v>139</v>
      </c>
      <c r="B2241" s="1" t="str">
        <v>2020-08-28</v>
      </c>
      <c r="C2241" s="1">
        <v>1.8112999999999999</v>
      </c>
      <c r="F2241" s="8">
        <f t="shared" si="102"/>
        <v>139</v>
      </c>
      <c r="G2241" s="9">
        <f t="shared" si="103"/>
        <v>44071</v>
      </c>
      <c r="H2241" s="10">
        <f t="shared" si="104"/>
        <v>1.8112999999999999</v>
      </c>
    </row>
    <row r="2242" spans="1:8" x14ac:dyDescent="0.2">
      <c r="A2242" s="1">
        <v>81</v>
      </c>
      <c r="B2242" s="1" t="str">
        <v>2020-08-28</v>
      </c>
      <c r="C2242" s="1">
        <v>1.9635</v>
      </c>
      <c r="F2242" s="8">
        <f t="shared" si="102"/>
        <v>81</v>
      </c>
      <c r="G2242" s="9">
        <f t="shared" si="103"/>
        <v>44071</v>
      </c>
      <c r="H2242" s="10">
        <f t="shared" si="104"/>
        <v>1.9635</v>
      </c>
    </row>
    <row r="2243" spans="1:8" x14ac:dyDescent="0.2">
      <c r="A2243" s="1">
        <v>32500</v>
      </c>
      <c r="B2243" s="1" t="str">
        <v>2020-08-28</v>
      </c>
      <c r="C2243" s="1">
        <v>1.7909999999999999</v>
      </c>
      <c r="F2243" s="8">
        <f t="shared" si="102"/>
        <v>32500</v>
      </c>
      <c r="G2243" s="9">
        <f t="shared" si="103"/>
        <v>44071</v>
      </c>
      <c r="H2243" s="10">
        <f t="shared" si="104"/>
        <v>1.7909999999999999</v>
      </c>
    </row>
    <row r="2244" spans="1:8" x14ac:dyDescent="0.2">
      <c r="A2244" s="1">
        <v>175</v>
      </c>
      <c r="B2244" s="1" t="str">
        <v>2020-08-28</v>
      </c>
      <c r="C2244" s="1">
        <v>1.639</v>
      </c>
      <c r="F2244" s="8">
        <f t="shared" si="102"/>
        <v>175</v>
      </c>
      <c r="G2244" s="9">
        <f t="shared" si="103"/>
        <v>44071</v>
      </c>
      <c r="H2244" s="10">
        <f t="shared" si="104"/>
        <v>1.639</v>
      </c>
    </row>
    <row r="2245" spans="1:8" x14ac:dyDescent="0.2">
      <c r="A2245" s="1">
        <v>24250</v>
      </c>
      <c r="B2245" s="1" t="str">
        <v>2020-08-28</v>
      </c>
      <c r="C2245" s="1">
        <v>1.9028</v>
      </c>
      <c r="F2245" s="8">
        <f t="shared" si="102"/>
        <v>24250</v>
      </c>
      <c r="G2245" s="9">
        <f t="shared" si="103"/>
        <v>44071</v>
      </c>
      <c r="H2245" s="10">
        <f t="shared" si="104"/>
        <v>1.9028</v>
      </c>
    </row>
    <row r="2246" spans="1:8" x14ac:dyDescent="0.2">
      <c r="A2246" s="1">
        <v>32583</v>
      </c>
      <c r="B2246" s="1" t="str">
        <v>2020-08-28</v>
      </c>
      <c r="C2246" s="1">
        <v>1.913</v>
      </c>
      <c r="F2246" s="8">
        <f t="shared" si="102"/>
        <v>32583</v>
      </c>
      <c r="G2246" s="9">
        <f t="shared" si="103"/>
        <v>44071</v>
      </c>
      <c r="H2246" s="10">
        <f t="shared" si="104"/>
        <v>1.913</v>
      </c>
    </row>
    <row r="2247" spans="1:8" x14ac:dyDescent="0.2">
      <c r="A2247" s="1">
        <v>32082</v>
      </c>
      <c r="B2247" s="1" t="str">
        <v>2020-08-28</v>
      </c>
      <c r="C2247" s="1">
        <v>1.8313999999999999</v>
      </c>
      <c r="F2247" s="8">
        <f t="shared" si="102"/>
        <v>32082</v>
      </c>
      <c r="G2247" s="9">
        <f t="shared" si="103"/>
        <v>44071</v>
      </c>
      <c r="H2247" s="10">
        <f t="shared" si="104"/>
        <v>1.8313999999999999</v>
      </c>
    </row>
    <row r="2248" spans="1:8" x14ac:dyDescent="0.2">
      <c r="A2248" s="1">
        <v>10</v>
      </c>
      <c r="B2248" s="1" t="str">
        <v>2020-08-28</v>
      </c>
      <c r="C2248" s="1">
        <v>1.6998</v>
      </c>
      <c r="F2248" s="8">
        <f t="shared" si="102"/>
        <v>10</v>
      </c>
      <c r="G2248" s="9">
        <f t="shared" si="103"/>
        <v>44071</v>
      </c>
      <c r="H2248" s="10">
        <f t="shared" si="104"/>
        <v>1.6998</v>
      </c>
    </row>
    <row r="2249" spans="1:8" x14ac:dyDescent="0.2">
      <c r="A2249" s="1">
        <v>33083</v>
      </c>
      <c r="B2249" s="1" t="str">
        <v>2020-08-28</v>
      </c>
      <c r="C2249" s="1">
        <v>1.7726999999999999</v>
      </c>
      <c r="F2249" s="8">
        <f t="shared" ref="F2249:F2312" si="105">A2249</f>
        <v>33083</v>
      </c>
      <c r="G2249" s="9">
        <f t="shared" ref="G2249:G2312" si="106">DATE(LEFT(B2249,4),MID(B2249,6,2),RIGHT(B2249,2))</f>
        <v>44071</v>
      </c>
      <c r="H2249" s="10">
        <f t="shared" ref="H2249:H2312" si="107">C2249</f>
        <v>1.7726999999999999</v>
      </c>
    </row>
    <row r="2250" spans="1:8" x14ac:dyDescent="0.2">
      <c r="A2250" s="1">
        <v>101</v>
      </c>
      <c r="B2250" s="1" t="str">
        <v>2020-08-28</v>
      </c>
      <c r="C2250" s="1">
        <v>1.7098</v>
      </c>
      <c r="F2250" s="8">
        <f t="shared" si="105"/>
        <v>101</v>
      </c>
      <c r="G2250" s="9">
        <f t="shared" si="106"/>
        <v>44071</v>
      </c>
      <c r="H2250" s="10">
        <f t="shared" si="107"/>
        <v>1.7098</v>
      </c>
    </row>
    <row r="2251" spans="1:8" x14ac:dyDescent="0.2">
      <c r="A2251" s="1">
        <v>78</v>
      </c>
      <c r="B2251" s="1" t="str">
        <v>2020-08-28</v>
      </c>
      <c r="C2251" s="1">
        <v>1.9231</v>
      </c>
      <c r="F2251" s="8">
        <f t="shared" si="105"/>
        <v>78</v>
      </c>
      <c r="G2251" s="9">
        <f t="shared" si="106"/>
        <v>44071</v>
      </c>
      <c r="H2251" s="10">
        <f t="shared" si="107"/>
        <v>1.9231</v>
      </c>
    </row>
    <row r="2252" spans="1:8" x14ac:dyDescent="0.2">
      <c r="A2252" s="1">
        <v>59</v>
      </c>
      <c r="B2252" s="1" t="str">
        <v>2020-08-28</v>
      </c>
      <c r="C2252" s="1">
        <v>1.7605</v>
      </c>
      <c r="F2252" s="8">
        <f t="shared" si="105"/>
        <v>59</v>
      </c>
      <c r="G2252" s="9">
        <f t="shared" si="106"/>
        <v>44071</v>
      </c>
      <c r="H2252" s="10">
        <f t="shared" si="107"/>
        <v>1.7605</v>
      </c>
    </row>
    <row r="2253" spans="1:8" x14ac:dyDescent="0.2">
      <c r="A2253" s="1">
        <v>33023</v>
      </c>
      <c r="B2253" s="1" t="str">
        <v>2020-08-28</v>
      </c>
      <c r="C2253" s="1">
        <v>1.6693</v>
      </c>
      <c r="F2253" s="8">
        <f t="shared" si="105"/>
        <v>33023</v>
      </c>
      <c r="G2253" s="9">
        <f t="shared" si="106"/>
        <v>44071</v>
      </c>
      <c r="H2253" s="10">
        <f t="shared" si="107"/>
        <v>1.6693</v>
      </c>
    </row>
    <row r="2254" spans="1:8" x14ac:dyDescent="0.2">
      <c r="A2254" s="1">
        <v>187</v>
      </c>
      <c r="B2254" s="1" t="str">
        <v>2020-08-28</v>
      </c>
      <c r="C2254" s="1">
        <v>1.6492</v>
      </c>
      <c r="F2254" s="8">
        <f t="shared" si="105"/>
        <v>187</v>
      </c>
      <c r="G2254" s="9">
        <f t="shared" si="106"/>
        <v>44071</v>
      </c>
      <c r="H2254" s="10">
        <f t="shared" si="107"/>
        <v>1.6492</v>
      </c>
    </row>
    <row r="2255" spans="1:8" x14ac:dyDescent="0.2">
      <c r="A2255" s="1">
        <v>72</v>
      </c>
      <c r="B2255" s="1" t="str">
        <v>2020-08-28</v>
      </c>
      <c r="C2255" s="1">
        <v>1.5578000000000001</v>
      </c>
      <c r="F2255" s="8">
        <f t="shared" si="105"/>
        <v>72</v>
      </c>
      <c r="G2255" s="9">
        <f t="shared" si="106"/>
        <v>44071</v>
      </c>
      <c r="H2255" s="10">
        <f t="shared" si="107"/>
        <v>1.5578000000000001</v>
      </c>
    </row>
    <row r="2256" spans="1:8" x14ac:dyDescent="0.2">
      <c r="A2256" s="1">
        <v>109</v>
      </c>
      <c r="B2256" s="1" t="str">
        <v>2020-08-31</v>
      </c>
      <c r="C2256" s="1">
        <v>1.72</v>
      </c>
      <c r="F2256" s="8">
        <f t="shared" si="105"/>
        <v>109</v>
      </c>
      <c r="G2256" s="9">
        <f t="shared" si="106"/>
        <v>44074</v>
      </c>
      <c r="H2256" s="10">
        <f t="shared" si="107"/>
        <v>1.72</v>
      </c>
    </row>
    <row r="2257" spans="1:8" x14ac:dyDescent="0.2">
      <c r="A2257" s="1">
        <v>161</v>
      </c>
      <c r="B2257" s="1" t="str">
        <v>2020-08-31</v>
      </c>
      <c r="C2257" s="1">
        <v>1.8521000000000001</v>
      </c>
      <c r="F2257" s="8">
        <f t="shared" si="105"/>
        <v>161</v>
      </c>
      <c r="G2257" s="9">
        <f t="shared" si="106"/>
        <v>44074</v>
      </c>
      <c r="H2257" s="10">
        <f t="shared" si="107"/>
        <v>1.8521000000000001</v>
      </c>
    </row>
    <row r="2258" spans="1:8" x14ac:dyDescent="0.2">
      <c r="A2258" s="1">
        <v>49</v>
      </c>
      <c r="B2258" s="1" t="str">
        <v>2020-08-31</v>
      </c>
      <c r="C2258" s="1">
        <v>1.5376000000000001</v>
      </c>
      <c r="F2258" s="8">
        <f t="shared" si="105"/>
        <v>49</v>
      </c>
      <c r="G2258" s="9">
        <f t="shared" si="106"/>
        <v>44074</v>
      </c>
      <c r="H2258" s="10">
        <f t="shared" si="107"/>
        <v>1.5376000000000001</v>
      </c>
    </row>
    <row r="2259" spans="1:8" x14ac:dyDescent="0.2">
      <c r="A2259" s="1">
        <v>32521</v>
      </c>
      <c r="B2259" s="1" t="str">
        <v>2020-08-31</v>
      </c>
      <c r="C2259" s="1">
        <v>1.9536</v>
      </c>
      <c r="F2259" s="8">
        <f t="shared" si="105"/>
        <v>32521</v>
      </c>
      <c r="G2259" s="9">
        <f t="shared" si="106"/>
        <v>44074</v>
      </c>
      <c r="H2259" s="10">
        <f t="shared" si="107"/>
        <v>1.9536</v>
      </c>
    </row>
    <row r="2260" spans="1:8" x14ac:dyDescent="0.2">
      <c r="A2260" s="1">
        <v>32222</v>
      </c>
      <c r="B2260" s="1" t="str">
        <v>2020-08-31</v>
      </c>
      <c r="C2260" s="1">
        <v>1.8723000000000001</v>
      </c>
      <c r="F2260" s="8">
        <f t="shared" si="105"/>
        <v>32222</v>
      </c>
      <c r="G2260" s="9">
        <f t="shared" si="106"/>
        <v>44074</v>
      </c>
      <c r="H2260" s="10">
        <f t="shared" si="107"/>
        <v>1.8723000000000001</v>
      </c>
    </row>
    <row r="2261" spans="1:8" x14ac:dyDescent="0.2">
      <c r="A2261" s="1">
        <v>34</v>
      </c>
      <c r="B2261" s="1" t="str">
        <v>2020-08-31</v>
      </c>
      <c r="C2261" s="1">
        <v>1.8620000000000001</v>
      </c>
      <c r="F2261" s="8">
        <f t="shared" si="105"/>
        <v>34</v>
      </c>
      <c r="G2261" s="9">
        <f t="shared" si="106"/>
        <v>44074</v>
      </c>
      <c r="H2261" s="10">
        <f t="shared" si="107"/>
        <v>1.8620000000000001</v>
      </c>
    </row>
    <row r="2262" spans="1:8" x14ac:dyDescent="0.2">
      <c r="A2262" s="1">
        <v>32923</v>
      </c>
      <c r="B2262" s="1" t="str">
        <v>2020-08-31</v>
      </c>
      <c r="C2262" s="1">
        <v>2.0655000000000001</v>
      </c>
      <c r="F2262" s="8">
        <f t="shared" si="105"/>
        <v>32923</v>
      </c>
      <c r="G2262" s="9">
        <f t="shared" si="106"/>
        <v>44074</v>
      </c>
      <c r="H2262" s="10">
        <f t="shared" si="107"/>
        <v>2.0655000000000001</v>
      </c>
    </row>
    <row r="2263" spans="1:8" x14ac:dyDescent="0.2">
      <c r="A2263" s="1">
        <v>32421</v>
      </c>
      <c r="B2263" s="1" t="str">
        <v>2020-08-31</v>
      </c>
      <c r="C2263" s="1">
        <v>1.7842</v>
      </c>
      <c r="F2263" s="8">
        <f t="shared" si="105"/>
        <v>32421</v>
      </c>
      <c r="G2263" s="9">
        <f t="shared" si="106"/>
        <v>44074</v>
      </c>
      <c r="H2263" s="10">
        <f t="shared" si="107"/>
        <v>1.7842</v>
      </c>
    </row>
    <row r="2264" spans="1:8" x14ac:dyDescent="0.2">
      <c r="A2264" s="1">
        <v>30350</v>
      </c>
      <c r="B2264" s="1" t="str">
        <v>2020-08-31</v>
      </c>
      <c r="C2264" s="1">
        <v>1.6998</v>
      </c>
      <c r="F2264" s="8">
        <f t="shared" si="105"/>
        <v>30350</v>
      </c>
      <c r="G2264" s="9">
        <f t="shared" si="106"/>
        <v>44074</v>
      </c>
      <c r="H2264" s="10">
        <f t="shared" si="107"/>
        <v>1.6998</v>
      </c>
    </row>
    <row r="2265" spans="1:8" x14ac:dyDescent="0.2">
      <c r="A2265" s="1">
        <v>99</v>
      </c>
      <c r="B2265" s="1" t="str">
        <v>2020-08-31</v>
      </c>
      <c r="C2265" s="1">
        <v>2.6974</v>
      </c>
      <c r="F2265" s="8">
        <f t="shared" si="105"/>
        <v>99</v>
      </c>
      <c r="G2265" s="9">
        <f t="shared" si="106"/>
        <v>44074</v>
      </c>
      <c r="H2265" s="10">
        <f t="shared" si="107"/>
        <v>2.6974</v>
      </c>
    </row>
    <row r="2266" spans="1:8" x14ac:dyDescent="0.2">
      <c r="A2266" s="1">
        <v>31</v>
      </c>
      <c r="B2266" s="1" t="str">
        <v>2020-08-31</v>
      </c>
      <c r="C2266" s="1">
        <v>1.8926000000000001</v>
      </c>
      <c r="F2266" s="8">
        <f t="shared" si="105"/>
        <v>31</v>
      </c>
      <c r="G2266" s="9">
        <f t="shared" si="106"/>
        <v>44074</v>
      </c>
      <c r="H2266" s="10">
        <f t="shared" si="107"/>
        <v>1.8926000000000001</v>
      </c>
    </row>
    <row r="2267" spans="1:8" x14ac:dyDescent="0.2">
      <c r="A2267" s="1">
        <v>8</v>
      </c>
      <c r="B2267" s="1" t="str">
        <v>2020-08-31</v>
      </c>
      <c r="C2267" s="1">
        <v>1.9335</v>
      </c>
      <c r="F2267" s="8">
        <f t="shared" si="105"/>
        <v>8</v>
      </c>
      <c r="G2267" s="9">
        <f t="shared" si="106"/>
        <v>44074</v>
      </c>
      <c r="H2267" s="10">
        <f t="shared" si="107"/>
        <v>1.9335</v>
      </c>
    </row>
    <row r="2268" spans="1:8" x14ac:dyDescent="0.2">
      <c r="A2268" s="1">
        <v>178</v>
      </c>
      <c r="B2268" s="1" t="str">
        <v>2020-08-31</v>
      </c>
      <c r="C2268" s="1">
        <v>1.8056000000000001</v>
      </c>
      <c r="F2268" s="8">
        <f t="shared" si="105"/>
        <v>178</v>
      </c>
      <c r="G2268" s="9">
        <f t="shared" si="106"/>
        <v>44074</v>
      </c>
      <c r="H2268" s="10">
        <f t="shared" si="107"/>
        <v>1.8056000000000001</v>
      </c>
    </row>
    <row r="2269" spans="1:8" x14ac:dyDescent="0.2">
      <c r="A2269" s="1">
        <v>32843</v>
      </c>
      <c r="B2269" s="1" t="str">
        <v>2020-08-31</v>
      </c>
      <c r="C2269" s="1">
        <v>2.1469</v>
      </c>
      <c r="F2269" s="8">
        <f t="shared" si="105"/>
        <v>32843</v>
      </c>
      <c r="G2269" s="9">
        <f t="shared" si="106"/>
        <v>44074</v>
      </c>
      <c r="H2269" s="10">
        <f t="shared" si="107"/>
        <v>2.1469</v>
      </c>
    </row>
    <row r="2270" spans="1:8" x14ac:dyDescent="0.2">
      <c r="A2270" s="1">
        <v>33003</v>
      </c>
      <c r="B2270" s="1" t="str">
        <v>2020-09-01</v>
      </c>
      <c r="C2270" s="1">
        <v>1.7708999999999999</v>
      </c>
      <c r="F2270" s="8">
        <f t="shared" si="105"/>
        <v>33003</v>
      </c>
      <c r="G2270" s="9">
        <f t="shared" si="106"/>
        <v>44075</v>
      </c>
      <c r="H2270" s="10">
        <f t="shared" si="107"/>
        <v>1.7708999999999999</v>
      </c>
    </row>
    <row r="2271" spans="1:8" x14ac:dyDescent="0.2">
      <c r="A2271" s="1">
        <v>157</v>
      </c>
      <c r="B2271" s="1" t="str">
        <v>2020-09-02</v>
      </c>
      <c r="C2271" s="1">
        <v>1.7404999999999999</v>
      </c>
      <c r="F2271" s="8">
        <f t="shared" si="105"/>
        <v>157</v>
      </c>
      <c r="G2271" s="9">
        <f t="shared" si="106"/>
        <v>44076</v>
      </c>
      <c r="H2271" s="10">
        <f t="shared" si="107"/>
        <v>1.7404999999999999</v>
      </c>
    </row>
    <row r="2272" spans="1:8" x14ac:dyDescent="0.2">
      <c r="A2272" s="1">
        <v>33125</v>
      </c>
      <c r="B2272" s="1" t="str">
        <v>2020-09-02</v>
      </c>
      <c r="C2272" s="1">
        <v>1.7302</v>
      </c>
      <c r="F2272" s="8">
        <f t="shared" si="105"/>
        <v>33125</v>
      </c>
      <c r="G2272" s="9">
        <f t="shared" si="106"/>
        <v>44076</v>
      </c>
      <c r="H2272" s="10">
        <f t="shared" si="107"/>
        <v>1.7302</v>
      </c>
    </row>
    <row r="2273" spans="1:8" x14ac:dyDescent="0.2">
      <c r="A2273" s="1">
        <v>115</v>
      </c>
      <c r="B2273" s="1" t="str">
        <v>2020-09-03</v>
      </c>
      <c r="C2273" s="1">
        <v>2.0045999999999999</v>
      </c>
      <c r="F2273" s="8">
        <f t="shared" si="105"/>
        <v>115</v>
      </c>
      <c r="G2273" s="9">
        <f t="shared" si="106"/>
        <v>44077</v>
      </c>
      <c r="H2273" s="10">
        <f t="shared" si="107"/>
        <v>2.0045999999999999</v>
      </c>
    </row>
    <row r="2274" spans="1:8" x14ac:dyDescent="0.2">
      <c r="A2274" s="1">
        <v>32420</v>
      </c>
      <c r="B2274" s="1" t="str">
        <v>2020-09-03</v>
      </c>
      <c r="C2274" s="1">
        <v>1.6766000000000001</v>
      </c>
      <c r="F2274" s="8">
        <f t="shared" si="105"/>
        <v>32420</v>
      </c>
      <c r="G2274" s="9">
        <f t="shared" si="106"/>
        <v>44077</v>
      </c>
      <c r="H2274" s="10">
        <f t="shared" si="107"/>
        <v>1.6766000000000001</v>
      </c>
    </row>
    <row r="2275" spans="1:8" x14ac:dyDescent="0.2">
      <c r="A2275" s="1">
        <v>32963</v>
      </c>
      <c r="B2275" s="1" t="str">
        <v>2020-09-03</v>
      </c>
      <c r="C2275" s="1">
        <v>1.5781000000000001</v>
      </c>
      <c r="F2275" s="8">
        <f t="shared" si="105"/>
        <v>32963</v>
      </c>
      <c r="G2275" s="9">
        <f t="shared" si="106"/>
        <v>44077</v>
      </c>
      <c r="H2275" s="10">
        <f t="shared" si="107"/>
        <v>1.5781000000000001</v>
      </c>
    </row>
    <row r="2276" spans="1:8" x14ac:dyDescent="0.2">
      <c r="A2276" s="1">
        <v>49</v>
      </c>
      <c r="B2276" s="1" t="str">
        <v>2020-09-03</v>
      </c>
      <c r="C2276" s="1">
        <v>1.4870000000000001</v>
      </c>
      <c r="F2276" s="8">
        <f t="shared" si="105"/>
        <v>49</v>
      </c>
      <c r="G2276" s="9">
        <f t="shared" si="106"/>
        <v>44077</v>
      </c>
      <c r="H2276" s="10">
        <f t="shared" si="107"/>
        <v>1.4870000000000001</v>
      </c>
    </row>
    <row r="2277" spans="1:8" x14ac:dyDescent="0.2">
      <c r="A2277" s="1">
        <v>32340</v>
      </c>
      <c r="B2277" s="1" t="str">
        <v>2020-09-04</v>
      </c>
      <c r="C2277" s="1">
        <v>1.6895</v>
      </c>
      <c r="F2277" s="8">
        <f t="shared" si="105"/>
        <v>32340</v>
      </c>
      <c r="G2277" s="9">
        <f t="shared" si="106"/>
        <v>44078</v>
      </c>
      <c r="H2277" s="10">
        <f t="shared" si="107"/>
        <v>1.6895</v>
      </c>
    </row>
    <row r="2278" spans="1:8" x14ac:dyDescent="0.2">
      <c r="A2278" s="1">
        <v>67</v>
      </c>
      <c r="B2278" s="1" t="str">
        <v>2020-09-04</v>
      </c>
      <c r="C2278" s="1">
        <v>1.9638</v>
      </c>
      <c r="F2278" s="8">
        <f t="shared" si="105"/>
        <v>67</v>
      </c>
      <c r="G2278" s="9">
        <f t="shared" si="106"/>
        <v>44078</v>
      </c>
      <c r="H2278" s="10">
        <f t="shared" si="107"/>
        <v>1.9638</v>
      </c>
    </row>
    <row r="2279" spans="1:8" x14ac:dyDescent="0.2">
      <c r="A2279" s="1">
        <v>161</v>
      </c>
      <c r="B2279" s="1" t="str">
        <v>2020-09-04</v>
      </c>
      <c r="C2279" s="1">
        <v>1.7403999999999999</v>
      </c>
      <c r="F2279" s="8">
        <f t="shared" si="105"/>
        <v>161</v>
      </c>
      <c r="G2279" s="9">
        <f t="shared" si="106"/>
        <v>44078</v>
      </c>
      <c r="H2279" s="10">
        <f t="shared" si="107"/>
        <v>1.7403999999999999</v>
      </c>
    </row>
    <row r="2280" spans="1:8" x14ac:dyDescent="0.2">
      <c r="A2280" s="1">
        <v>139</v>
      </c>
      <c r="B2280" s="1" t="str">
        <v>2020-09-04</v>
      </c>
      <c r="C2280" s="1">
        <v>1.8419000000000001</v>
      </c>
      <c r="F2280" s="8">
        <f t="shared" si="105"/>
        <v>139</v>
      </c>
      <c r="G2280" s="9">
        <f t="shared" si="106"/>
        <v>44078</v>
      </c>
      <c r="H2280" s="10">
        <f t="shared" si="107"/>
        <v>1.8419000000000001</v>
      </c>
    </row>
    <row r="2281" spans="1:8" x14ac:dyDescent="0.2">
      <c r="A2281" s="1">
        <v>133</v>
      </c>
      <c r="B2281" s="1" t="str">
        <v>2020-09-04</v>
      </c>
      <c r="C2281" s="1">
        <v>1.6995</v>
      </c>
      <c r="F2281" s="8">
        <f t="shared" si="105"/>
        <v>133</v>
      </c>
      <c r="G2281" s="9">
        <f t="shared" si="106"/>
        <v>44078</v>
      </c>
      <c r="H2281" s="10">
        <f t="shared" si="107"/>
        <v>1.6995</v>
      </c>
    </row>
    <row r="2282" spans="1:8" x14ac:dyDescent="0.2">
      <c r="A2282" s="1">
        <v>32400</v>
      </c>
      <c r="B2282" s="1" t="str">
        <v>2020-09-04</v>
      </c>
      <c r="C2282" s="1">
        <v>1.8724000000000001</v>
      </c>
      <c r="F2282" s="8">
        <f t="shared" si="105"/>
        <v>32400</v>
      </c>
      <c r="G2282" s="9">
        <f t="shared" si="106"/>
        <v>44078</v>
      </c>
      <c r="H2282" s="10">
        <f t="shared" si="107"/>
        <v>1.8724000000000001</v>
      </c>
    </row>
    <row r="2283" spans="1:8" x14ac:dyDescent="0.2">
      <c r="A2283" s="1">
        <v>132</v>
      </c>
      <c r="B2283" s="1" t="str">
        <v>2020-09-04</v>
      </c>
      <c r="C2283" s="1">
        <v>1.5780000000000001</v>
      </c>
      <c r="F2283" s="8">
        <f t="shared" si="105"/>
        <v>132</v>
      </c>
      <c r="G2283" s="9">
        <f t="shared" si="106"/>
        <v>44078</v>
      </c>
      <c r="H2283" s="10">
        <f t="shared" si="107"/>
        <v>1.5780000000000001</v>
      </c>
    </row>
    <row r="2284" spans="1:8" x14ac:dyDescent="0.2">
      <c r="A2284" s="1">
        <v>16</v>
      </c>
      <c r="B2284" s="1" t="str">
        <v>2020-09-04</v>
      </c>
      <c r="C2284" s="1">
        <v>1.4259999999999999</v>
      </c>
      <c r="F2284" s="8">
        <f t="shared" si="105"/>
        <v>16</v>
      </c>
      <c r="G2284" s="9">
        <f t="shared" si="106"/>
        <v>44078</v>
      </c>
      <c r="H2284" s="10">
        <f t="shared" si="107"/>
        <v>1.4259999999999999</v>
      </c>
    </row>
    <row r="2285" spans="1:8" x14ac:dyDescent="0.2">
      <c r="A2285" s="1">
        <v>81</v>
      </c>
      <c r="B2285" s="1" t="str">
        <v>2020-09-04</v>
      </c>
      <c r="C2285" s="1">
        <v>2.0044</v>
      </c>
      <c r="F2285" s="8">
        <f t="shared" si="105"/>
        <v>81</v>
      </c>
      <c r="G2285" s="9">
        <f t="shared" si="106"/>
        <v>44078</v>
      </c>
      <c r="H2285" s="10">
        <f t="shared" si="107"/>
        <v>2.0044</v>
      </c>
    </row>
    <row r="2286" spans="1:8" x14ac:dyDescent="0.2">
      <c r="A2286" s="1">
        <v>13250</v>
      </c>
      <c r="B2286" s="1" t="str">
        <v>2020-09-04</v>
      </c>
      <c r="C2286" s="1">
        <v>1.8824000000000001</v>
      </c>
      <c r="F2286" s="8">
        <f t="shared" si="105"/>
        <v>13250</v>
      </c>
      <c r="G2286" s="9">
        <f t="shared" si="106"/>
        <v>44078</v>
      </c>
      <c r="H2286" s="10">
        <f t="shared" si="107"/>
        <v>1.8824000000000001</v>
      </c>
    </row>
    <row r="2287" spans="1:8" x14ac:dyDescent="0.2">
      <c r="A2287" s="1">
        <v>147</v>
      </c>
      <c r="B2287" s="1" t="str">
        <v>2020-09-04</v>
      </c>
      <c r="C2287" s="1">
        <v>1.0117</v>
      </c>
      <c r="F2287" s="8">
        <f t="shared" si="105"/>
        <v>147</v>
      </c>
      <c r="G2287" s="9">
        <f t="shared" si="106"/>
        <v>44078</v>
      </c>
      <c r="H2287" s="10">
        <f t="shared" si="107"/>
        <v>1.0117</v>
      </c>
    </row>
    <row r="2288" spans="1:8" x14ac:dyDescent="0.2">
      <c r="A2288" s="1">
        <v>32724</v>
      </c>
      <c r="B2288" s="1" t="str">
        <v>2020-09-04</v>
      </c>
      <c r="C2288" s="1">
        <v>1.7607999999999999</v>
      </c>
      <c r="F2288" s="8">
        <f t="shared" si="105"/>
        <v>32724</v>
      </c>
      <c r="G2288" s="9">
        <f t="shared" si="106"/>
        <v>44078</v>
      </c>
      <c r="H2288" s="10">
        <f t="shared" si="107"/>
        <v>1.7607999999999999</v>
      </c>
    </row>
    <row r="2289" spans="1:8" x14ac:dyDescent="0.2">
      <c r="A2289" s="1">
        <v>32582</v>
      </c>
      <c r="B2289" s="1" t="str">
        <v>2020-09-04</v>
      </c>
      <c r="C2289" s="1">
        <v>2.0756999999999999</v>
      </c>
      <c r="F2289" s="8">
        <f t="shared" si="105"/>
        <v>32582</v>
      </c>
      <c r="G2289" s="9">
        <f t="shared" si="106"/>
        <v>44078</v>
      </c>
      <c r="H2289" s="10">
        <f t="shared" si="107"/>
        <v>2.0756999999999999</v>
      </c>
    </row>
    <row r="2290" spans="1:8" x14ac:dyDescent="0.2">
      <c r="A2290" s="1">
        <v>32260</v>
      </c>
      <c r="B2290" s="1" t="str">
        <v>2020-09-04</v>
      </c>
      <c r="C2290" s="1">
        <v>1.8724000000000001</v>
      </c>
      <c r="F2290" s="8">
        <f t="shared" si="105"/>
        <v>32260</v>
      </c>
      <c r="G2290" s="9">
        <f t="shared" si="106"/>
        <v>44078</v>
      </c>
      <c r="H2290" s="10">
        <f t="shared" si="107"/>
        <v>1.8724000000000001</v>
      </c>
    </row>
    <row r="2291" spans="1:8" x14ac:dyDescent="0.2">
      <c r="A2291" s="1">
        <v>187</v>
      </c>
      <c r="B2291" s="1" t="str">
        <v>2020-09-04</v>
      </c>
      <c r="C2291" s="1">
        <v>1.7707999999999999</v>
      </c>
      <c r="F2291" s="8">
        <f t="shared" si="105"/>
        <v>187</v>
      </c>
      <c r="G2291" s="9">
        <f t="shared" si="106"/>
        <v>44078</v>
      </c>
      <c r="H2291" s="10">
        <f t="shared" si="107"/>
        <v>1.7707999999999999</v>
      </c>
    </row>
    <row r="2292" spans="1:8" x14ac:dyDescent="0.2">
      <c r="A2292" s="1">
        <v>33103</v>
      </c>
      <c r="B2292" s="1" t="str">
        <v>2020-09-04</v>
      </c>
      <c r="C2292" s="1">
        <v>2.3938999999999999</v>
      </c>
      <c r="F2292" s="8">
        <f t="shared" si="105"/>
        <v>33103</v>
      </c>
      <c r="G2292" s="9">
        <f t="shared" si="106"/>
        <v>44078</v>
      </c>
      <c r="H2292" s="10">
        <f t="shared" si="107"/>
        <v>2.3938999999999999</v>
      </c>
    </row>
    <row r="2293" spans="1:8" x14ac:dyDescent="0.2">
      <c r="A2293" s="1">
        <v>10</v>
      </c>
      <c r="B2293" s="1" t="str">
        <v>2020-09-04</v>
      </c>
      <c r="C2293" s="1">
        <v>1.7505999999999999</v>
      </c>
      <c r="F2293" s="8">
        <f t="shared" si="105"/>
        <v>10</v>
      </c>
      <c r="G2293" s="9">
        <f t="shared" si="106"/>
        <v>44078</v>
      </c>
      <c r="H2293" s="10">
        <f t="shared" si="107"/>
        <v>1.7505999999999999</v>
      </c>
    </row>
    <row r="2294" spans="1:8" x14ac:dyDescent="0.2">
      <c r="A2294" s="1">
        <v>156</v>
      </c>
      <c r="B2294" s="1" t="str">
        <v>2020-09-04</v>
      </c>
      <c r="C2294" s="1">
        <v>2.0756999999999999</v>
      </c>
      <c r="F2294" s="8">
        <f t="shared" si="105"/>
        <v>156</v>
      </c>
      <c r="G2294" s="9">
        <f t="shared" si="106"/>
        <v>44078</v>
      </c>
      <c r="H2294" s="10">
        <f t="shared" si="107"/>
        <v>2.0756999999999999</v>
      </c>
    </row>
    <row r="2295" spans="1:8" x14ac:dyDescent="0.2">
      <c r="A2295" s="1">
        <v>115</v>
      </c>
      <c r="B2295" s="1" t="str">
        <v>2020-09-04</v>
      </c>
      <c r="C2295" s="1">
        <v>2.0045000000000002</v>
      </c>
      <c r="F2295" s="8">
        <f t="shared" si="105"/>
        <v>115</v>
      </c>
      <c r="G2295" s="9">
        <f t="shared" si="106"/>
        <v>44078</v>
      </c>
      <c r="H2295" s="10">
        <f t="shared" si="107"/>
        <v>2.0045000000000002</v>
      </c>
    </row>
    <row r="2296" spans="1:8" x14ac:dyDescent="0.2">
      <c r="A2296" s="1">
        <v>33130</v>
      </c>
      <c r="B2296" s="1" t="str">
        <v>2020-09-04</v>
      </c>
      <c r="C2296" s="1">
        <v>1.7201</v>
      </c>
      <c r="F2296" s="8">
        <f t="shared" si="105"/>
        <v>33130</v>
      </c>
      <c r="G2296" s="9">
        <f t="shared" si="106"/>
        <v>44078</v>
      </c>
      <c r="H2296" s="10">
        <f t="shared" si="107"/>
        <v>1.7201</v>
      </c>
    </row>
    <row r="2297" spans="1:8" x14ac:dyDescent="0.2">
      <c r="A2297" s="1">
        <v>49</v>
      </c>
      <c r="B2297" s="1" t="str">
        <v>2020-09-04</v>
      </c>
      <c r="C2297" s="1">
        <v>1.5883</v>
      </c>
      <c r="F2297" s="8">
        <f t="shared" si="105"/>
        <v>49</v>
      </c>
      <c r="G2297" s="9">
        <f t="shared" si="106"/>
        <v>44078</v>
      </c>
      <c r="H2297" s="10">
        <f t="shared" si="107"/>
        <v>1.5883</v>
      </c>
    </row>
    <row r="2298" spans="1:8" x14ac:dyDescent="0.2">
      <c r="A2298" s="1">
        <v>2250</v>
      </c>
      <c r="B2298" s="1" t="str">
        <v>2020-09-04</v>
      </c>
      <c r="C2298" s="1">
        <v>1.6288</v>
      </c>
      <c r="F2298" s="8">
        <f t="shared" si="105"/>
        <v>2250</v>
      </c>
      <c r="G2298" s="9">
        <f t="shared" si="106"/>
        <v>44078</v>
      </c>
      <c r="H2298" s="10">
        <f t="shared" si="107"/>
        <v>1.6288</v>
      </c>
    </row>
    <row r="2299" spans="1:8" x14ac:dyDescent="0.2">
      <c r="A2299" s="1">
        <v>187</v>
      </c>
      <c r="B2299" s="1" t="str">
        <v>2020-09-08</v>
      </c>
      <c r="C2299" s="1">
        <v>1.9028</v>
      </c>
      <c r="F2299" s="8">
        <f t="shared" si="105"/>
        <v>187</v>
      </c>
      <c r="G2299" s="9">
        <f t="shared" si="106"/>
        <v>44082</v>
      </c>
      <c r="H2299" s="10">
        <f t="shared" si="107"/>
        <v>1.9028</v>
      </c>
    </row>
    <row r="2300" spans="1:8" x14ac:dyDescent="0.2">
      <c r="A2300" s="1">
        <v>33203</v>
      </c>
      <c r="B2300" s="1" t="str">
        <v>2020-09-08</v>
      </c>
      <c r="C2300" s="1">
        <v>1.8573999999999999</v>
      </c>
      <c r="F2300" s="8">
        <f t="shared" si="105"/>
        <v>33203</v>
      </c>
      <c r="G2300" s="9">
        <f t="shared" si="106"/>
        <v>44082</v>
      </c>
      <c r="H2300" s="10">
        <f t="shared" si="107"/>
        <v>1.8573999999999999</v>
      </c>
    </row>
    <row r="2301" spans="1:8" x14ac:dyDescent="0.2">
      <c r="A2301" s="1">
        <v>33130</v>
      </c>
      <c r="B2301" s="1" t="str">
        <v>2020-09-08</v>
      </c>
      <c r="C2301" s="1">
        <v>1.8216000000000001</v>
      </c>
      <c r="F2301" s="8">
        <f t="shared" si="105"/>
        <v>33130</v>
      </c>
      <c r="G2301" s="9">
        <f t="shared" si="106"/>
        <v>44082</v>
      </c>
      <c r="H2301" s="10">
        <f t="shared" si="107"/>
        <v>1.8216000000000001</v>
      </c>
    </row>
    <row r="2302" spans="1:8" x14ac:dyDescent="0.2">
      <c r="A2302" s="1">
        <v>32</v>
      </c>
      <c r="B2302" s="1" t="str">
        <v>2020-09-08</v>
      </c>
      <c r="C2302" s="1">
        <v>1.6894</v>
      </c>
      <c r="F2302" s="8">
        <f t="shared" si="105"/>
        <v>32</v>
      </c>
      <c r="G2302" s="9">
        <f t="shared" si="106"/>
        <v>44082</v>
      </c>
      <c r="H2302" s="10">
        <f t="shared" si="107"/>
        <v>1.6894</v>
      </c>
    </row>
    <row r="2303" spans="1:8" x14ac:dyDescent="0.2">
      <c r="A2303" s="1">
        <v>32222</v>
      </c>
      <c r="B2303" s="1" t="str">
        <v>2020-09-08</v>
      </c>
      <c r="C2303" s="1">
        <v>2.1162999999999998</v>
      </c>
      <c r="F2303" s="8">
        <f t="shared" si="105"/>
        <v>32222</v>
      </c>
      <c r="G2303" s="9">
        <f t="shared" si="106"/>
        <v>44082</v>
      </c>
      <c r="H2303" s="10">
        <f t="shared" si="107"/>
        <v>2.1162999999999998</v>
      </c>
    </row>
    <row r="2304" spans="1:8" x14ac:dyDescent="0.2">
      <c r="A2304" s="1">
        <v>34</v>
      </c>
      <c r="B2304" s="1" t="str">
        <v>2020-09-08</v>
      </c>
      <c r="C2304" s="1">
        <v>1.9231</v>
      </c>
      <c r="F2304" s="8">
        <f t="shared" si="105"/>
        <v>34</v>
      </c>
      <c r="G2304" s="9">
        <f t="shared" si="106"/>
        <v>44082</v>
      </c>
      <c r="H2304" s="10">
        <f t="shared" si="107"/>
        <v>1.9231</v>
      </c>
    </row>
    <row r="2305" spans="1:8" x14ac:dyDescent="0.2">
      <c r="A2305" s="1">
        <v>32421</v>
      </c>
      <c r="B2305" s="1" t="str">
        <v>2020-09-08</v>
      </c>
      <c r="C2305" s="1">
        <v>1.7911999999999999</v>
      </c>
      <c r="F2305" s="8">
        <f t="shared" si="105"/>
        <v>32421</v>
      </c>
      <c r="G2305" s="9">
        <f t="shared" si="106"/>
        <v>44082</v>
      </c>
      <c r="H2305" s="10">
        <f t="shared" si="107"/>
        <v>1.7911999999999999</v>
      </c>
    </row>
    <row r="2306" spans="1:8" x14ac:dyDescent="0.2">
      <c r="A2306" s="1">
        <v>32420</v>
      </c>
      <c r="B2306" s="1" t="str">
        <v>2020-09-08</v>
      </c>
      <c r="C2306" s="1">
        <v>1.8983000000000001</v>
      </c>
      <c r="F2306" s="8">
        <f t="shared" si="105"/>
        <v>32420</v>
      </c>
      <c r="G2306" s="9">
        <f t="shared" si="106"/>
        <v>44082</v>
      </c>
      <c r="H2306" s="10">
        <f t="shared" si="107"/>
        <v>1.8983000000000001</v>
      </c>
    </row>
    <row r="2307" spans="1:8" x14ac:dyDescent="0.2">
      <c r="A2307" s="1">
        <v>178</v>
      </c>
      <c r="B2307" s="1" t="str">
        <v>2020-09-08</v>
      </c>
      <c r="C2307" s="1">
        <v>1.8748</v>
      </c>
      <c r="F2307" s="8">
        <f t="shared" si="105"/>
        <v>178</v>
      </c>
      <c r="G2307" s="9">
        <f t="shared" si="106"/>
        <v>44082</v>
      </c>
      <c r="H2307" s="10">
        <f t="shared" si="107"/>
        <v>1.8748</v>
      </c>
    </row>
    <row r="2308" spans="1:8" x14ac:dyDescent="0.2">
      <c r="A2308" s="1">
        <v>101</v>
      </c>
      <c r="B2308" s="1" t="str">
        <v>2020-09-08</v>
      </c>
      <c r="C2308" s="1">
        <v>1.7707999999999999</v>
      </c>
      <c r="F2308" s="8">
        <f t="shared" si="105"/>
        <v>101</v>
      </c>
      <c r="G2308" s="9">
        <f t="shared" si="106"/>
        <v>44082</v>
      </c>
      <c r="H2308" s="10">
        <f t="shared" si="107"/>
        <v>1.7707999999999999</v>
      </c>
    </row>
    <row r="2309" spans="1:8" x14ac:dyDescent="0.2">
      <c r="A2309" s="1">
        <v>89</v>
      </c>
      <c r="B2309" s="1" t="str">
        <v>2020-09-08</v>
      </c>
      <c r="C2309" s="1">
        <v>2.0146000000000002</v>
      </c>
      <c r="F2309" s="8">
        <f t="shared" si="105"/>
        <v>89</v>
      </c>
      <c r="G2309" s="9">
        <f t="shared" si="106"/>
        <v>44082</v>
      </c>
      <c r="H2309" s="10">
        <f t="shared" si="107"/>
        <v>2.0146000000000002</v>
      </c>
    </row>
    <row r="2310" spans="1:8" x14ac:dyDescent="0.2">
      <c r="A2310" s="1">
        <v>55</v>
      </c>
      <c r="B2310" s="1" t="str">
        <v>2020-09-08</v>
      </c>
      <c r="C2310" s="1">
        <v>1.9435</v>
      </c>
      <c r="F2310" s="8">
        <f t="shared" si="105"/>
        <v>55</v>
      </c>
      <c r="G2310" s="9">
        <f t="shared" si="106"/>
        <v>44082</v>
      </c>
      <c r="H2310" s="10">
        <f t="shared" si="107"/>
        <v>1.9435</v>
      </c>
    </row>
    <row r="2311" spans="1:8" x14ac:dyDescent="0.2">
      <c r="A2311" s="1">
        <v>33164</v>
      </c>
      <c r="B2311" s="1" t="str">
        <v>2020-09-08</v>
      </c>
      <c r="C2311" s="1">
        <v>1.9638</v>
      </c>
      <c r="F2311" s="8">
        <f t="shared" si="105"/>
        <v>33164</v>
      </c>
      <c r="G2311" s="9">
        <f t="shared" si="106"/>
        <v>44082</v>
      </c>
      <c r="H2311" s="10">
        <f t="shared" si="107"/>
        <v>1.9638</v>
      </c>
    </row>
    <row r="2312" spans="1:8" x14ac:dyDescent="0.2">
      <c r="A2312" s="1">
        <v>49</v>
      </c>
      <c r="B2312" s="1" t="str">
        <v>2020-09-09</v>
      </c>
      <c r="C2312" s="1">
        <v>1.8927</v>
      </c>
      <c r="F2312" s="8">
        <f t="shared" si="105"/>
        <v>49</v>
      </c>
      <c r="G2312" s="9">
        <f t="shared" si="106"/>
        <v>44083</v>
      </c>
      <c r="H2312" s="10">
        <f t="shared" si="107"/>
        <v>1.8927</v>
      </c>
    </row>
    <row r="2313" spans="1:8" x14ac:dyDescent="0.2">
      <c r="A2313" s="1">
        <v>8</v>
      </c>
      <c r="B2313" s="1" t="str">
        <v>2020-09-09</v>
      </c>
      <c r="C2313" s="1">
        <v>1.9231</v>
      </c>
      <c r="F2313" s="8">
        <f t="shared" ref="F2313:F2376" si="108">A2313</f>
        <v>8</v>
      </c>
      <c r="G2313" s="9">
        <f t="shared" ref="G2313:G2376" si="109">DATE(LEFT(B2313,4),MID(B2313,6,2),RIGHT(B2313,2))</f>
        <v>44083</v>
      </c>
      <c r="H2313" s="10">
        <f t="shared" ref="H2313:H2376" si="110">C2313</f>
        <v>1.9231</v>
      </c>
    </row>
    <row r="2314" spans="1:8" x14ac:dyDescent="0.2">
      <c r="A2314" s="1">
        <v>156</v>
      </c>
      <c r="B2314" s="1" t="str">
        <v>2020-09-09</v>
      </c>
      <c r="C2314" s="1">
        <v>2.1164000000000001</v>
      </c>
      <c r="F2314" s="8">
        <f t="shared" si="108"/>
        <v>156</v>
      </c>
      <c r="G2314" s="9">
        <f t="shared" si="109"/>
        <v>44083</v>
      </c>
      <c r="H2314" s="10">
        <f t="shared" si="110"/>
        <v>2.1164000000000001</v>
      </c>
    </row>
    <row r="2315" spans="1:8" x14ac:dyDescent="0.2">
      <c r="A2315" s="1">
        <v>32560</v>
      </c>
      <c r="B2315" s="1" t="str">
        <v>2020-09-09</v>
      </c>
      <c r="C2315" s="1">
        <v>1.9434</v>
      </c>
      <c r="F2315" s="8">
        <f t="shared" si="108"/>
        <v>32560</v>
      </c>
      <c r="G2315" s="9">
        <f t="shared" si="109"/>
        <v>44083</v>
      </c>
      <c r="H2315" s="10">
        <f t="shared" si="110"/>
        <v>1.9434</v>
      </c>
    </row>
    <row r="2316" spans="1:8" x14ac:dyDescent="0.2">
      <c r="A2316" s="1">
        <v>33125</v>
      </c>
      <c r="B2316" s="1" t="str">
        <v>2020-09-09</v>
      </c>
      <c r="C2316" s="1">
        <v>1.9132</v>
      </c>
      <c r="F2316" s="8">
        <f t="shared" si="108"/>
        <v>33125</v>
      </c>
      <c r="G2316" s="9">
        <f t="shared" si="109"/>
        <v>44083</v>
      </c>
      <c r="H2316" s="10">
        <f t="shared" si="110"/>
        <v>1.9132</v>
      </c>
    </row>
    <row r="2317" spans="1:8" x14ac:dyDescent="0.2">
      <c r="A2317" s="1">
        <v>33103</v>
      </c>
      <c r="B2317" s="1" t="str">
        <v>2020-09-09</v>
      </c>
      <c r="C2317" s="1">
        <v>2.3828</v>
      </c>
      <c r="F2317" s="8">
        <f t="shared" si="108"/>
        <v>33103</v>
      </c>
      <c r="G2317" s="9">
        <f t="shared" si="109"/>
        <v>44083</v>
      </c>
      <c r="H2317" s="10">
        <f t="shared" si="110"/>
        <v>2.3828</v>
      </c>
    </row>
    <row r="2318" spans="1:8" x14ac:dyDescent="0.2">
      <c r="A2318" s="1">
        <v>32724</v>
      </c>
      <c r="B2318" s="1" t="str">
        <v>2020-09-09</v>
      </c>
      <c r="C2318" s="1">
        <v>1.7506999999999999</v>
      </c>
      <c r="F2318" s="8">
        <f t="shared" si="108"/>
        <v>32724</v>
      </c>
      <c r="G2318" s="9">
        <f t="shared" si="109"/>
        <v>44083</v>
      </c>
      <c r="H2318" s="10">
        <f t="shared" si="110"/>
        <v>1.7506999999999999</v>
      </c>
    </row>
    <row r="2319" spans="1:8" x14ac:dyDescent="0.2">
      <c r="A2319" s="1">
        <v>32121</v>
      </c>
      <c r="B2319" s="1" t="str">
        <v>2020-09-09</v>
      </c>
      <c r="C2319" s="1">
        <v>1.8519000000000001</v>
      </c>
      <c r="F2319" s="8">
        <f t="shared" si="108"/>
        <v>32121</v>
      </c>
      <c r="G2319" s="9">
        <f t="shared" si="109"/>
        <v>44083</v>
      </c>
      <c r="H2319" s="10">
        <f t="shared" si="110"/>
        <v>1.8519000000000001</v>
      </c>
    </row>
    <row r="2320" spans="1:8" x14ac:dyDescent="0.2">
      <c r="A2320" s="1">
        <v>187</v>
      </c>
      <c r="B2320" s="1" t="str">
        <v>2020-09-09</v>
      </c>
      <c r="C2320" s="1">
        <v>1.9028</v>
      </c>
      <c r="F2320" s="8">
        <f t="shared" si="108"/>
        <v>187</v>
      </c>
      <c r="G2320" s="9">
        <f t="shared" si="109"/>
        <v>44083</v>
      </c>
      <c r="H2320" s="10">
        <f t="shared" si="110"/>
        <v>1.9028</v>
      </c>
    </row>
    <row r="2321" spans="1:8" x14ac:dyDescent="0.2">
      <c r="A2321" s="1">
        <v>55</v>
      </c>
      <c r="B2321" s="1" t="str">
        <v>2020-09-09</v>
      </c>
      <c r="C2321" s="1">
        <v>1.903</v>
      </c>
      <c r="F2321" s="8">
        <f t="shared" si="108"/>
        <v>55</v>
      </c>
      <c r="G2321" s="9">
        <f t="shared" si="109"/>
        <v>44083</v>
      </c>
      <c r="H2321" s="10">
        <f t="shared" si="110"/>
        <v>1.903</v>
      </c>
    </row>
    <row r="2322" spans="1:8" x14ac:dyDescent="0.2">
      <c r="A2322" s="1">
        <v>32963</v>
      </c>
      <c r="B2322" s="1" t="str">
        <v>2020-09-09</v>
      </c>
      <c r="C2322" s="1">
        <v>1.6086</v>
      </c>
      <c r="F2322" s="8">
        <f t="shared" si="108"/>
        <v>32963</v>
      </c>
      <c r="G2322" s="9">
        <f t="shared" si="109"/>
        <v>44083</v>
      </c>
      <c r="H2322" s="10">
        <f t="shared" si="110"/>
        <v>1.6086</v>
      </c>
    </row>
    <row r="2323" spans="1:8" x14ac:dyDescent="0.2">
      <c r="A2323" s="1">
        <v>32081</v>
      </c>
      <c r="B2323" s="1" t="str">
        <v>2020-09-09</v>
      </c>
      <c r="C2323" s="1">
        <v>1.7098</v>
      </c>
      <c r="F2323" s="8">
        <f t="shared" si="108"/>
        <v>32081</v>
      </c>
      <c r="G2323" s="9">
        <f t="shared" si="109"/>
        <v>44083</v>
      </c>
      <c r="H2323" s="10">
        <f t="shared" si="110"/>
        <v>1.7098</v>
      </c>
    </row>
    <row r="2324" spans="1:8" x14ac:dyDescent="0.2">
      <c r="A2324" s="1">
        <v>1</v>
      </c>
      <c r="B2324" s="1" t="str">
        <v>2020-09-09</v>
      </c>
      <c r="C2324" s="1">
        <v>1.7910999999999999</v>
      </c>
      <c r="F2324" s="8">
        <f t="shared" si="108"/>
        <v>1</v>
      </c>
      <c r="G2324" s="9">
        <f t="shared" si="109"/>
        <v>44083</v>
      </c>
      <c r="H2324" s="10">
        <f t="shared" si="110"/>
        <v>1.7910999999999999</v>
      </c>
    </row>
    <row r="2325" spans="1:8" x14ac:dyDescent="0.2">
      <c r="A2325" s="1">
        <v>32663</v>
      </c>
      <c r="B2325" s="1" t="str">
        <v>2020-09-09</v>
      </c>
      <c r="C2325" s="1">
        <v>2.0045999999999999</v>
      </c>
      <c r="F2325" s="8">
        <f t="shared" si="108"/>
        <v>32663</v>
      </c>
      <c r="G2325" s="9">
        <f t="shared" si="109"/>
        <v>44083</v>
      </c>
      <c r="H2325" s="10">
        <f t="shared" si="110"/>
        <v>2.0045999999999999</v>
      </c>
    </row>
    <row r="2326" spans="1:8" x14ac:dyDescent="0.2">
      <c r="A2326" s="1">
        <v>34</v>
      </c>
      <c r="B2326" s="1" t="str">
        <v>2020-09-09</v>
      </c>
      <c r="C2326" s="1">
        <v>2.0962000000000001</v>
      </c>
      <c r="F2326" s="8">
        <f t="shared" si="108"/>
        <v>34</v>
      </c>
      <c r="G2326" s="9">
        <f t="shared" si="109"/>
        <v>44083</v>
      </c>
      <c r="H2326" s="10">
        <f t="shared" si="110"/>
        <v>2.0962000000000001</v>
      </c>
    </row>
    <row r="2327" spans="1:8" x14ac:dyDescent="0.2">
      <c r="A2327" s="1">
        <v>28</v>
      </c>
      <c r="B2327" s="1" t="str">
        <v>2020-09-10</v>
      </c>
      <c r="C2327" s="1">
        <v>1.7810999999999999</v>
      </c>
      <c r="F2327" s="8">
        <f t="shared" si="108"/>
        <v>28</v>
      </c>
      <c r="G2327" s="9">
        <f t="shared" si="109"/>
        <v>44084</v>
      </c>
      <c r="H2327" s="10">
        <f t="shared" si="110"/>
        <v>1.7810999999999999</v>
      </c>
    </row>
    <row r="2328" spans="1:8" x14ac:dyDescent="0.2">
      <c r="A2328" s="1">
        <v>1</v>
      </c>
      <c r="B2328" s="1" t="str">
        <v>2020-09-10</v>
      </c>
      <c r="C2328" s="1">
        <v>1.7910999999999999</v>
      </c>
      <c r="F2328" s="8">
        <f t="shared" si="108"/>
        <v>1</v>
      </c>
      <c r="G2328" s="9">
        <f t="shared" si="109"/>
        <v>44084</v>
      </c>
      <c r="H2328" s="10">
        <f t="shared" si="110"/>
        <v>1.7910999999999999</v>
      </c>
    </row>
    <row r="2329" spans="1:8" x14ac:dyDescent="0.2">
      <c r="A2329" s="1">
        <v>32340</v>
      </c>
      <c r="B2329" s="1" t="str">
        <v>2020-09-10</v>
      </c>
      <c r="C2329" s="1">
        <v>1.7099</v>
      </c>
      <c r="F2329" s="8">
        <f t="shared" si="108"/>
        <v>32340</v>
      </c>
      <c r="G2329" s="9">
        <f t="shared" si="109"/>
        <v>44084</v>
      </c>
      <c r="H2329" s="10">
        <f t="shared" si="110"/>
        <v>1.7099</v>
      </c>
    </row>
    <row r="2330" spans="1:8" x14ac:dyDescent="0.2">
      <c r="A2330" s="1">
        <v>32400</v>
      </c>
      <c r="B2330" s="1" t="str">
        <v>2020-09-10</v>
      </c>
      <c r="C2330" s="1">
        <v>1.9437</v>
      </c>
      <c r="F2330" s="8">
        <f t="shared" si="108"/>
        <v>32400</v>
      </c>
      <c r="G2330" s="9">
        <f t="shared" si="109"/>
        <v>44084</v>
      </c>
      <c r="H2330" s="10">
        <f t="shared" si="110"/>
        <v>1.9437</v>
      </c>
    </row>
    <row r="2331" spans="1:8" x14ac:dyDescent="0.2">
      <c r="A2331" s="1">
        <v>150</v>
      </c>
      <c r="B2331" s="1" t="str">
        <v>2020-09-10</v>
      </c>
      <c r="C2331" s="1">
        <v>2.0030999999999999</v>
      </c>
      <c r="F2331" s="8">
        <f t="shared" si="108"/>
        <v>150</v>
      </c>
      <c r="G2331" s="9">
        <f t="shared" si="109"/>
        <v>44084</v>
      </c>
      <c r="H2331" s="10">
        <f t="shared" si="110"/>
        <v>2.0030999999999999</v>
      </c>
    </row>
    <row r="2332" spans="1:8" x14ac:dyDescent="0.2">
      <c r="A2332" s="1">
        <v>136</v>
      </c>
      <c r="B2332" s="1" t="str">
        <v>2020-09-10</v>
      </c>
      <c r="C2332" s="1">
        <v>1.8633</v>
      </c>
      <c r="F2332" s="8">
        <f t="shared" si="108"/>
        <v>136</v>
      </c>
      <c r="G2332" s="9">
        <f t="shared" si="109"/>
        <v>44084</v>
      </c>
      <c r="H2332" s="10">
        <f t="shared" si="110"/>
        <v>1.8633</v>
      </c>
    </row>
    <row r="2333" spans="1:8" x14ac:dyDescent="0.2">
      <c r="A2333" s="1">
        <v>147</v>
      </c>
      <c r="B2333" s="1" t="str">
        <v>2020-09-10</v>
      </c>
      <c r="C2333" s="1">
        <v>1.1489</v>
      </c>
      <c r="F2333" s="8">
        <f t="shared" si="108"/>
        <v>147</v>
      </c>
      <c r="G2333" s="9">
        <f t="shared" si="109"/>
        <v>44084</v>
      </c>
      <c r="H2333" s="10">
        <f t="shared" si="110"/>
        <v>1.1489</v>
      </c>
    </row>
    <row r="2334" spans="1:8" x14ac:dyDescent="0.2">
      <c r="A2334" s="1">
        <v>33043</v>
      </c>
      <c r="B2334" s="1" t="str">
        <v>2020-09-10</v>
      </c>
      <c r="C2334" s="1">
        <v>2.0041000000000002</v>
      </c>
      <c r="F2334" s="8">
        <f t="shared" si="108"/>
        <v>33043</v>
      </c>
      <c r="G2334" s="9">
        <f t="shared" si="109"/>
        <v>44084</v>
      </c>
      <c r="H2334" s="10">
        <f t="shared" si="110"/>
        <v>2.0041000000000002</v>
      </c>
    </row>
    <row r="2335" spans="1:8" x14ac:dyDescent="0.2">
      <c r="A2335" s="1">
        <v>32963</v>
      </c>
      <c r="B2335" s="1" t="str">
        <v>2020-09-10</v>
      </c>
      <c r="C2335" s="1">
        <v>1.6086</v>
      </c>
      <c r="F2335" s="8">
        <f t="shared" si="108"/>
        <v>32963</v>
      </c>
      <c r="G2335" s="9">
        <f t="shared" si="109"/>
        <v>44084</v>
      </c>
      <c r="H2335" s="10">
        <f t="shared" si="110"/>
        <v>1.6086</v>
      </c>
    </row>
    <row r="2336" spans="1:8" x14ac:dyDescent="0.2">
      <c r="A2336" s="1">
        <v>94</v>
      </c>
      <c r="B2336" s="1" t="str">
        <v>2020-09-10</v>
      </c>
      <c r="C2336" s="1">
        <v>1.7498</v>
      </c>
      <c r="F2336" s="8">
        <f t="shared" si="108"/>
        <v>94</v>
      </c>
      <c r="G2336" s="9">
        <f t="shared" si="109"/>
        <v>44084</v>
      </c>
      <c r="H2336" s="10">
        <f t="shared" si="110"/>
        <v>1.7498</v>
      </c>
    </row>
    <row r="2337" spans="1:8" x14ac:dyDescent="0.2">
      <c r="A2337" s="1">
        <v>32081</v>
      </c>
      <c r="B2337" s="1" t="str">
        <v>2020-09-10</v>
      </c>
      <c r="C2337" s="1">
        <v>1.7502</v>
      </c>
      <c r="F2337" s="8">
        <f t="shared" si="108"/>
        <v>32081</v>
      </c>
      <c r="G2337" s="9">
        <f t="shared" si="109"/>
        <v>44084</v>
      </c>
      <c r="H2337" s="10">
        <f t="shared" si="110"/>
        <v>1.7502</v>
      </c>
    </row>
    <row r="2338" spans="1:8" x14ac:dyDescent="0.2">
      <c r="A2338" s="1">
        <v>83</v>
      </c>
      <c r="B2338" s="1" t="str">
        <v>2020-09-10</v>
      </c>
      <c r="C2338" s="1">
        <v>1.8827</v>
      </c>
      <c r="F2338" s="8">
        <f t="shared" si="108"/>
        <v>83</v>
      </c>
      <c r="G2338" s="9">
        <f t="shared" si="109"/>
        <v>44084</v>
      </c>
      <c r="H2338" s="10">
        <f t="shared" si="110"/>
        <v>1.8827</v>
      </c>
    </row>
    <row r="2339" spans="1:8" x14ac:dyDescent="0.2">
      <c r="A2339" s="1">
        <v>115</v>
      </c>
      <c r="B2339" s="1" t="str">
        <v>2020-09-10</v>
      </c>
      <c r="C2339" s="1">
        <v>1.9944</v>
      </c>
      <c r="F2339" s="8">
        <f t="shared" si="108"/>
        <v>115</v>
      </c>
      <c r="G2339" s="9">
        <f t="shared" si="109"/>
        <v>44084</v>
      </c>
      <c r="H2339" s="10">
        <f t="shared" si="110"/>
        <v>1.9944</v>
      </c>
    </row>
    <row r="2340" spans="1:8" x14ac:dyDescent="0.2">
      <c r="A2340" s="1">
        <v>250</v>
      </c>
      <c r="B2340" s="1" t="str">
        <v>2020-09-10</v>
      </c>
      <c r="C2340" s="1">
        <v>1.8318000000000001</v>
      </c>
      <c r="F2340" s="8">
        <f t="shared" si="108"/>
        <v>250</v>
      </c>
      <c r="G2340" s="9">
        <f t="shared" si="109"/>
        <v>44084</v>
      </c>
      <c r="H2340" s="10">
        <f t="shared" si="110"/>
        <v>1.8318000000000001</v>
      </c>
    </row>
    <row r="2341" spans="1:8" x14ac:dyDescent="0.2">
      <c r="A2341" s="1">
        <v>176</v>
      </c>
      <c r="B2341" s="1" t="str">
        <v>2020-09-10</v>
      </c>
      <c r="C2341" s="1">
        <v>2.0148000000000001</v>
      </c>
      <c r="F2341" s="8">
        <f t="shared" si="108"/>
        <v>176</v>
      </c>
      <c r="G2341" s="9">
        <f t="shared" si="109"/>
        <v>44084</v>
      </c>
      <c r="H2341" s="10">
        <f t="shared" si="110"/>
        <v>2.0148000000000001</v>
      </c>
    </row>
    <row r="2342" spans="1:8" x14ac:dyDescent="0.2">
      <c r="A2342" s="1">
        <v>32583</v>
      </c>
      <c r="B2342" s="1" t="str">
        <v>2020-09-10</v>
      </c>
      <c r="C2342" s="1">
        <v>1.9029</v>
      </c>
      <c r="F2342" s="8">
        <f t="shared" si="108"/>
        <v>32583</v>
      </c>
      <c r="G2342" s="9">
        <f t="shared" si="109"/>
        <v>44084</v>
      </c>
      <c r="H2342" s="10">
        <f t="shared" si="110"/>
        <v>1.9029</v>
      </c>
    </row>
    <row r="2343" spans="1:8" x14ac:dyDescent="0.2">
      <c r="A2343" s="1">
        <v>32502</v>
      </c>
      <c r="B2343" s="1" t="str">
        <v>2020-09-10</v>
      </c>
      <c r="C2343" s="1">
        <v>1.9234</v>
      </c>
      <c r="F2343" s="8">
        <f t="shared" si="108"/>
        <v>32502</v>
      </c>
      <c r="G2343" s="9">
        <f t="shared" si="109"/>
        <v>44084</v>
      </c>
      <c r="H2343" s="10">
        <f t="shared" si="110"/>
        <v>1.9234</v>
      </c>
    </row>
    <row r="2344" spans="1:8" x14ac:dyDescent="0.2">
      <c r="A2344" s="1">
        <v>175</v>
      </c>
      <c r="B2344" s="1" t="str">
        <v>2020-09-10</v>
      </c>
      <c r="C2344" s="1">
        <v>1.7506999999999999</v>
      </c>
      <c r="F2344" s="8">
        <f t="shared" si="108"/>
        <v>175</v>
      </c>
      <c r="G2344" s="9">
        <f t="shared" si="109"/>
        <v>44084</v>
      </c>
      <c r="H2344" s="10">
        <f t="shared" si="110"/>
        <v>1.7506999999999999</v>
      </c>
    </row>
    <row r="2345" spans="1:8" x14ac:dyDescent="0.2">
      <c r="A2345" s="1">
        <v>24</v>
      </c>
      <c r="B2345" s="1" t="str">
        <v>2020-09-11</v>
      </c>
      <c r="C2345" s="1">
        <v>2.0962000000000001</v>
      </c>
      <c r="F2345" s="8">
        <f t="shared" si="108"/>
        <v>24</v>
      </c>
      <c r="G2345" s="9">
        <f t="shared" si="109"/>
        <v>44085</v>
      </c>
      <c r="H2345" s="10">
        <f t="shared" si="110"/>
        <v>2.0962000000000001</v>
      </c>
    </row>
    <row r="2346" spans="1:8" x14ac:dyDescent="0.2">
      <c r="A2346" s="1">
        <v>191</v>
      </c>
      <c r="B2346" s="1" t="str">
        <v>2020-09-11</v>
      </c>
      <c r="C2346" s="1">
        <v>1.6695</v>
      </c>
      <c r="F2346" s="8">
        <f t="shared" si="108"/>
        <v>191</v>
      </c>
      <c r="G2346" s="9">
        <f t="shared" si="109"/>
        <v>44085</v>
      </c>
      <c r="H2346" s="10">
        <f t="shared" si="110"/>
        <v>1.6695</v>
      </c>
    </row>
    <row r="2347" spans="1:8" x14ac:dyDescent="0.2">
      <c r="A2347" s="1">
        <v>32783</v>
      </c>
      <c r="B2347" s="1" t="str">
        <v>2020-09-11</v>
      </c>
      <c r="C2347" s="1">
        <v>1.9944999999999999</v>
      </c>
      <c r="F2347" s="8">
        <f t="shared" si="108"/>
        <v>32783</v>
      </c>
      <c r="G2347" s="9">
        <f t="shared" si="109"/>
        <v>44085</v>
      </c>
      <c r="H2347" s="10">
        <f t="shared" si="110"/>
        <v>1.9944999999999999</v>
      </c>
    </row>
    <row r="2348" spans="1:8" x14ac:dyDescent="0.2">
      <c r="A2348" s="1">
        <v>32082</v>
      </c>
      <c r="B2348" s="1" t="str">
        <v>2020-09-11</v>
      </c>
      <c r="C2348" s="1">
        <v>1.9637</v>
      </c>
      <c r="F2348" s="8">
        <f t="shared" si="108"/>
        <v>32082</v>
      </c>
      <c r="G2348" s="9">
        <f t="shared" si="109"/>
        <v>44085</v>
      </c>
      <c r="H2348" s="10">
        <f t="shared" si="110"/>
        <v>1.9637</v>
      </c>
    </row>
    <row r="2349" spans="1:8" x14ac:dyDescent="0.2">
      <c r="A2349" s="1">
        <v>13250</v>
      </c>
      <c r="B2349" s="1" t="str">
        <v>2020-09-11</v>
      </c>
      <c r="C2349" s="1">
        <v>1.8927</v>
      </c>
      <c r="F2349" s="8">
        <f t="shared" si="108"/>
        <v>13250</v>
      </c>
      <c r="G2349" s="9">
        <f t="shared" si="109"/>
        <v>44085</v>
      </c>
      <c r="H2349" s="10">
        <f t="shared" si="110"/>
        <v>1.8927</v>
      </c>
    </row>
    <row r="2350" spans="1:8" x14ac:dyDescent="0.2">
      <c r="A2350" s="1">
        <v>32081</v>
      </c>
      <c r="B2350" s="1" t="str">
        <v>2020-09-11</v>
      </c>
      <c r="C2350" s="1">
        <v>1.7502</v>
      </c>
      <c r="F2350" s="8">
        <f t="shared" si="108"/>
        <v>32081</v>
      </c>
      <c r="G2350" s="9">
        <f t="shared" si="109"/>
        <v>44085</v>
      </c>
      <c r="H2350" s="10">
        <f t="shared" si="110"/>
        <v>1.7502</v>
      </c>
    </row>
    <row r="2351" spans="1:8" x14ac:dyDescent="0.2">
      <c r="A2351" s="1">
        <v>16</v>
      </c>
      <c r="B2351" s="1" t="str">
        <v>2020-09-11</v>
      </c>
      <c r="C2351" s="1">
        <v>1.6288</v>
      </c>
      <c r="F2351" s="8">
        <f t="shared" si="108"/>
        <v>16</v>
      </c>
      <c r="G2351" s="9">
        <f t="shared" si="109"/>
        <v>44085</v>
      </c>
      <c r="H2351" s="10">
        <f t="shared" si="110"/>
        <v>1.6288</v>
      </c>
    </row>
    <row r="2352" spans="1:8" x14ac:dyDescent="0.2">
      <c r="A2352" s="1">
        <v>157</v>
      </c>
      <c r="B2352" s="1" t="str">
        <v>2020-09-11</v>
      </c>
      <c r="C2352" s="1">
        <v>1.8624000000000001</v>
      </c>
      <c r="F2352" s="8">
        <f t="shared" si="108"/>
        <v>157</v>
      </c>
      <c r="G2352" s="9">
        <f t="shared" si="109"/>
        <v>44085</v>
      </c>
      <c r="H2352" s="10">
        <f t="shared" si="110"/>
        <v>1.8624000000000001</v>
      </c>
    </row>
    <row r="2353" spans="1:8" x14ac:dyDescent="0.2">
      <c r="A2353" s="1">
        <v>32863</v>
      </c>
      <c r="B2353" s="1" t="str">
        <v>2020-09-11</v>
      </c>
      <c r="C2353" s="1">
        <v>1.8318000000000001</v>
      </c>
      <c r="F2353" s="8">
        <f t="shared" si="108"/>
        <v>32863</v>
      </c>
      <c r="G2353" s="9">
        <f t="shared" si="109"/>
        <v>44085</v>
      </c>
      <c r="H2353" s="10">
        <f t="shared" si="110"/>
        <v>1.8318000000000001</v>
      </c>
    </row>
    <row r="2354" spans="1:8" x14ac:dyDescent="0.2">
      <c r="A2354" s="1">
        <v>32</v>
      </c>
      <c r="B2354" s="1" t="str">
        <v>2020-09-11</v>
      </c>
      <c r="C2354" s="1">
        <v>2.0554999999999999</v>
      </c>
      <c r="F2354" s="8">
        <f t="shared" si="108"/>
        <v>32</v>
      </c>
      <c r="G2354" s="9">
        <f t="shared" si="109"/>
        <v>44085</v>
      </c>
      <c r="H2354" s="10">
        <f t="shared" si="110"/>
        <v>2.0554999999999999</v>
      </c>
    </row>
    <row r="2355" spans="1:8" x14ac:dyDescent="0.2">
      <c r="A2355" s="1">
        <v>24250</v>
      </c>
      <c r="B2355" s="1" t="str">
        <v>2020-09-11</v>
      </c>
      <c r="C2355" s="1">
        <v>1.8927</v>
      </c>
      <c r="F2355" s="8">
        <f t="shared" si="108"/>
        <v>24250</v>
      </c>
      <c r="G2355" s="9">
        <f t="shared" si="109"/>
        <v>44085</v>
      </c>
      <c r="H2355" s="10">
        <f t="shared" si="110"/>
        <v>1.8927</v>
      </c>
    </row>
    <row r="2356" spans="1:8" x14ac:dyDescent="0.2">
      <c r="A2356" s="1">
        <v>67</v>
      </c>
      <c r="B2356" s="1" t="str">
        <v>2020-09-11</v>
      </c>
      <c r="C2356" s="1">
        <v>2.1063000000000001</v>
      </c>
      <c r="F2356" s="8">
        <f t="shared" si="108"/>
        <v>67</v>
      </c>
      <c r="G2356" s="9">
        <f t="shared" si="109"/>
        <v>44085</v>
      </c>
      <c r="H2356" s="10">
        <f t="shared" si="110"/>
        <v>2.1063000000000001</v>
      </c>
    </row>
    <row r="2357" spans="1:8" x14ac:dyDescent="0.2">
      <c r="A2357" s="1">
        <v>32180</v>
      </c>
      <c r="B2357" s="1" t="str">
        <v>2020-09-11</v>
      </c>
      <c r="C2357" s="1">
        <v>2.4102000000000001</v>
      </c>
      <c r="F2357" s="8">
        <f t="shared" si="108"/>
        <v>32180</v>
      </c>
      <c r="G2357" s="9">
        <f t="shared" si="109"/>
        <v>44085</v>
      </c>
      <c r="H2357" s="10">
        <f t="shared" si="110"/>
        <v>2.4102000000000001</v>
      </c>
    </row>
    <row r="2358" spans="1:8" x14ac:dyDescent="0.2">
      <c r="A2358" s="1">
        <v>32401</v>
      </c>
      <c r="B2358" s="1" t="str">
        <v>2020-09-11</v>
      </c>
      <c r="C2358" s="1">
        <v>1.6695</v>
      </c>
      <c r="F2358" s="8">
        <f t="shared" si="108"/>
        <v>32401</v>
      </c>
      <c r="G2358" s="9">
        <f t="shared" si="109"/>
        <v>44085</v>
      </c>
      <c r="H2358" s="10">
        <f t="shared" si="110"/>
        <v>1.6695</v>
      </c>
    </row>
    <row r="2359" spans="1:8" x14ac:dyDescent="0.2">
      <c r="A2359" s="1">
        <v>94</v>
      </c>
      <c r="B2359" s="1" t="str">
        <v>2020-09-11</v>
      </c>
      <c r="C2359" s="1">
        <v>2</v>
      </c>
      <c r="F2359" s="8">
        <f t="shared" si="108"/>
        <v>94</v>
      </c>
      <c r="G2359" s="9">
        <f t="shared" si="109"/>
        <v>44085</v>
      </c>
      <c r="H2359" s="10">
        <f t="shared" si="110"/>
        <v>2</v>
      </c>
    </row>
    <row r="2360" spans="1:8" x14ac:dyDescent="0.2">
      <c r="A2360" s="1">
        <v>115</v>
      </c>
      <c r="B2360" s="1" t="str">
        <v>2020-09-11</v>
      </c>
      <c r="C2360" s="1">
        <v>1.9944</v>
      </c>
      <c r="F2360" s="8">
        <f t="shared" si="108"/>
        <v>115</v>
      </c>
      <c r="G2360" s="9">
        <f t="shared" si="109"/>
        <v>44085</v>
      </c>
      <c r="H2360" s="10">
        <f t="shared" si="110"/>
        <v>1.9944</v>
      </c>
    </row>
    <row r="2361" spans="1:8" x14ac:dyDescent="0.2">
      <c r="A2361" s="1">
        <v>28</v>
      </c>
      <c r="B2361" s="1" t="str">
        <v>2020-09-11</v>
      </c>
      <c r="C2361" s="1">
        <v>1.6897</v>
      </c>
      <c r="F2361" s="8">
        <f t="shared" si="108"/>
        <v>28</v>
      </c>
      <c r="G2361" s="9">
        <f t="shared" si="109"/>
        <v>44085</v>
      </c>
      <c r="H2361" s="10">
        <f t="shared" si="110"/>
        <v>1.6897</v>
      </c>
    </row>
    <row r="2362" spans="1:8" x14ac:dyDescent="0.2">
      <c r="A2362" s="1">
        <v>20</v>
      </c>
      <c r="B2362" s="1" t="str">
        <v>2020-09-11</v>
      </c>
      <c r="C2362" s="1">
        <v>1.9944</v>
      </c>
      <c r="F2362" s="8">
        <f t="shared" si="108"/>
        <v>20</v>
      </c>
      <c r="G2362" s="9">
        <f t="shared" si="109"/>
        <v>44085</v>
      </c>
      <c r="H2362" s="10">
        <f t="shared" si="110"/>
        <v>1.9944</v>
      </c>
    </row>
    <row r="2363" spans="1:8" x14ac:dyDescent="0.2">
      <c r="A2363" s="1">
        <v>137</v>
      </c>
      <c r="B2363" s="1" t="str">
        <v>2020-09-11</v>
      </c>
      <c r="C2363" s="1">
        <v>2.2183000000000002</v>
      </c>
      <c r="F2363" s="8">
        <f t="shared" si="108"/>
        <v>137</v>
      </c>
      <c r="G2363" s="9">
        <f t="shared" si="109"/>
        <v>44085</v>
      </c>
      <c r="H2363" s="10">
        <f t="shared" si="110"/>
        <v>2.2183000000000002</v>
      </c>
    </row>
    <row r="2364" spans="1:8" x14ac:dyDescent="0.2">
      <c r="A2364" s="1">
        <v>32724</v>
      </c>
      <c r="B2364" s="1" t="str">
        <v>2020-09-11</v>
      </c>
      <c r="C2364" s="1">
        <v>1.9741</v>
      </c>
      <c r="F2364" s="8">
        <f t="shared" si="108"/>
        <v>32724</v>
      </c>
      <c r="G2364" s="9">
        <f t="shared" si="109"/>
        <v>44085</v>
      </c>
      <c r="H2364" s="10">
        <f t="shared" si="110"/>
        <v>1.9741</v>
      </c>
    </row>
    <row r="2365" spans="1:8" x14ac:dyDescent="0.2">
      <c r="A2365" s="1">
        <v>161</v>
      </c>
      <c r="B2365" s="1" t="str">
        <v>2020-09-11</v>
      </c>
      <c r="C2365" s="1">
        <v>2.0148000000000001</v>
      </c>
      <c r="F2365" s="8">
        <f t="shared" si="108"/>
        <v>161</v>
      </c>
      <c r="G2365" s="9">
        <f t="shared" si="109"/>
        <v>44085</v>
      </c>
      <c r="H2365" s="10">
        <f t="shared" si="110"/>
        <v>2.0148000000000001</v>
      </c>
    </row>
    <row r="2366" spans="1:8" x14ac:dyDescent="0.2">
      <c r="A2366" s="1">
        <v>33129</v>
      </c>
      <c r="B2366" s="1" t="str">
        <v>2020-09-11</v>
      </c>
      <c r="C2366" s="1">
        <v>2.0348999999999999</v>
      </c>
      <c r="F2366" s="8">
        <f t="shared" si="108"/>
        <v>33129</v>
      </c>
      <c r="G2366" s="9">
        <f t="shared" si="109"/>
        <v>44085</v>
      </c>
      <c r="H2366" s="10">
        <f t="shared" si="110"/>
        <v>2.0348999999999999</v>
      </c>
    </row>
    <row r="2367" spans="1:8" x14ac:dyDescent="0.2">
      <c r="A2367" s="1">
        <v>196</v>
      </c>
      <c r="B2367" s="1" t="str">
        <v>2020-09-11</v>
      </c>
      <c r="C2367" s="1">
        <v>2.0756999999999999</v>
      </c>
      <c r="F2367" s="8">
        <f t="shared" si="108"/>
        <v>196</v>
      </c>
      <c r="G2367" s="9">
        <f t="shared" si="109"/>
        <v>44085</v>
      </c>
      <c r="H2367" s="10">
        <f t="shared" si="110"/>
        <v>2.0756999999999999</v>
      </c>
    </row>
    <row r="2368" spans="1:8" x14ac:dyDescent="0.2">
      <c r="A2368" s="1">
        <v>33083</v>
      </c>
      <c r="B2368" s="1" t="str">
        <v>2020-09-11</v>
      </c>
      <c r="C2368" s="1">
        <v>1.9142999999999999</v>
      </c>
      <c r="F2368" s="8">
        <f t="shared" si="108"/>
        <v>33083</v>
      </c>
      <c r="G2368" s="9">
        <f t="shared" si="109"/>
        <v>44085</v>
      </c>
      <c r="H2368" s="10">
        <f t="shared" si="110"/>
        <v>1.9142999999999999</v>
      </c>
    </row>
    <row r="2369" spans="1:8" x14ac:dyDescent="0.2">
      <c r="A2369" s="1">
        <v>109</v>
      </c>
      <c r="B2369" s="1" t="str">
        <v>2020-09-11</v>
      </c>
      <c r="C2369" s="1">
        <v>2.0962000000000001</v>
      </c>
      <c r="F2369" s="8">
        <f t="shared" si="108"/>
        <v>109</v>
      </c>
      <c r="G2369" s="9">
        <f t="shared" si="109"/>
        <v>44085</v>
      </c>
      <c r="H2369" s="10">
        <f t="shared" si="110"/>
        <v>2.0962000000000001</v>
      </c>
    </row>
    <row r="2370" spans="1:8" x14ac:dyDescent="0.2">
      <c r="A2370" s="1">
        <v>59</v>
      </c>
      <c r="B2370" s="1" t="str">
        <v>2020-09-11</v>
      </c>
      <c r="C2370" s="1">
        <v>1.9335</v>
      </c>
      <c r="F2370" s="8">
        <f t="shared" si="108"/>
        <v>59</v>
      </c>
      <c r="G2370" s="9">
        <f t="shared" si="109"/>
        <v>44085</v>
      </c>
      <c r="H2370" s="10">
        <f t="shared" si="110"/>
        <v>1.9335</v>
      </c>
    </row>
    <row r="2371" spans="1:8" x14ac:dyDescent="0.2">
      <c r="A2371" s="1">
        <v>102</v>
      </c>
      <c r="B2371" s="1" t="str">
        <v>2020-09-11</v>
      </c>
      <c r="C2371" s="1">
        <v>2.0146999999999999</v>
      </c>
      <c r="F2371" s="8">
        <f t="shared" si="108"/>
        <v>102</v>
      </c>
      <c r="G2371" s="9">
        <f t="shared" si="109"/>
        <v>44085</v>
      </c>
      <c r="H2371" s="10">
        <f t="shared" si="110"/>
        <v>2.0146999999999999</v>
      </c>
    </row>
    <row r="2372" spans="1:8" x14ac:dyDescent="0.2">
      <c r="A2372" s="1">
        <v>37</v>
      </c>
      <c r="B2372" s="1" t="str">
        <v>2020-09-11</v>
      </c>
      <c r="C2372" s="1">
        <v>2.0146999999999999</v>
      </c>
      <c r="F2372" s="8">
        <f t="shared" si="108"/>
        <v>37</v>
      </c>
      <c r="G2372" s="9">
        <f t="shared" si="109"/>
        <v>44085</v>
      </c>
      <c r="H2372" s="10">
        <f t="shared" si="110"/>
        <v>2.0146999999999999</v>
      </c>
    </row>
    <row r="2373" spans="1:8" x14ac:dyDescent="0.2">
      <c r="A2373" s="1">
        <v>33183</v>
      </c>
      <c r="B2373" s="1" t="str">
        <v>2020-09-11</v>
      </c>
      <c r="C2373" s="1">
        <v>1.8978999999999999</v>
      </c>
      <c r="F2373" s="8">
        <f t="shared" si="108"/>
        <v>33183</v>
      </c>
      <c r="G2373" s="9">
        <f t="shared" si="109"/>
        <v>44085</v>
      </c>
      <c r="H2373" s="10">
        <f t="shared" si="110"/>
        <v>1.8978999999999999</v>
      </c>
    </row>
    <row r="2374" spans="1:8" x14ac:dyDescent="0.2">
      <c r="A2374" s="1">
        <v>9250</v>
      </c>
      <c r="B2374" s="1" t="str">
        <v>2020-09-11</v>
      </c>
      <c r="C2374" s="1">
        <v>2.0453000000000001</v>
      </c>
      <c r="F2374" s="8">
        <f t="shared" si="108"/>
        <v>9250</v>
      </c>
      <c r="G2374" s="9">
        <f t="shared" si="109"/>
        <v>44085</v>
      </c>
      <c r="H2374" s="10">
        <f t="shared" si="110"/>
        <v>2.0453000000000001</v>
      </c>
    </row>
    <row r="2375" spans="1:8" x14ac:dyDescent="0.2">
      <c r="A2375" s="1">
        <v>32200</v>
      </c>
      <c r="B2375" s="1" t="str">
        <v>2020-09-11</v>
      </c>
      <c r="C2375" s="1">
        <v>1.6188</v>
      </c>
      <c r="F2375" s="8">
        <f t="shared" si="108"/>
        <v>32200</v>
      </c>
      <c r="G2375" s="9">
        <f t="shared" si="109"/>
        <v>44085</v>
      </c>
      <c r="H2375" s="10">
        <f t="shared" si="110"/>
        <v>1.6188</v>
      </c>
    </row>
    <row r="2376" spans="1:8" x14ac:dyDescent="0.2">
      <c r="A2376" s="1">
        <v>23250</v>
      </c>
      <c r="B2376" s="1" t="str">
        <v>2020-09-11</v>
      </c>
      <c r="C2376" s="1">
        <v>1.8522000000000001</v>
      </c>
      <c r="F2376" s="8">
        <f t="shared" si="108"/>
        <v>23250</v>
      </c>
      <c r="G2376" s="9">
        <f t="shared" si="109"/>
        <v>44085</v>
      </c>
      <c r="H2376" s="10">
        <f t="shared" si="110"/>
        <v>1.8522000000000001</v>
      </c>
    </row>
    <row r="2377" spans="1:8" x14ac:dyDescent="0.2">
      <c r="A2377" s="1">
        <v>32983</v>
      </c>
      <c r="B2377" s="1" t="str">
        <v>2020-09-11</v>
      </c>
      <c r="C2377" s="1">
        <v>1.8421000000000001</v>
      </c>
      <c r="F2377" s="8">
        <f t="shared" ref="F2377:F2440" si="111">A2377</f>
        <v>32983</v>
      </c>
      <c r="G2377" s="9">
        <f t="shared" ref="G2377:G2440" si="112">DATE(LEFT(B2377,4),MID(B2377,6,2),RIGHT(B2377,2))</f>
        <v>44085</v>
      </c>
      <c r="H2377" s="10">
        <f t="shared" ref="H2377:H2440" si="113">C2377</f>
        <v>1.8421000000000001</v>
      </c>
    </row>
    <row r="2378" spans="1:8" x14ac:dyDescent="0.2">
      <c r="A2378" s="1">
        <v>30250</v>
      </c>
      <c r="B2378" s="1" t="str">
        <v>2020-09-11</v>
      </c>
      <c r="C2378" s="1">
        <v>2.0143</v>
      </c>
      <c r="F2378" s="8">
        <f t="shared" si="111"/>
        <v>30250</v>
      </c>
      <c r="G2378" s="9">
        <f t="shared" si="112"/>
        <v>44085</v>
      </c>
      <c r="H2378" s="10">
        <f t="shared" si="113"/>
        <v>2.0143</v>
      </c>
    </row>
    <row r="2379" spans="1:8" x14ac:dyDescent="0.2">
      <c r="A2379" s="1">
        <v>32260</v>
      </c>
      <c r="B2379" s="1" t="str">
        <v>2020-09-11</v>
      </c>
      <c r="C2379" s="1">
        <v>1.9944</v>
      </c>
      <c r="F2379" s="8">
        <f t="shared" si="111"/>
        <v>32260</v>
      </c>
      <c r="G2379" s="9">
        <f t="shared" si="112"/>
        <v>44085</v>
      </c>
      <c r="H2379" s="10">
        <f t="shared" si="113"/>
        <v>1.9944</v>
      </c>
    </row>
    <row r="2380" spans="1:8" x14ac:dyDescent="0.2">
      <c r="A2380" s="1">
        <v>81</v>
      </c>
      <c r="B2380" s="1" t="str">
        <v>2020-09-11</v>
      </c>
      <c r="C2380" s="1">
        <v>1.9943</v>
      </c>
      <c r="F2380" s="8">
        <f t="shared" si="111"/>
        <v>81</v>
      </c>
      <c r="G2380" s="9">
        <f t="shared" si="112"/>
        <v>44085</v>
      </c>
      <c r="H2380" s="10">
        <f t="shared" si="113"/>
        <v>1.9943</v>
      </c>
    </row>
    <row r="2381" spans="1:8" x14ac:dyDescent="0.2">
      <c r="A2381" s="1">
        <v>34</v>
      </c>
      <c r="B2381" s="1" t="str">
        <v>2020-09-11</v>
      </c>
      <c r="C2381" s="1">
        <v>1.9436</v>
      </c>
      <c r="F2381" s="8">
        <f t="shared" si="111"/>
        <v>34</v>
      </c>
      <c r="G2381" s="9">
        <f t="shared" si="112"/>
        <v>44085</v>
      </c>
      <c r="H2381" s="10">
        <f t="shared" si="113"/>
        <v>1.9436</v>
      </c>
    </row>
    <row r="2382" spans="1:8" x14ac:dyDescent="0.2">
      <c r="A2382" s="1">
        <v>31</v>
      </c>
      <c r="B2382" s="1" t="str">
        <v>2020-09-11</v>
      </c>
      <c r="C2382" s="1">
        <v>1.9233</v>
      </c>
      <c r="F2382" s="8">
        <f t="shared" si="111"/>
        <v>31</v>
      </c>
      <c r="G2382" s="9">
        <f t="shared" si="112"/>
        <v>44085</v>
      </c>
      <c r="H2382" s="10">
        <f t="shared" si="113"/>
        <v>1.9233</v>
      </c>
    </row>
    <row r="2383" spans="1:8" x14ac:dyDescent="0.2">
      <c r="A2383" s="1">
        <v>32803</v>
      </c>
      <c r="B2383" s="1" t="str">
        <v>2020-09-11</v>
      </c>
      <c r="C2383" s="1">
        <v>2.1572</v>
      </c>
      <c r="F2383" s="8">
        <f t="shared" si="111"/>
        <v>32803</v>
      </c>
      <c r="G2383" s="9">
        <f t="shared" si="112"/>
        <v>44085</v>
      </c>
      <c r="H2383" s="10">
        <f t="shared" si="113"/>
        <v>2.1572</v>
      </c>
    </row>
    <row r="2384" spans="1:8" x14ac:dyDescent="0.2">
      <c r="A2384" s="1">
        <v>101</v>
      </c>
      <c r="B2384" s="1" t="str">
        <v>2020-09-11</v>
      </c>
      <c r="C2384" s="1">
        <v>1.8521000000000001</v>
      </c>
      <c r="F2384" s="8">
        <f t="shared" si="111"/>
        <v>101</v>
      </c>
      <c r="G2384" s="9">
        <f t="shared" si="112"/>
        <v>44085</v>
      </c>
      <c r="H2384" s="10">
        <f t="shared" si="113"/>
        <v>1.8521000000000001</v>
      </c>
    </row>
    <row r="2385" spans="1:8" x14ac:dyDescent="0.2">
      <c r="A2385" s="1">
        <v>32121</v>
      </c>
      <c r="B2385" s="1" t="str">
        <v>2020-09-11</v>
      </c>
      <c r="C2385" s="1">
        <v>2.4116</v>
      </c>
      <c r="F2385" s="8">
        <f t="shared" si="111"/>
        <v>32121</v>
      </c>
      <c r="G2385" s="9">
        <f t="shared" si="112"/>
        <v>44085</v>
      </c>
      <c r="H2385" s="10">
        <f t="shared" si="113"/>
        <v>2.4116</v>
      </c>
    </row>
    <row r="2386" spans="1:8" x14ac:dyDescent="0.2">
      <c r="A2386" s="1">
        <v>110</v>
      </c>
      <c r="B2386" s="1" t="str">
        <v>2020-09-11</v>
      </c>
      <c r="C2386" s="1">
        <v>2.0554999999999999</v>
      </c>
      <c r="F2386" s="8">
        <f t="shared" si="111"/>
        <v>110</v>
      </c>
      <c r="G2386" s="9">
        <f t="shared" si="112"/>
        <v>44085</v>
      </c>
      <c r="H2386" s="10">
        <f t="shared" si="113"/>
        <v>2.0554999999999999</v>
      </c>
    </row>
    <row r="2387" spans="1:8" x14ac:dyDescent="0.2">
      <c r="A2387" s="1">
        <v>32360</v>
      </c>
      <c r="B2387" s="1" t="str">
        <v>2020-09-11</v>
      </c>
      <c r="C2387" s="1">
        <v>1.964</v>
      </c>
      <c r="F2387" s="8">
        <f t="shared" si="111"/>
        <v>32360</v>
      </c>
      <c r="G2387" s="9">
        <f t="shared" si="112"/>
        <v>44085</v>
      </c>
      <c r="H2387" s="10">
        <f t="shared" si="113"/>
        <v>1.964</v>
      </c>
    </row>
    <row r="2388" spans="1:8" x14ac:dyDescent="0.2">
      <c r="A2388" s="1">
        <v>49</v>
      </c>
      <c r="B2388" s="1" t="str">
        <v>2020-09-11</v>
      </c>
      <c r="C2388" s="1">
        <v>1.8927</v>
      </c>
      <c r="F2388" s="8">
        <f t="shared" si="111"/>
        <v>49</v>
      </c>
      <c r="G2388" s="9">
        <f t="shared" si="112"/>
        <v>44085</v>
      </c>
      <c r="H2388" s="10">
        <f t="shared" si="113"/>
        <v>1.8927</v>
      </c>
    </row>
    <row r="2389" spans="1:8" x14ac:dyDescent="0.2">
      <c r="A2389" s="1">
        <v>30400</v>
      </c>
      <c r="B2389" s="1" t="str">
        <v>2020-09-11</v>
      </c>
      <c r="C2389" s="1">
        <v>2.0247000000000002</v>
      </c>
      <c r="F2389" s="8">
        <f t="shared" si="111"/>
        <v>30400</v>
      </c>
      <c r="G2389" s="9">
        <f t="shared" si="112"/>
        <v>44085</v>
      </c>
      <c r="H2389" s="10">
        <f t="shared" si="113"/>
        <v>2.0247000000000002</v>
      </c>
    </row>
    <row r="2390" spans="1:8" x14ac:dyDescent="0.2">
      <c r="A2390" s="1">
        <v>10</v>
      </c>
      <c r="B2390" s="1" t="str">
        <v>2020-09-11</v>
      </c>
      <c r="C2390" s="1">
        <v>2.0962000000000001</v>
      </c>
      <c r="F2390" s="8">
        <f t="shared" si="111"/>
        <v>10</v>
      </c>
      <c r="G2390" s="9">
        <f t="shared" si="112"/>
        <v>44085</v>
      </c>
      <c r="H2390" s="10">
        <f t="shared" si="113"/>
        <v>2.0962000000000001</v>
      </c>
    </row>
    <row r="2391" spans="1:8" x14ac:dyDescent="0.2">
      <c r="A2391" s="1">
        <v>72</v>
      </c>
      <c r="B2391" s="1" t="str">
        <v>2020-09-11</v>
      </c>
      <c r="C2391" s="1">
        <v>2.0045999999999999</v>
      </c>
      <c r="F2391" s="8">
        <f t="shared" si="111"/>
        <v>72</v>
      </c>
      <c r="G2391" s="9">
        <f t="shared" si="112"/>
        <v>44085</v>
      </c>
      <c r="H2391" s="10">
        <f t="shared" si="113"/>
        <v>2.0045999999999999</v>
      </c>
    </row>
    <row r="2392" spans="1:8" x14ac:dyDescent="0.2">
      <c r="A2392" s="1">
        <v>146</v>
      </c>
      <c r="B2392" s="1" t="str">
        <v>2020-09-11</v>
      </c>
      <c r="C2392" s="1">
        <v>1.9537</v>
      </c>
      <c r="F2392" s="8">
        <f t="shared" si="111"/>
        <v>146</v>
      </c>
      <c r="G2392" s="9">
        <f t="shared" si="112"/>
        <v>44085</v>
      </c>
      <c r="H2392" s="10">
        <f t="shared" si="113"/>
        <v>1.9537</v>
      </c>
    </row>
    <row r="2393" spans="1:8" x14ac:dyDescent="0.2">
      <c r="A2393" s="1">
        <v>139</v>
      </c>
      <c r="B2393" s="1" t="str">
        <v>2020-09-11</v>
      </c>
      <c r="C2393" s="1">
        <v>1.903</v>
      </c>
      <c r="F2393" s="8">
        <f t="shared" si="111"/>
        <v>139</v>
      </c>
      <c r="G2393" s="9">
        <f t="shared" si="112"/>
        <v>44085</v>
      </c>
      <c r="H2393" s="10">
        <f t="shared" si="113"/>
        <v>1.903</v>
      </c>
    </row>
    <row r="2394" spans="1:8" x14ac:dyDescent="0.2">
      <c r="A2394" s="1">
        <v>77</v>
      </c>
      <c r="B2394" s="1" t="str">
        <v>2020-09-11</v>
      </c>
      <c r="C2394" s="1">
        <v>2.198</v>
      </c>
      <c r="F2394" s="8">
        <f t="shared" si="111"/>
        <v>77</v>
      </c>
      <c r="G2394" s="9">
        <f t="shared" si="112"/>
        <v>44085</v>
      </c>
      <c r="H2394" s="10">
        <f t="shared" si="113"/>
        <v>2.198</v>
      </c>
    </row>
    <row r="2395" spans="1:8" x14ac:dyDescent="0.2">
      <c r="A2395" s="1">
        <v>187</v>
      </c>
      <c r="B2395" s="1" t="str">
        <v>2020-09-11</v>
      </c>
      <c r="C2395" s="1">
        <v>1.8825000000000001</v>
      </c>
      <c r="F2395" s="8">
        <f t="shared" si="111"/>
        <v>187</v>
      </c>
      <c r="G2395" s="9">
        <f t="shared" si="112"/>
        <v>44085</v>
      </c>
      <c r="H2395" s="10">
        <f t="shared" si="113"/>
        <v>1.8825000000000001</v>
      </c>
    </row>
    <row r="2396" spans="1:8" x14ac:dyDescent="0.2">
      <c r="A2396" s="1">
        <v>181</v>
      </c>
      <c r="B2396" s="1" t="str">
        <v>2020-09-11</v>
      </c>
      <c r="C2396" s="1">
        <v>1.9026000000000001</v>
      </c>
      <c r="F2396" s="8">
        <f t="shared" si="111"/>
        <v>181</v>
      </c>
      <c r="G2396" s="9">
        <f t="shared" si="112"/>
        <v>44085</v>
      </c>
      <c r="H2396" s="10">
        <f t="shared" si="113"/>
        <v>1.9026000000000001</v>
      </c>
    </row>
    <row r="2397" spans="1:8" x14ac:dyDescent="0.2">
      <c r="A2397" s="1">
        <v>32340</v>
      </c>
      <c r="B2397" s="1" t="str">
        <v>2020-09-11</v>
      </c>
      <c r="C2397" s="1">
        <v>1.8194999999999999</v>
      </c>
      <c r="F2397" s="8">
        <f t="shared" si="111"/>
        <v>32340</v>
      </c>
      <c r="G2397" s="9">
        <f t="shared" si="112"/>
        <v>44085</v>
      </c>
      <c r="H2397" s="10">
        <f t="shared" si="113"/>
        <v>1.8194999999999999</v>
      </c>
    </row>
    <row r="2398" spans="1:8" x14ac:dyDescent="0.2">
      <c r="A2398" s="1">
        <v>90</v>
      </c>
      <c r="B2398" s="1" t="str">
        <v>2020-09-11</v>
      </c>
      <c r="C2398" s="1">
        <v>2.1265999999999998</v>
      </c>
      <c r="F2398" s="8">
        <f t="shared" si="111"/>
        <v>90</v>
      </c>
      <c r="G2398" s="9">
        <f t="shared" si="112"/>
        <v>44085</v>
      </c>
      <c r="H2398" s="10">
        <f t="shared" si="113"/>
        <v>2.1265999999999998</v>
      </c>
    </row>
    <row r="2399" spans="1:8" x14ac:dyDescent="0.2">
      <c r="A2399" s="1">
        <v>1</v>
      </c>
      <c r="B2399" s="1" t="str">
        <v>2020-09-11</v>
      </c>
      <c r="C2399" s="1">
        <v>1.8317000000000001</v>
      </c>
      <c r="F2399" s="8">
        <f t="shared" si="111"/>
        <v>1</v>
      </c>
      <c r="G2399" s="9">
        <f t="shared" si="112"/>
        <v>44085</v>
      </c>
      <c r="H2399" s="10">
        <f t="shared" si="113"/>
        <v>1.8317000000000001</v>
      </c>
    </row>
    <row r="2400" spans="1:8" x14ac:dyDescent="0.2">
      <c r="A2400" s="1">
        <v>78</v>
      </c>
      <c r="B2400" s="1" t="str">
        <v>2020-09-11</v>
      </c>
      <c r="C2400" s="1">
        <v>2.0758000000000001</v>
      </c>
      <c r="F2400" s="8">
        <f t="shared" si="111"/>
        <v>78</v>
      </c>
      <c r="G2400" s="9">
        <f t="shared" si="112"/>
        <v>44085</v>
      </c>
      <c r="H2400" s="10">
        <f t="shared" si="113"/>
        <v>2.0758000000000001</v>
      </c>
    </row>
    <row r="2401" spans="1:8" x14ac:dyDescent="0.2">
      <c r="A2401" s="1">
        <v>33130</v>
      </c>
      <c r="B2401" s="1" t="str">
        <v>2020-09-11</v>
      </c>
      <c r="C2401" s="1">
        <v>1.9334</v>
      </c>
      <c r="F2401" s="8">
        <f t="shared" si="111"/>
        <v>33130</v>
      </c>
      <c r="G2401" s="9">
        <f t="shared" si="112"/>
        <v>44085</v>
      </c>
      <c r="H2401" s="10">
        <f t="shared" si="113"/>
        <v>1.9334</v>
      </c>
    </row>
    <row r="2402" spans="1:8" x14ac:dyDescent="0.2">
      <c r="A2402" s="1">
        <v>30300</v>
      </c>
      <c r="B2402" s="1" t="str">
        <v>2020-09-11</v>
      </c>
      <c r="C2402" s="1">
        <v>1.9437</v>
      </c>
      <c r="F2402" s="8">
        <f t="shared" si="111"/>
        <v>30300</v>
      </c>
      <c r="G2402" s="9">
        <f t="shared" si="112"/>
        <v>44085</v>
      </c>
      <c r="H2402" s="10">
        <f t="shared" si="113"/>
        <v>1.9437</v>
      </c>
    </row>
    <row r="2403" spans="1:8" x14ac:dyDescent="0.2">
      <c r="A2403" s="1">
        <v>133</v>
      </c>
      <c r="B2403" s="1" t="str">
        <v>2020-09-11</v>
      </c>
      <c r="C2403" s="1">
        <v>1.9538</v>
      </c>
      <c r="F2403" s="8">
        <f t="shared" si="111"/>
        <v>133</v>
      </c>
      <c r="G2403" s="9">
        <f t="shared" si="112"/>
        <v>44085</v>
      </c>
      <c r="H2403" s="10">
        <f t="shared" si="113"/>
        <v>1.9538</v>
      </c>
    </row>
    <row r="2404" spans="1:8" x14ac:dyDescent="0.2">
      <c r="A2404" s="1">
        <v>2250</v>
      </c>
      <c r="B2404" s="1" t="str">
        <v>2020-09-11</v>
      </c>
      <c r="C2404" s="1">
        <v>1.6087</v>
      </c>
      <c r="F2404" s="8">
        <f t="shared" si="111"/>
        <v>2250</v>
      </c>
      <c r="G2404" s="9">
        <f t="shared" si="112"/>
        <v>44085</v>
      </c>
      <c r="H2404" s="10">
        <f t="shared" si="113"/>
        <v>1.6087</v>
      </c>
    </row>
    <row r="2405" spans="1:8" x14ac:dyDescent="0.2">
      <c r="A2405" s="1">
        <v>33125</v>
      </c>
      <c r="B2405" s="1" t="str">
        <v>2020-09-11</v>
      </c>
      <c r="C2405" s="1">
        <v>1.9233</v>
      </c>
      <c r="F2405" s="8">
        <f t="shared" si="111"/>
        <v>33125</v>
      </c>
      <c r="G2405" s="9">
        <f t="shared" si="112"/>
        <v>44085</v>
      </c>
      <c r="H2405" s="10">
        <f t="shared" si="113"/>
        <v>1.9233</v>
      </c>
    </row>
    <row r="2406" spans="1:8" x14ac:dyDescent="0.2">
      <c r="A2406" s="1">
        <v>32420</v>
      </c>
      <c r="B2406" s="1" t="str">
        <v>2020-09-11</v>
      </c>
      <c r="C2406" s="1">
        <v>1.9514</v>
      </c>
      <c r="F2406" s="8">
        <f t="shared" si="111"/>
        <v>32420</v>
      </c>
      <c r="G2406" s="9">
        <f t="shared" si="112"/>
        <v>44085</v>
      </c>
      <c r="H2406" s="10">
        <f t="shared" si="113"/>
        <v>1.9514</v>
      </c>
    </row>
    <row r="2407" spans="1:8" x14ac:dyDescent="0.2">
      <c r="A2407" s="1">
        <v>32360</v>
      </c>
      <c r="B2407" s="1" t="str">
        <v>2020-09-14</v>
      </c>
      <c r="C2407" s="1">
        <v>1.964</v>
      </c>
      <c r="F2407" s="8">
        <f t="shared" si="111"/>
        <v>32360</v>
      </c>
      <c r="G2407" s="9">
        <f t="shared" si="112"/>
        <v>44088</v>
      </c>
      <c r="H2407" s="10">
        <f t="shared" si="113"/>
        <v>1.964</v>
      </c>
    </row>
    <row r="2408" spans="1:8" x14ac:dyDescent="0.2">
      <c r="A2408" s="1">
        <v>33130</v>
      </c>
      <c r="B2408" s="1" t="str">
        <v>2020-09-14</v>
      </c>
      <c r="C2408" s="1">
        <v>1.9435</v>
      </c>
      <c r="F2408" s="8">
        <f t="shared" si="111"/>
        <v>33130</v>
      </c>
      <c r="G2408" s="9">
        <f t="shared" si="112"/>
        <v>44088</v>
      </c>
      <c r="H2408" s="10">
        <f t="shared" si="113"/>
        <v>1.9435</v>
      </c>
    </row>
    <row r="2409" spans="1:8" x14ac:dyDescent="0.2">
      <c r="A2409" s="1">
        <v>53</v>
      </c>
      <c r="B2409" s="1" t="str">
        <v>2020-09-14</v>
      </c>
      <c r="C2409" s="1">
        <v>2.1873</v>
      </c>
      <c r="F2409" s="8">
        <f t="shared" si="111"/>
        <v>53</v>
      </c>
      <c r="G2409" s="9">
        <f t="shared" si="112"/>
        <v>44088</v>
      </c>
      <c r="H2409" s="10">
        <f t="shared" si="113"/>
        <v>2.1873</v>
      </c>
    </row>
    <row r="2410" spans="1:8" x14ac:dyDescent="0.2">
      <c r="A2410" s="1">
        <v>32603</v>
      </c>
      <c r="B2410" s="1" t="str">
        <v>2020-09-14</v>
      </c>
      <c r="C2410" s="1">
        <v>1.8317000000000001</v>
      </c>
      <c r="F2410" s="8">
        <f t="shared" si="111"/>
        <v>32603</v>
      </c>
      <c r="G2410" s="9">
        <f t="shared" si="112"/>
        <v>44088</v>
      </c>
      <c r="H2410" s="10">
        <f t="shared" si="113"/>
        <v>1.8317000000000001</v>
      </c>
    </row>
    <row r="2411" spans="1:8" x14ac:dyDescent="0.2">
      <c r="A2411" s="1">
        <v>34</v>
      </c>
      <c r="B2411" s="1" t="str">
        <v>2020-09-14</v>
      </c>
      <c r="C2411" s="1">
        <v>1.9436</v>
      </c>
      <c r="F2411" s="8">
        <f t="shared" si="111"/>
        <v>34</v>
      </c>
      <c r="G2411" s="9">
        <f t="shared" si="112"/>
        <v>44088</v>
      </c>
      <c r="H2411" s="10">
        <f t="shared" si="113"/>
        <v>1.9436</v>
      </c>
    </row>
    <row r="2412" spans="1:8" x14ac:dyDescent="0.2">
      <c r="A2412" s="1">
        <v>31</v>
      </c>
      <c r="B2412" s="1" t="str">
        <v>2020-09-14</v>
      </c>
      <c r="C2412" s="1">
        <v>1.9233</v>
      </c>
      <c r="F2412" s="8">
        <f t="shared" si="111"/>
        <v>31</v>
      </c>
      <c r="G2412" s="9">
        <f t="shared" si="112"/>
        <v>44088</v>
      </c>
      <c r="H2412" s="10">
        <f t="shared" si="113"/>
        <v>1.9233</v>
      </c>
    </row>
    <row r="2413" spans="1:8" x14ac:dyDescent="0.2">
      <c r="A2413" s="1">
        <v>33143</v>
      </c>
      <c r="B2413" s="1" t="str">
        <v>2020-09-14</v>
      </c>
      <c r="C2413" s="1">
        <v>1.9</v>
      </c>
      <c r="F2413" s="8">
        <f t="shared" si="111"/>
        <v>33143</v>
      </c>
      <c r="G2413" s="9">
        <f t="shared" si="112"/>
        <v>44088</v>
      </c>
      <c r="H2413" s="10">
        <f t="shared" si="113"/>
        <v>1.9</v>
      </c>
    </row>
    <row r="2414" spans="1:8" x14ac:dyDescent="0.2">
      <c r="A2414" s="1">
        <v>33023</v>
      </c>
      <c r="B2414" s="1" t="str">
        <v>2020-09-14</v>
      </c>
      <c r="C2414" s="1">
        <v>1.8319000000000001</v>
      </c>
      <c r="F2414" s="8">
        <f t="shared" si="111"/>
        <v>33023</v>
      </c>
      <c r="G2414" s="9">
        <f t="shared" si="112"/>
        <v>44088</v>
      </c>
      <c r="H2414" s="10">
        <f t="shared" si="113"/>
        <v>1.8319000000000001</v>
      </c>
    </row>
    <row r="2415" spans="1:8" x14ac:dyDescent="0.2">
      <c r="A2415" s="1">
        <v>178</v>
      </c>
      <c r="B2415" s="1" t="str">
        <v>2020-09-14</v>
      </c>
      <c r="C2415" s="1">
        <v>2.1335999999999999</v>
      </c>
      <c r="F2415" s="8">
        <f t="shared" si="111"/>
        <v>178</v>
      </c>
      <c r="G2415" s="9">
        <f t="shared" si="112"/>
        <v>44088</v>
      </c>
      <c r="H2415" s="10">
        <f t="shared" si="113"/>
        <v>2.1335999999999999</v>
      </c>
    </row>
    <row r="2416" spans="1:8" x14ac:dyDescent="0.2">
      <c r="A2416" s="1">
        <v>8</v>
      </c>
      <c r="B2416" s="1" t="str">
        <v>2020-09-15</v>
      </c>
      <c r="C2416" s="1">
        <v>1.8827</v>
      </c>
      <c r="F2416" s="8">
        <f t="shared" si="111"/>
        <v>8</v>
      </c>
      <c r="G2416" s="9">
        <f t="shared" si="112"/>
        <v>44089</v>
      </c>
      <c r="H2416" s="10">
        <f t="shared" si="113"/>
        <v>1.8827</v>
      </c>
    </row>
    <row r="2417" spans="1:8" x14ac:dyDescent="0.2">
      <c r="A2417" s="1">
        <v>32480</v>
      </c>
      <c r="B2417" s="1" t="str">
        <v>2020-09-15</v>
      </c>
      <c r="C2417" s="1">
        <v>1.8522000000000001</v>
      </c>
      <c r="F2417" s="8">
        <f t="shared" si="111"/>
        <v>32480</v>
      </c>
      <c r="G2417" s="9">
        <f t="shared" si="112"/>
        <v>44089</v>
      </c>
      <c r="H2417" s="10">
        <f t="shared" si="113"/>
        <v>1.8522000000000001</v>
      </c>
    </row>
    <row r="2418" spans="1:8" x14ac:dyDescent="0.2">
      <c r="A2418" s="1">
        <v>32380</v>
      </c>
      <c r="B2418" s="1" t="str">
        <v>2020-09-15</v>
      </c>
      <c r="C2418" s="1">
        <v>2.1570999999999998</v>
      </c>
      <c r="F2418" s="8">
        <f t="shared" si="111"/>
        <v>32380</v>
      </c>
      <c r="G2418" s="9">
        <f t="shared" si="112"/>
        <v>44089</v>
      </c>
      <c r="H2418" s="10">
        <f t="shared" si="113"/>
        <v>2.1570999999999998</v>
      </c>
    </row>
    <row r="2419" spans="1:8" x14ac:dyDescent="0.2">
      <c r="A2419" s="1">
        <v>32421</v>
      </c>
      <c r="B2419" s="1" t="str">
        <v>2020-09-16</v>
      </c>
      <c r="C2419" s="1">
        <v>1.9419999999999999</v>
      </c>
      <c r="F2419" s="8">
        <f t="shared" si="111"/>
        <v>32421</v>
      </c>
      <c r="G2419" s="9">
        <f t="shared" si="112"/>
        <v>44090</v>
      </c>
      <c r="H2419" s="10">
        <f t="shared" si="113"/>
        <v>1.9419999999999999</v>
      </c>
    </row>
    <row r="2420" spans="1:8" x14ac:dyDescent="0.2">
      <c r="A2420" s="1">
        <v>1</v>
      </c>
      <c r="B2420" s="1" t="str">
        <v>2020-09-16</v>
      </c>
      <c r="C2420" s="1">
        <v>1.8419000000000001</v>
      </c>
      <c r="F2420" s="8">
        <f t="shared" si="111"/>
        <v>1</v>
      </c>
      <c r="G2420" s="9">
        <f t="shared" si="112"/>
        <v>44090</v>
      </c>
      <c r="H2420" s="10">
        <f t="shared" si="113"/>
        <v>1.8419000000000001</v>
      </c>
    </row>
    <row r="2421" spans="1:8" x14ac:dyDescent="0.2">
      <c r="A2421" s="1">
        <v>34</v>
      </c>
      <c r="B2421" s="1" t="str">
        <v>2020-09-16</v>
      </c>
      <c r="C2421" s="1">
        <v>1.9436</v>
      </c>
      <c r="F2421" s="8">
        <f t="shared" si="111"/>
        <v>34</v>
      </c>
      <c r="G2421" s="9">
        <f t="shared" si="112"/>
        <v>44090</v>
      </c>
      <c r="H2421" s="10">
        <f t="shared" si="113"/>
        <v>1.9436</v>
      </c>
    </row>
    <row r="2422" spans="1:8" x14ac:dyDescent="0.2">
      <c r="A2422" s="1">
        <v>55</v>
      </c>
      <c r="B2422" s="1" t="str">
        <v>2020-09-17</v>
      </c>
      <c r="C2422" s="1">
        <v>2.0045000000000002</v>
      </c>
      <c r="F2422" s="8">
        <f t="shared" si="111"/>
        <v>55</v>
      </c>
      <c r="G2422" s="9">
        <f t="shared" si="112"/>
        <v>44091</v>
      </c>
      <c r="H2422" s="10">
        <f t="shared" si="113"/>
        <v>2.0045000000000002</v>
      </c>
    </row>
    <row r="2423" spans="1:8" x14ac:dyDescent="0.2">
      <c r="A2423" s="1">
        <v>32400</v>
      </c>
      <c r="B2423" s="1" t="str">
        <v>2020-09-17</v>
      </c>
      <c r="C2423" s="1">
        <v>2.1469999999999998</v>
      </c>
      <c r="F2423" s="8">
        <f t="shared" si="111"/>
        <v>32400</v>
      </c>
      <c r="G2423" s="9">
        <f t="shared" si="112"/>
        <v>44091</v>
      </c>
      <c r="H2423" s="10">
        <f t="shared" si="113"/>
        <v>2.1469999999999998</v>
      </c>
    </row>
    <row r="2424" spans="1:8" x14ac:dyDescent="0.2">
      <c r="A2424" s="1">
        <v>32863</v>
      </c>
      <c r="B2424" s="1" t="str">
        <v>2020-09-18</v>
      </c>
      <c r="C2424" s="1">
        <v>1.8318000000000001</v>
      </c>
      <c r="F2424" s="8">
        <f t="shared" si="111"/>
        <v>32863</v>
      </c>
      <c r="G2424" s="9">
        <f t="shared" si="112"/>
        <v>44092</v>
      </c>
      <c r="H2424" s="10">
        <f t="shared" si="113"/>
        <v>1.8318000000000001</v>
      </c>
    </row>
    <row r="2425" spans="1:8" x14ac:dyDescent="0.2">
      <c r="A2425" s="1">
        <v>32724</v>
      </c>
      <c r="B2425" s="1" t="str">
        <v>2020-09-18</v>
      </c>
      <c r="C2425" s="1">
        <v>2.0350000000000001</v>
      </c>
      <c r="F2425" s="8">
        <f t="shared" si="111"/>
        <v>32724</v>
      </c>
      <c r="G2425" s="9">
        <f t="shared" si="112"/>
        <v>44092</v>
      </c>
      <c r="H2425" s="10">
        <f t="shared" si="113"/>
        <v>2.0350000000000001</v>
      </c>
    </row>
    <row r="2426" spans="1:8" x14ac:dyDescent="0.2">
      <c r="A2426" s="1">
        <v>32081</v>
      </c>
      <c r="B2426" s="1" t="str">
        <v>2020-09-18</v>
      </c>
      <c r="C2426" s="1">
        <v>2.0651999999999999</v>
      </c>
      <c r="F2426" s="8">
        <f t="shared" si="111"/>
        <v>32081</v>
      </c>
      <c r="G2426" s="9">
        <f t="shared" si="112"/>
        <v>44092</v>
      </c>
      <c r="H2426" s="10">
        <f t="shared" si="113"/>
        <v>2.0651999999999999</v>
      </c>
    </row>
    <row r="2427" spans="1:8" x14ac:dyDescent="0.2">
      <c r="A2427" s="1">
        <v>33129</v>
      </c>
      <c r="B2427" s="1" t="str">
        <v>2020-09-18</v>
      </c>
      <c r="C2427" s="1">
        <v>2.0451000000000001</v>
      </c>
      <c r="F2427" s="8">
        <f t="shared" si="111"/>
        <v>33129</v>
      </c>
      <c r="G2427" s="9">
        <f t="shared" si="112"/>
        <v>44092</v>
      </c>
      <c r="H2427" s="10">
        <f t="shared" si="113"/>
        <v>2.0451000000000001</v>
      </c>
    </row>
    <row r="2428" spans="1:8" x14ac:dyDescent="0.2">
      <c r="A2428" s="1">
        <v>139</v>
      </c>
      <c r="B2428" s="1" t="str">
        <v>2020-09-18</v>
      </c>
      <c r="C2428" s="1">
        <v>2.0249000000000001</v>
      </c>
      <c r="F2428" s="8">
        <f t="shared" si="111"/>
        <v>139</v>
      </c>
      <c r="G2428" s="9">
        <f t="shared" si="112"/>
        <v>44092</v>
      </c>
      <c r="H2428" s="10">
        <f t="shared" si="113"/>
        <v>2.0249000000000001</v>
      </c>
    </row>
    <row r="2429" spans="1:8" x14ac:dyDescent="0.2">
      <c r="A2429" s="1">
        <v>102</v>
      </c>
      <c r="B2429" s="1" t="str">
        <v>2020-09-18</v>
      </c>
      <c r="C2429" s="1">
        <v>2.0146999999999999</v>
      </c>
      <c r="F2429" s="8">
        <f t="shared" si="111"/>
        <v>102</v>
      </c>
      <c r="G2429" s="9">
        <f t="shared" si="112"/>
        <v>44092</v>
      </c>
      <c r="H2429" s="10">
        <f t="shared" si="113"/>
        <v>2.0146999999999999</v>
      </c>
    </row>
    <row r="2430" spans="1:8" x14ac:dyDescent="0.2">
      <c r="A2430" s="1">
        <v>1</v>
      </c>
      <c r="B2430" s="1" t="str">
        <v>2020-09-18</v>
      </c>
      <c r="C2430" s="1">
        <v>1.8419000000000001</v>
      </c>
      <c r="F2430" s="8">
        <f t="shared" si="111"/>
        <v>1</v>
      </c>
      <c r="G2430" s="9">
        <f t="shared" si="112"/>
        <v>44092</v>
      </c>
      <c r="H2430" s="10">
        <f t="shared" si="113"/>
        <v>1.8419000000000001</v>
      </c>
    </row>
    <row r="2431" spans="1:8" x14ac:dyDescent="0.2">
      <c r="A2431" s="1">
        <v>33130</v>
      </c>
      <c r="B2431" s="1" t="str">
        <v>2020-09-18</v>
      </c>
      <c r="C2431" s="1">
        <v>2.2385999999999999</v>
      </c>
      <c r="F2431" s="8">
        <f t="shared" si="111"/>
        <v>33130</v>
      </c>
      <c r="G2431" s="9">
        <f t="shared" si="112"/>
        <v>44092</v>
      </c>
      <c r="H2431" s="10">
        <f t="shared" si="113"/>
        <v>2.2385999999999999</v>
      </c>
    </row>
    <row r="2432" spans="1:8" x14ac:dyDescent="0.2">
      <c r="A2432" s="1">
        <v>32501</v>
      </c>
      <c r="B2432" s="1" t="str">
        <v>2020-09-18</v>
      </c>
      <c r="C2432" s="1">
        <v>2.4834000000000001</v>
      </c>
      <c r="F2432" s="8">
        <f t="shared" si="111"/>
        <v>32501</v>
      </c>
      <c r="G2432" s="9">
        <f t="shared" si="112"/>
        <v>44092</v>
      </c>
      <c r="H2432" s="10">
        <f t="shared" si="113"/>
        <v>2.4834000000000001</v>
      </c>
    </row>
    <row r="2433" spans="1:8" x14ac:dyDescent="0.2">
      <c r="A2433" s="1">
        <v>161</v>
      </c>
      <c r="B2433" s="1" t="str">
        <v>2020-09-18</v>
      </c>
      <c r="C2433" s="1">
        <v>2.0554000000000001</v>
      </c>
      <c r="F2433" s="8">
        <f t="shared" si="111"/>
        <v>161</v>
      </c>
      <c r="G2433" s="9">
        <f t="shared" si="112"/>
        <v>44092</v>
      </c>
      <c r="H2433" s="10">
        <f t="shared" si="113"/>
        <v>2.0554000000000001</v>
      </c>
    </row>
    <row r="2434" spans="1:8" x14ac:dyDescent="0.2">
      <c r="A2434" s="1">
        <v>32923</v>
      </c>
      <c r="B2434" s="1" t="str">
        <v>2020-09-18</v>
      </c>
      <c r="C2434" s="1">
        <v>2.0554999999999999</v>
      </c>
      <c r="F2434" s="8">
        <f t="shared" si="111"/>
        <v>32923</v>
      </c>
      <c r="G2434" s="9">
        <f t="shared" si="112"/>
        <v>44092</v>
      </c>
      <c r="H2434" s="10">
        <f t="shared" si="113"/>
        <v>2.0554999999999999</v>
      </c>
    </row>
    <row r="2435" spans="1:8" x14ac:dyDescent="0.2">
      <c r="A2435" s="1">
        <v>24250</v>
      </c>
      <c r="B2435" s="1" t="str">
        <v>2020-09-18</v>
      </c>
      <c r="C2435" s="1">
        <v>1.8927</v>
      </c>
      <c r="F2435" s="8">
        <f t="shared" si="111"/>
        <v>24250</v>
      </c>
      <c r="G2435" s="9">
        <f t="shared" si="112"/>
        <v>44092</v>
      </c>
      <c r="H2435" s="10">
        <f t="shared" si="113"/>
        <v>1.8927</v>
      </c>
    </row>
    <row r="2436" spans="1:8" x14ac:dyDescent="0.2">
      <c r="A2436" s="1">
        <v>16</v>
      </c>
      <c r="B2436" s="1" t="str">
        <v>2020-09-18</v>
      </c>
      <c r="C2436" s="1">
        <v>1.6288</v>
      </c>
      <c r="F2436" s="8">
        <f t="shared" si="111"/>
        <v>16</v>
      </c>
      <c r="G2436" s="9">
        <f t="shared" si="112"/>
        <v>44092</v>
      </c>
      <c r="H2436" s="10">
        <f t="shared" si="113"/>
        <v>1.6288</v>
      </c>
    </row>
    <row r="2437" spans="1:8" x14ac:dyDescent="0.2">
      <c r="A2437" s="1">
        <v>133</v>
      </c>
      <c r="B2437" s="1" t="str">
        <v>2020-09-18</v>
      </c>
      <c r="C2437" s="1">
        <v>2.1568000000000001</v>
      </c>
      <c r="F2437" s="8">
        <f t="shared" si="111"/>
        <v>133</v>
      </c>
      <c r="G2437" s="9">
        <f t="shared" si="112"/>
        <v>44092</v>
      </c>
      <c r="H2437" s="10">
        <f t="shared" si="113"/>
        <v>2.1568000000000001</v>
      </c>
    </row>
    <row r="2438" spans="1:8" x14ac:dyDescent="0.2">
      <c r="A2438" s="1">
        <v>33103</v>
      </c>
      <c r="B2438" s="1" t="str">
        <v>2020-09-18</v>
      </c>
      <c r="C2438" s="1">
        <v>2.6255000000000002</v>
      </c>
      <c r="F2438" s="8">
        <f t="shared" si="111"/>
        <v>33103</v>
      </c>
      <c r="G2438" s="9">
        <f t="shared" si="112"/>
        <v>44092</v>
      </c>
      <c r="H2438" s="10">
        <f t="shared" si="113"/>
        <v>2.6255000000000002</v>
      </c>
    </row>
    <row r="2439" spans="1:8" x14ac:dyDescent="0.2">
      <c r="A2439" s="1">
        <v>13250</v>
      </c>
      <c r="B2439" s="1" t="str">
        <v>2020-09-18</v>
      </c>
      <c r="C2439" s="1">
        <v>1.9639</v>
      </c>
      <c r="F2439" s="8">
        <f t="shared" si="111"/>
        <v>13250</v>
      </c>
      <c r="G2439" s="9">
        <f t="shared" si="112"/>
        <v>44092</v>
      </c>
      <c r="H2439" s="10">
        <f t="shared" si="113"/>
        <v>1.9639</v>
      </c>
    </row>
    <row r="2440" spans="1:8" x14ac:dyDescent="0.2">
      <c r="A2440" s="1">
        <v>101</v>
      </c>
      <c r="B2440" s="1" t="str">
        <v>2020-09-18</v>
      </c>
      <c r="C2440" s="1">
        <v>1.9842</v>
      </c>
      <c r="F2440" s="8">
        <f t="shared" si="111"/>
        <v>101</v>
      </c>
      <c r="G2440" s="9">
        <f t="shared" si="112"/>
        <v>44092</v>
      </c>
      <c r="H2440" s="10">
        <f t="shared" si="113"/>
        <v>1.9842</v>
      </c>
    </row>
    <row r="2441" spans="1:8" x14ac:dyDescent="0.2">
      <c r="A2441" s="1">
        <v>187</v>
      </c>
      <c r="B2441" s="1" t="str">
        <v>2020-09-18</v>
      </c>
      <c r="C2441" s="1">
        <v>1.9841</v>
      </c>
      <c r="F2441" s="8">
        <f t="shared" ref="F2441:F2504" si="114">A2441</f>
        <v>187</v>
      </c>
      <c r="G2441" s="9">
        <f t="shared" ref="G2441:G2504" si="115">DATE(LEFT(B2441,4),MID(B2441,6,2),RIGHT(B2441,2))</f>
        <v>44092</v>
      </c>
      <c r="H2441" s="10">
        <f t="shared" ref="H2441:H2504" si="116">C2441</f>
        <v>1.9841</v>
      </c>
    </row>
    <row r="2442" spans="1:8" x14ac:dyDescent="0.2">
      <c r="A2442" s="1">
        <v>32783</v>
      </c>
      <c r="B2442" s="1" t="str">
        <v>2020-09-18</v>
      </c>
      <c r="C2442" s="1">
        <v>2.0453000000000001</v>
      </c>
      <c r="F2442" s="8">
        <f t="shared" si="114"/>
        <v>32783</v>
      </c>
      <c r="G2442" s="9">
        <f t="shared" si="115"/>
        <v>44092</v>
      </c>
      <c r="H2442" s="10">
        <f t="shared" si="116"/>
        <v>2.0453000000000001</v>
      </c>
    </row>
    <row r="2443" spans="1:8" x14ac:dyDescent="0.2">
      <c r="A2443" s="1">
        <v>156</v>
      </c>
      <c r="B2443" s="1" t="str">
        <v>2020-09-18</v>
      </c>
      <c r="C2443" s="1">
        <v>2.1166</v>
      </c>
      <c r="F2443" s="8">
        <f t="shared" si="114"/>
        <v>156</v>
      </c>
      <c r="G2443" s="9">
        <f t="shared" si="115"/>
        <v>44092</v>
      </c>
      <c r="H2443" s="10">
        <f t="shared" si="116"/>
        <v>2.1166</v>
      </c>
    </row>
    <row r="2444" spans="1:8" x14ac:dyDescent="0.2">
      <c r="A2444" s="1">
        <v>10</v>
      </c>
      <c r="B2444" s="1" t="str">
        <v>2020-09-18</v>
      </c>
      <c r="C2444" s="1">
        <v>2.4323000000000001</v>
      </c>
      <c r="F2444" s="8">
        <f t="shared" si="114"/>
        <v>10</v>
      </c>
      <c r="G2444" s="9">
        <f t="shared" si="115"/>
        <v>44092</v>
      </c>
      <c r="H2444" s="10">
        <f t="shared" si="116"/>
        <v>2.4323000000000001</v>
      </c>
    </row>
    <row r="2445" spans="1:8" x14ac:dyDescent="0.2">
      <c r="A2445" s="1">
        <v>2250</v>
      </c>
      <c r="B2445" s="1" t="str">
        <v>2020-09-18</v>
      </c>
      <c r="C2445" s="1">
        <v>2.0554999999999999</v>
      </c>
      <c r="F2445" s="8">
        <f t="shared" si="114"/>
        <v>2250</v>
      </c>
      <c r="G2445" s="9">
        <f t="shared" si="115"/>
        <v>44092</v>
      </c>
      <c r="H2445" s="10">
        <f t="shared" si="116"/>
        <v>2.0554999999999999</v>
      </c>
    </row>
    <row r="2446" spans="1:8" x14ac:dyDescent="0.2">
      <c r="A2446" s="1">
        <v>30350</v>
      </c>
      <c r="B2446" s="1" t="str">
        <v>2020-09-21</v>
      </c>
      <c r="C2446" s="1">
        <v>1.7303999999999999</v>
      </c>
      <c r="F2446" s="8">
        <f t="shared" si="114"/>
        <v>30350</v>
      </c>
      <c r="G2446" s="9">
        <f t="shared" si="115"/>
        <v>44095</v>
      </c>
      <c r="H2446" s="10">
        <f t="shared" si="116"/>
        <v>1.7303999999999999</v>
      </c>
    </row>
    <row r="2447" spans="1:8" x14ac:dyDescent="0.2">
      <c r="A2447" s="1">
        <v>147</v>
      </c>
      <c r="B2447" s="1" t="str">
        <v>2020-09-21</v>
      </c>
      <c r="C2447" s="1">
        <v>1.5670999999999999</v>
      </c>
      <c r="F2447" s="8">
        <f t="shared" si="114"/>
        <v>147</v>
      </c>
      <c r="G2447" s="9">
        <f t="shared" si="115"/>
        <v>44095</v>
      </c>
      <c r="H2447" s="10">
        <f t="shared" si="116"/>
        <v>1.5670999999999999</v>
      </c>
    </row>
    <row r="2448" spans="1:8" x14ac:dyDescent="0.2">
      <c r="A2448" s="1">
        <v>32560</v>
      </c>
      <c r="B2448" s="1" t="str">
        <v>2020-09-21</v>
      </c>
      <c r="C2448" s="1">
        <v>2.0653999999999999</v>
      </c>
      <c r="F2448" s="8">
        <f t="shared" si="114"/>
        <v>32560</v>
      </c>
      <c r="G2448" s="9">
        <f t="shared" si="115"/>
        <v>44095</v>
      </c>
      <c r="H2448" s="10">
        <f t="shared" si="116"/>
        <v>2.0653999999999999</v>
      </c>
    </row>
    <row r="2449" spans="1:8" x14ac:dyDescent="0.2">
      <c r="A2449" s="1">
        <v>32400</v>
      </c>
      <c r="B2449" s="1" t="str">
        <v>2020-09-21</v>
      </c>
      <c r="C2449" s="1">
        <v>2.1063000000000001</v>
      </c>
      <c r="F2449" s="8">
        <f t="shared" si="114"/>
        <v>32400</v>
      </c>
      <c r="G2449" s="9">
        <f t="shared" si="115"/>
        <v>44095</v>
      </c>
      <c r="H2449" s="10">
        <f t="shared" si="116"/>
        <v>2.1063000000000001</v>
      </c>
    </row>
    <row r="2450" spans="1:8" x14ac:dyDescent="0.2">
      <c r="A2450" s="1">
        <v>99</v>
      </c>
      <c r="B2450" s="1" t="str">
        <v>2020-09-21</v>
      </c>
      <c r="C2450" s="1">
        <v>2.4016999999999999</v>
      </c>
      <c r="F2450" s="8">
        <f t="shared" si="114"/>
        <v>99</v>
      </c>
      <c r="G2450" s="9">
        <f t="shared" si="115"/>
        <v>44095</v>
      </c>
      <c r="H2450" s="10">
        <f t="shared" si="116"/>
        <v>2.4016999999999999</v>
      </c>
    </row>
    <row r="2451" spans="1:8" x14ac:dyDescent="0.2">
      <c r="A2451" s="1">
        <v>34</v>
      </c>
      <c r="B2451" s="1" t="str">
        <v>2020-09-21</v>
      </c>
      <c r="C2451" s="1">
        <v>2.198</v>
      </c>
      <c r="F2451" s="8">
        <f t="shared" si="114"/>
        <v>34</v>
      </c>
      <c r="G2451" s="9">
        <f t="shared" si="115"/>
        <v>44095</v>
      </c>
      <c r="H2451" s="10">
        <f t="shared" si="116"/>
        <v>2.198</v>
      </c>
    </row>
    <row r="2452" spans="1:8" x14ac:dyDescent="0.2">
      <c r="A2452" s="1">
        <v>89</v>
      </c>
      <c r="B2452" s="1" t="str">
        <v>2020-09-21</v>
      </c>
      <c r="C2452" s="1">
        <v>2.6057999999999999</v>
      </c>
      <c r="F2452" s="8">
        <f t="shared" si="114"/>
        <v>89</v>
      </c>
      <c r="G2452" s="9">
        <f t="shared" si="115"/>
        <v>44095</v>
      </c>
      <c r="H2452" s="10">
        <f t="shared" si="116"/>
        <v>2.6057999999999999</v>
      </c>
    </row>
    <row r="2453" spans="1:8" x14ac:dyDescent="0.2">
      <c r="A2453" s="1">
        <v>178</v>
      </c>
      <c r="B2453" s="1" t="str">
        <v>2020-09-21</v>
      </c>
      <c r="C2453" s="1">
        <v>2.4024999999999999</v>
      </c>
      <c r="F2453" s="8">
        <f t="shared" si="114"/>
        <v>178</v>
      </c>
      <c r="G2453" s="9">
        <f t="shared" si="115"/>
        <v>44095</v>
      </c>
      <c r="H2453" s="10">
        <f t="shared" si="116"/>
        <v>2.4024999999999999</v>
      </c>
    </row>
    <row r="2454" spans="1:8" x14ac:dyDescent="0.2">
      <c r="A2454" s="1">
        <v>32421</v>
      </c>
      <c r="B2454" s="1" t="str">
        <v>2020-09-22</v>
      </c>
      <c r="C2454" s="1">
        <v>1.9736</v>
      </c>
      <c r="F2454" s="8">
        <f t="shared" si="114"/>
        <v>32421</v>
      </c>
      <c r="G2454" s="9">
        <f t="shared" si="115"/>
        <v>44096</v>
      </c>
      <c r="H2454" s="10">
        <f t="shared" si="116"/>
        <v>1.9736</v>
      </c>
    </row>
    <row r="2455" spans="1:8" x14ac:dyDescent="0.2">
      <c r="A2455" s="1">
        <v>32420</v>
      </c>
      <c r="B2455" s="1" t="str">
        <v>2020-09-22</v>
      </c>
      <c r="C2455" s="1">
        <v>2.1392000000000002</v>
      </c>
      <c r="F2455" s="8">
        <f t="shared" si="114"/>
        <v>32420</v>
      </c>
      <c r="G2455" s="9">
        <f t="shared" si="115"/>
        <v>44096</v>
      </c>
      <c r="H2455" s="10">
        <f t="shared" si="116"/>
        <v>2.1392000000000002</v>
      </c>
    </row>
    <row r="2456" spans="1:8" x14ac:dyDescent="0.2">
      <c r="A2456" s="1">
        <v>32400</v>
      </c>
      <c r="B2456" s="1" t="str">
        <v>2020-09-23</v>
      </c>
      <c r="C2456" s="1">
        <v>2.1776</v>
      </c>
      <c r="F2456" s="8">
        <f t="shared" si="114"/>
        <v>32400</v>
      </c>
      <c r="G2456" s="9">
        <f t="shared" si="115"/>
        <v>44097</v>
      </c>
      <c r="H2456" s="10">
        <f t="shared" si="116"/>
        <v>2.1776</v>
      </c>
    </row>
    <row r="2457" spans="1:8" x14ac:dyDescent="0.2">
      <c r="A2457" s="1">
        <v>8</v>
      </c>
      <c r="B2457" s="1" t="str">
        <v>2020-09-23</v>
      </c>
      <c r="C2457" s="1">
        <v>2.0655000000000001</v>
      </c>
      <c r="F2457" s="8">
        <f t="shared" si="114"/>
        <v>8</v>
      </c>
      <c r="G2457" s="9">
        <f t="shared" si="115"/>
        <v>44097</v>
      </c>
      <c r="H2457" s="10">
        <f t="shared" si="116"/>
        <v>2.0655000000000001</v>
      </c>
    </row>
    <row r="2458" spans="1:8" x14ac:dyDescent="0.2">
      <c r="A2458" s="1">
        <v>32480</v>
      </c>
      <c r="B2458" s="1" t="str">
        <v>2020-09-23</v>
      </c>
      <c r="C2458" s="1">
        <v>2.3506999999999998</v>
      </c>
      <c r="F2458" s="8">
        <f t="shared" si="114"/>
        <v>32480</v>
      </c>
      <c r="G2458" s="9">
        <f t="shared" si="115"/>
        <v>44097</v>
      </c>
      <c r="H2458" s="10">
        <f t="shared" si="116"/>
        <v>2.3506999999999998</v>
      </c>
    </row>
    <row r="2459" spans="1:8" x14ac:dyDescent="0.2">
      <c r="A2459" s="1">
        <v>32803</v>
      </c>
      <c r="B2459" s="1" t="str">
        <v>2020-09-23</v>
      </c>
      <c r="C2459" s="1">
        <v>2.4424000000000001</v>
      </c>
      <c r="F2459" s="8">
        <f t="shared" si="114"/>
        <v>32803</v>
      </c>
      <c r="G2459" s="9">
        <f t="shared" si="115"/>
        <v>44097</v>
      </c>
      <c r="H2459" s="10">
        <f t="shared" si="116"/>
        <v>2.4424000000000001</v>
      </c>
    </row>
    <row r="2460" spans="1:8" x14ac:dyDescent="0.2">
      <c r="A2460" s="1">
        <v>32260</v>
      </c>
      <c r="B2460" s="1" t="str">
        <v>2020-09-23</v>
      </c>
      <c r="C2460" s="1">
        <v>2.5242</v>
      </c>
      <c r="F2460" s="8">
        <f t="shared" si="114"/>
        <v>32260</v>
      </c>
      <c r="G2460" s="9">
        <f t="shared" si="115"/>
        <v>44097</v>
      </c>
      <c r="H2460" s="10">
        <f t="shared" si="116"/>
        <v>2.5242</v>
      </c>
    </row>
    <row r="2461" spans="1:8" x14ac:dyDescent="0.2">
      <c r="A2461" s="1">
        <v>33103</v>
      </c>
      <c r="B2461" s="1" t="str">
        <v>2020-09-23</v>
      </c>
      <c r="C2461" s="1">
        <v>2.6255000000000002</v>
      </c>
      <c r="F2461" s="8">
        <f t="shared" si="114"/>
        <v>33103</v>
      </c>
      <c r="G2461" s="9">
        <f t="shared" si="115"/>
        <v>44097</v>
      </c>
      <c r="H2461" s="10">
        <f t="shared" si="116"/>
        <v>2.6255000000000002</v>
      </c>
    </row>
    <row r="2462" spans="1:8" x14ac:dyDescent="0.2">
      <c r="A2462" s="1">
        <v>32420</v>
      </c>
      <c r="B2462" s="1" t="str">
        <v>2020-09-23</v>
      </c>
      <c r="C2462" s="1">
        <v>2.4310999999999998</v>
      </c>
      <c r="F2462" s="8">
        <f t="shared" si="114"/>
        <v>32420</v>
      </c>
      <c r="G2462" s="9">
        <f t="shared" si="115"/>
        <v>44097</v>
      </c>
      <c r="H2462" s="10">
        <f t="shared" si="116"/>
        <v>2.4310999999999998</v>
      </c>
    </row>
    <row r="2463" spans="1:8" x14ac:dyDescent="0.2">
      <c r="A2463" s="1">
        <v>157</v>
      </c>
      <c r="B2463" s="1" t="str">
        <v>2020-09-23</v>
      </c>
      <c r="C2463" s="1">
        <v>2.1164000000000001</v>
      </c>
      <c r="F2463" s="8">
        <f t="shared" si="114"/>
        <v>157</v>
      </c>
      <c r="G2463" s="9">
        <f t="shared" si="115"/>
        <v>44097</v>
      </c>
      <c r="H2463" s="10">
        <f t="shared" si="116"/>
        <v>2.1164000000000001</v>
      </c>
    </row>
    <row r="2464" spans="1:8" x14ac:dyDescent="0.2">
      <c r="A2464" s="1">
        <v>83</v>
      </c>
      <c r="B2464" s="1" t="str">
        <v>2020-09-23</v>
      </c>
      <c r="C2464" s="1">
        <v>2.2181999999999999</v>
      </c>
      <c r="F2464" s="8">
        <f t="shared" si="114"/>
        <v>83</v>
      </c>
      <c r="G2464" s="9">
        <f t="shared" si="115"/>
        <v>44097</v>
      </c>
      <c r="H2464" s="10">
        <f t="shared" si="116"/>
        <v>2.2181999999999999</v>
      </c>
    </row>
    <row r="2465" spans="1:8" x14ac:dyDescent="0.2">
      <c r="A2465" s="1">
        <v>147</v>
      </c>
      <c r="B2465" s="1" t="str">
        <v>2020-09-24</v>
      </c>
      <c r="C2465" s="1">
        <v>1.831</v>
      </c>
      <c r="F2465" s="8">
        <f t="shared" si="114"/>
        <v>147</v>
      </c>
      <c r="G2465" s="9">
        <f t="shared" si="115"/>
        <v>44098</v>
      </c>
      <c r="H2465" s="10">
        <f t="shared" si="116"/>
        <v>1.831</v>
      </c>
    </row>
    <row r="2466" spans="1:8" x14ac:dyDescent="0.2">
      <c r="A2466" s="1">
        <v>136</v>
      </c>
      <c r="B2466" s="1" t="str">
        <v>2020-09-24</v>
      </c>
      <c r="C2466" s="1">
        <v>2.3607999999999998</v>
      </c>
      <c r="F2466" s="8">
        <f t="shared" si="114"/>
        <v>136</v>
      </c>
      <c r="G2466" s="9">
        <f t="shared" si="115"/>
        <v>44098</v>
      </c>
      <c r="H2466" s="10">
        <f t="shared" si="116"/>
        <v>2.3607999999999998</v>
      </c>
    </row>
    <row r="2467" spans="1:8" x14ac:dyDescent="0.2">
      <c r="A2467" s="1">
        <v>32082</v>
      </c>
      <c r="B2467" s="1" t="str">
        <v>2020-09-24</v>
      </c>
      <c r="C2467" s="1">
        <v>2.6566999999999998</v>
      </c>
      <c r="F2467" s="8">
        <f t="shared" si="114"/>
        <v>32082</v>
      </c>
      <c r="G2467" s="9">
        <f t="shared" si="115"/>
        <v>44098</v>
      </c>
      <c r="H2467" s="10">
        <f t="shared" si="116"/>
        <v>2.6566999999999998</v>
      </c>
    </row>
    <row r="2468" spans="1:8" x14ac:dyDescent="0.2">
      <c r="A2468" s="1">
        <v>33129</v>
      </c>
      <c r="B2468" s="1" t="str">
        <v>2020-09-24</v>
      </c>
      <c r="C2468" s="1">
        <v>2.2688000000000001</v>
      </c>
      <c r="F2468" s="8">
        <f t="shared" si="114"/>
        <v>33129</v>
      </c>
      <c r="G2468" s="9">
        <f t="shared" si="115"/>
        <v>44098</v>
      </c>
      <c r="H2468" s="10">
        <f t="shared" si="116"/>
        <v>2.2688000000000001</v>
      </c>
    </row>
    <row r="2469" spans="1:8" x14ac:dyDescent="0.2">
      <c r="A2469" s="1">
        <v>33103</v>
      </c>
      <c r="B2469" s="1" t="str">
        <v>2020-09-24</v>
      </c>
      <c r="C2469" s="1">
        <v>2.6255000000000002</v>
      </c>
      <c r="F2469" s="8">
        <f t="shared" si="114"/>
        <v>33103</v>
      </c>
      <c r="G2469" s="9">
        <f t="shared" si="115"/>
        <v>44098</v>
      </c>
      <c r="H2469" s="10">
        <f t="shared" si="116"/>
        <v>2.6255000000000002</v>
      </c>
    </row>
    <row r="2470" spans="1:8" x14ac:dyDescent="0.2">
      <c r="A2470" s="1">
        <v>32040</v>
      </c>
      <c r="B2470" s="1" t="str">
        <v>2020-09-24</v>
      </c>
      <c r="C2470" s="1">
        <v>2.2789000000000001</v>
      </c>
      <c r="F2470" s="8">
        <f t="shared" si="114"/>
        <v>32040</v>
      </c>
      <c r="G2470" s="9">
        <f t="shared" si="115"/>
        <v>44098</v>
      </c>
      <c r="H2470" s="10">
        <f t="shared" si="116"/>
        <v>2.2789000000000001</v>
      </c>
    </row>
    <row r="2471" spans="1:8" x14ac:dyDescent="0.2">
      <c r="A2471" s="1">
        <v>139</v>
      </c>
      <c r="B2471" s="1" t="str">
        <v>2020-09-24</v>
      </c>
      <c r="C2471" s="1">
        <v>2.2284000000000002</v>
      </c>
      <c r="F2471" s="8">
        <f t="shared" si="114"/>
        <v>139</v>
      </c>
      <c r="G2471" s="9">
        <f t="shared" si="115"/>
        <v>44098</v>
      </c>
      <c r="H2471" s="10">
        <f t="shared" si="116"/>
        <v>2.2284000000000002</v>
      </c>
    </row>
    <row r="2472" spans="1:8" x14ac:dyDescent="0.2">
      <c r="A2472" s="1">
        <v>182</v>
      </c>
      <c r="B2472" s="1" t="str">
        <v>2020-09-25</v>
      </c>
      <c r="C2472" s="1">
        <v>2.3403999999999998</v>
      </c>
      <c r="F2472" s="8">
        <f t="shared" si="114"/>
        <v>182</v>
      </c>
      <c r="G2472" s="9">
        <f t="shared" si="115"/>
        <v>44099</v>
      </c>
      <c r="H2472" s="10">
        <f t="shared" si="116"/>
        <v>2.3403999999999998</v>
      </c>
    </row>
    <row r="2473" spans="1:8" x14ac:dyDescent="0.2">
      <c r="A2473" s="1">
        <v>102</v>
      </c>
      <c r="B2473" s="1" t="str">
        <v>2020-09-25</v>
      </c>
      <c r="C2473" s="1">
        <v>2.4525000000000001</v>
      </c>
      <c r="F2473" s="8">
        <f t="shared" si="114"/>
        <v>102</v>
      </c>
      <c r="G2473" s="9">
        <f t="shared" si="115"/>
        <v>44099</v>
      </c>
      <c r="H2473" s="10">
        <f t="shared" si="116"/>
        <v>2.4525000000000001</v>
      </c>
    </row>
    <row r="2474" spans="1:8" x14ac:dyDescent="0.2">
      <c r="A2474" s="1">
        <v>146</v>
      </c>
      <c r="B2474" s="1" t="str">
        <v>2020-09-25</v>
      </c>
      <c r="C2474" s="1">
        <v>1.9537</v>
      </c>
      <c r="F2474" s="8">
        <f t="shared" si="114"/>
        <v>146</v>
      </c>
      <c r="G2474" s="9">
        <f t="shared" si="115"/>
        <v>44099</v>
      </c>
      <c r="H2474" s="10">
        <f t="shared" si="116"/>
        <v>1.9537</v>
      </c>
    </row>
    <row r="2475" spans="1:8" x14ac:dyDescent="0.2">
      <c r="A2475" s="1">
        <v>28</v>
      </c>
      <c r="B2475" s="1" t="str">
        <v>2020-09-25</v>
      </c>
      <c r="C2475" s="1">
        <v>2.524</v>
      </c>
      <c r="F2475" s="8">
        <f t="shared" si="114"/>
        <v>28</v>
      </c>
      <c r="G2475" s="9">
        <f t="shared" si="115"/>
        <v>44099</v>
      </c>
      <c r="H2475" s="10">
        <f t="shared" si="116"/>
        <v>2.524</v>
      </c>
    </row>
    <row r="2476" spans="1:8" x14ac:dyDescent="0.2">
      <c r="A2476" s="1">
        <v>67</v>
      </c>
      <c r="B2476" s="1" t="str">
        <v>2020-09-25</v>
      </c>
      <c r="C2476" s="1">
        <v>2.5238999999999998</v>
      </c>
      <c r="F2476" s="8">
        <f t="shared" si="114"/>
        <v>67</v>
      </c>
      <c r="G2476" s="9">
        <f t="shared" si="115"/>
        <v>44099</v>
      </c>
      <c r="H2476" s="10">
        <f t="shared" si="116"/>
        <v>2.5238999999999998</v>
      </c>
    </row>
    <row r="2477" spans="1:8" x14ac:dyDescent="0.2">
      <c r="A2477" s="1">
        <v>161</v>
      </c>
      <c r="B2477" s="1" t="str">
        <v>2020-09-25</v>
      </c>
      <c r="C2477" s="1">
        <v>2.5547</v>
      </c>
      <c r="F2477" s="8">
        <f t="shared" si="114"/>
        <v>161</v>
      </c>
      <c r="G2477" s="9">
        <f t="shared" si="115"/>
        <v>44099</v>
      </c>
      <c r="H2477" s="10">
        <f t="shared" si="116"/>
        <v>2.5547</v>
      </c>
    </row>
    <row r="2478" spans="1:8" x14ac:dyDescent="0.2">
      <c r="A2478" s="1">
        <v>59</v>
      </c>
      <c r="B2478" s="1" t="str">
        <v>2020-09-25</v>
      </c>
      <c r="C2478" s="1">
        <v>1.9335</v>
      </c>
      <c r="F2478" s="8">
        <f t="shared" si="114"/>
        <v>59</v>
      </c>
      <c r="G2478" s="9">
        <f t="shared" si="115"/>
        <v>44099</v>
      </c>
      <c r="H2478" s="10">
        <f t="shared" si="116"/>
        <v>1.9335</v>
      </c>
    </row>
    <row r="2479" spans="1:8" x14ac:dyDescent="0.2">
      <c r="A2479" s="1">
        <v>150</v>
      </c>
      <c r="B2479" s="1" t="str">
        <v>2020-09-25</v>
      </c>
      <c r="C2479" s="1">
        <v>2.0398999999999998</v>
      </c>
      <c r="F2479" s="8">
        <f t="shared" si="114"/>
        <v>150</v>
      </c>
      <c r="G2479" s="9">
        <f t="shared" si="115"/>
        <v>44099</v>
      </c>
      <c r="H2479" s="10">
        <f t="shared" si="116"/>
        <v>2.0398999999999998</v>
      </c>
    </row>
    <row r="2480" spans="1:8" x14ac:dyDescent="0.2">
      <c r="A2480" s="1">
        <v>133</v>
      </c>
      <c r="B2480" s="1" t="str">
        <v>2020-09-25</v>
      </c>
      <c r="C2480" s="1">
        <v>2.2284000000000002</v>
      </c>
      <c r="F2480" s="8">
        <f t="shared" si="114"/>
        <v>133</v>
      </c>
      <c r="G2480" s="9">
        <f t="shared" si="115"/>
        <v>44099</v>
      </c>
      <c r="H2480" s="10">
        <f t="shared" si="116"/>
        <v>2.2284000000000002</v>
      </c>
    </row>
    <row r="2481" spans="1:8" x14ac:dyDescent="0.2">
      <c r="A2481" s="1">
        <v>24250</v>
      </c>
      <c r="B2481" s="1" t="str">
        <v>2020-09-25</v>
      </c>
      <c r="C2481" s="1">
        <v>2.2079</v>
      </c>
      <c r="F2481" s="8">
        <f t="shared" si="114"/>
        <v>24250</v>
      </c>
      <c r="G2481" s="9">
        <f t="shared" si="115"/>
        <v>44099</v>
      </c>
      <c r="H2481" s="10">
        <f t="shared" si="116"/>
        <v>2.2079</v>
      </c>
    </row>
    <row r="2482" spans="1:8" x14ac:dyDescent="0.2">
      <c r="A2482" s="1">
        <v>115</v>
      </c>
      <c r="B2482" s="1" t="str">
        <v>2020-09-25</v>
      </c>
      <c r="C2482" s="1">
        <v>2.3610000000000002</v>
      </c>
      <c r="F2482" s="8">
        <f t="shared" si="114"/>
        <v>115</v>
      </c>
      <c r="G2482" s="9">
        <f t="shared" si="115"/>
        <v>44099</v>
      </c>
      <c r="H2482" s="10">
        <f t="shared" si="116"/>
        <v>2.3610000000000002</v>
      </c>
    </row>
    <row r="2483" spans="1:8" x14ac:dyDescent="0.2">
      <c r="A2483" s="1">
        <v>250</v>
      </c>
      <c r="B2483" s="1" t="str">
        <v>2020-09-25</v>
      </c>
      <c r="C2483" s="1">
        <v>1.8318000000000001</v>
      </c>
      <c r="F2483" s="8">
        <f t="shared" si="114"/>
        <v>250</v>
      </c>
      <c r="G2483" s="9">
        <f t="shared" si="115"/>
        <v>44099</v>
      </c>
      <c r="H2483" s="10">
        <f t="shared" si="116"/>
        <v>1.8318000000000001</v>
      </c>
    </row>
    <row r="2484" spans="1:8" x14ac:dyDescent="0.2">
      <c r="A2484" s="1">
        <v>33103</v>
      </c>
      <c r="B2484" s="1" t="str">
        <v>2020-09-25</v>
      </c>
      <c r="C2484" s="1">
        <v>2.6705000000000001</v>
      </c>
      <c r="F2484" s="8">
        <f t="shared" si="114"/>
        <v>33103</v>
      </c>
      <c r="G2484" s="9">
        <f t="shared" si="115"/>
        <v>44099</v>
      </c>
      <c r="H2484" s="10">
        <f t="shared" si="116"/>
        <v>2.6705000000000001</v>
      </c>
    </row>
    <row r="2485" spans="1:8" x14ac:dyDescent="0.2">
      <c r="A2485" s="1">
        <v>32340</v>
      </c>
      <c r="B2485" s="1" t="str">
        <v>2020-09-25</v>
      </c>
      <c r="C2485" s="1">
        <v>2.0042</v>
      </c>
      <c r="F2485" s="8">
        <f t="shared" si="114"/>
        <v>32340</v>
      </c>
      <c r="G2485" s="9">
        <f t="shared" si="115"/>
        <v>44099</v>
      </c>
      <c r="H2485" s="10">
        <f t="shared" si="116"/>
        <v>2.0042</v>
      </c>
    </row>
    <row r="2486" spans="1:8" x14ac:dyDescent="0.2">
      <c r="A2486" s="1">
        <v>32401</v>
      </c>
      <c r="B2486" s="1" t="str">
        <v>2020-09-25</v>
      </c>
      <c r="C2486" s="1">
        <v>2.3711000000000002</v>
      </c>
      <c r="F2486" s="8">
        <f t="shared" si="114"/>
        <v>32401</v>
      </c>
      <c r="G2486" s="9">
        <f t="shared" si="115"/>
        <v>44099</v>
      </c>
      <c r="H2486" s="10">
        <f t="shared" si="116"/>
        <v>2.3711000000000002</v>
      </c>
    </row>
    <row r="2487" spans="1:8" x14ac:dyDescent="0.2">
      <c r="A2487" s="1">
        <v>32583</v>
      </c>
      <c r="B2487" s="1" t="str">
        <v>2020-09-25</v>
      </c>
      <c r="C2487" s="1">
        <v>2.2791000000000001</v>
      </c>
      <c r="F2487" s="8">
        <f t="shared" si="114"/>
        <v>32583</v>
      </c>
      <c r="G2487" s="9">
        <f t="shared" si="115"/>
        <v>44099</v>
      </c>
      <c r="H2487" s="10">
        <f t="shared" si="116"/>
        <v>2.2791000000000001</v>
      </c>
    </row>
    <row r="2488" spans="1:8" x14ac:dyDescent="0.2">
      <c r="A2488" s="1">
        <v>33203</v>
      </c>
      <c r="B2488" s="1" t="str">
        <v>2020-09-25</v>
      </c>
      <c r="C2488" s="1">
        <v>2.2986</v>
      </c>
      <c r="F2488" s="8">
        <f t="shared" si="114"/>
        <v>33203</v>
      </c>
      <c r="G2488" s="9">
        <f t="shared" si="115"/>
        <v>44099</v>
      </c>
      <c r="H2488" s="10">
        <f t="shared" si="116"/>
        <v>2.2986</v>
      </c>
    </row>
    <row r="2489" spans="1:8" x14ac:dyDescent="0.2">
      <c r="A2489" s="1">
        <v>32521</v>
      </c>
      <c r="B2489" s="1" t="str">
        <v>2020-09-25</v>
      </c>
      <c r="C2489" s="1">
        <v>2.0552999999999999</v>
      </c>
      <c r="F2489" s="8">
        <f t="shared" si="114"/>
        <v>32521</v>
      </c>
      <c r="G2489" s="9">
        <f t="shared" si="115"/>
        <v>44099</v>
      </c>
      <c r="H2489" s="10">
        <f t="shared" si="116"/>
        <v>2.0552999999999999</v>
      </c>
    </row>
    <row r="2490" spans="1:8" x14ac:dyDescent="0.2">
      <c r="A2490" s="1">
        <v>187</v>
      </c>
      <c r="B2490" s="1" t="str">
        <v>2020-09-25</v>
      </c>
      <c r="C2490" s="1">
        <v>1.9943</v>
      </c>
      <c r="F2490" s="8">
        <f t="shared" si="114"/>
        <v>187</v>
      </c>
      <c r="G2490" s="9">
        <f t="shared" si="115"/>
        <v>44099</v>
      </c>
      <c r="H2490" s="10">
        <f t="shared" si="116"/>
        <v>1.9943</v>
      </c>
    </row>
    <row r="2491" spans="1:8" x14ac:dyDescent="0.2">
      <c r="A2491" s="1">
        <v>32400</v>
      </c>
      <c r="B2491" s="1" t="str">
        <v>2020-09-25</v>
      </c>
      <c r="C2491" s="1">
        <v>2.2692000000000001</v>
      </c>
      <c r="F2491" s="8">
        <f t="shared" si="114"/>
        <v>32400</v>
      </c>
      <c r="G2491" s="9">
        <f t="shared" si="115"/>
        <v>44099</v>
      </c>
      <c r="H2491" s="10">
        <f t="shared" si="116"/>
        <v>2.2692000000000001</v>
      </c>
    </row>
    <row r="2492" spans="1:8" x14ac:dyDescent="0.2">
      <c r="A2492" s="1">
        <v>32603</v>
      </c>
      <c r="B2492" s="1" t="str">
        <v>2020-09-25</v>
      </c>
      <c r="C2492" s="1">
        <v>1.974</v>
      </c>
      <c r="F2492" s="8">
        <f t="shared" si="114"/>
        <v>32603</v>
      </c>
      <c r="G2492" s="9">
        <f t="shared" si="115"/>
        <v>44099</v>
      </c>
      <c r="H2492" s="10">
        <f t="shared" si="116"/>
        <v>1.974</v>
      </c>
    </row>
    <row r="2493" spans="1:8" x14ac:dyDescent="0.2">
      <c r="A2493" s="1">
        <v>32280</v>
      </c>
      <c r="B2493" s="1" t="str">
        <v>2020-09-25</v>
      </c>
      <c r="C2493" s="1">
        <v>2.2488000000000001</v>
      </c>
      <c r="F2493" s="8">
        <f t="shared" si="114"/>
        <v>32280</v>
      </c>
      <c r="G2493" s="9">
        <f t="shared" si="115"/>
        <v>44099</v>
      </c>
      <c r="H2493" s="10">
        <f t="shared" si="116"/>
        <v>2.2488000000000001</v>
      </c>
    </row>
    <row r="2494" spans="1:8" x14ac:dyDescent="0.2">
      <c r="A2494" s="1">
        <v>81</v>
      </c>
      <c r="B2494" s="1" t="str">
        <v>2020-09-25</v>
      </c>
      <c r="C2494" s="1">
        <v>1.9943</v>
      </c>
      <c r="F2494" s="8">
        <f t="shared" si="114"/>
        <v>81</v>
      </c>
      <c r="G2494" s="9">
        <f t="shared" si="115"/>
        <v>44099</v>
      </c>
      <c r="H2494" s="10">
        <f t="shared" si="116"/>
        <v>1.9943</v>
      </c>
    </row>
    <row r="2495" spans="1:8" x14ac:dyDescent="0.2">
      <c r="A2495" s="1">
        <v>10</v>
      </c>
      <c r="B2495" s="1" t="str">
        <v>2020-09-25</v>
      </c>
      <c r="C2495" s="1">
        <v>2.4016999999999999</v>
      </c>
      <c r="F2495" s="8">
        <f t="shared" si="114"/>
        <v>10</v>
      </c>
      <c r="G2495" s="9">
        <f t="shared" si="115"/>
        <v>44099</v>
      </c>
      <c r="H2495" s="10">
        <f t="shared" si="116"/>
        <v>2.4016999999999999</v>
      </c>
    </row>
    <row r="2496" spans="1:8" x14ac:dyDescent="0.2">
      <c r="A2496" s="1">
        <v>33130</v>
      </c>
      <c r="B2496" s="1" t="str">
        <v>2020-09-25</v>
      </c>
      <c r="C2496" s="1">
        <v>2.4016000000000002</v>
      </c>
      <c r="F2496" s="8">
        <f t="shared" si="114"/>
        <v>33130</v>
      </c>
      <c r="G2496" s="9">
        <f t="shared" si="115"/>
        <v>44099</v>
      </c>
      <c r="H2496" s="10">
        <f t="shared" si="116"/>
        <v>2.4016000000000002</v>
      </c>
    </row>
    <row r="2497" spans="1:8" x14ac:dyDescent="0.2">
      <c r="A2497" s="1">
        <v>109</v>
      </c>
      <c r="B2497" s="1" t="str">
        <v>2020-09-25</v>
      </c>
      <c r="C2497" s="1">
        <v>2.2795000000000001</v>
      </c>
      <c r="F2497" s="8">
        <f t="shared" si="114"/>
        <v>109</v>
      </c>
      <c r="G2497" s="9">
        <f t="shared" si="115"/>
        <v>44099</v>
      </c>
      <c r="H2497" s="10">
        <f t="shared" si="116"/>
        <v>2.2795000000000001</v>
      </c>
    </row>
    <row r="2498" spans="1:8" x14ac:dyDescent="0.2">
      <c r="A2498" s="1">
        <v>32963</v>
      </c>
      <c r="B2498" s="1" t="str">
        <v>2020-09-28</v>
      </c>
      <c r="C2498" s="1">
        <v>1.8218000000000001</v>
      </c>
      <c r="F2498" s="8">
        <f t="shared" si="114"/>
        <v>32963</v>
      </c>
      <c r="G2498" s="9">
        <f t="shared" si="115"/>
        <v>44102</v>
      </c>
      <c r="H2498" s="10">
        <f t="shared" si="116"/>
        <v>1.8218000000000001</v>
      </c>
    </row>
    <row r="2499" spans="1:8" x14ac:dyDescent="0.2">
      <c r="A2499" s="1">
        <v>33130</v>
      </c>
      <c r="B2499" s="1" t="str">
        <v>2020-09-28</v>
      </c>
      <c r="C2499" s="1">
        <v>2.3811</v>
      </c>
      <c r="F2499" s="8">
        <f t="shared" si="114"/>
        <v>33130</v>
      </c>
      <c r="G2499" s="9">
        <f t="shared" si="115"/>
        <v>44102</v>
      </c>
      <c r="H2499" s="10">
        <f t="shared" si="116"/>
        <v>2.3811</v>
      </c>
    </row>
    <row r="2500" spans="1:8" x14ac:dyDescent="0.2">
      <c r="A2500" s="1">
        <v>31</v>
      </c>
      <c r="B2500" s="1" t="str">
        <v>2020-09-28</v>
      </c>
      <c r="C2500" s="1">
        <v>2.1265999999999998</v>
      </c>
      <c r="F2500" s="8">
        <f t="shared" si="114"/>
        <v>31</v>
      </c>
      <c r="G2500" s="9">
        <f t="shared" si="115"/>
        <v>44102</v>
      </c>
      <c r="H2500" s="10">
        <f t="shared" si="116"/>
        <v>2.1265999999999998</v>
      </c>
    </row>
    <row r="2501" spans="1:8" x14ac:dyDescent="0.2">
      <c r="A2501" s="1">
        <v>34</v>
      </c>
      <c r="B2501" s="1" t="str">
        <v>2020-09-28</v>
      </c>
      <c r="C2501" s="1">
        <v>2.2795000000000001</v>
      </c>
      <c r="F2501" s="8">
        <f t="shared" si="114"/>
        <v>34</v>
      </c>
      <c r="G2501" s="9">
        <f t="shared" si="115"/>
        <v>44102</v>
      </c>
      <c r="H2501" s="10">
        <f t="shared" si="116"/>
        <v>2.2795000000000001</v>
      </c>
    </row>
    <row r="2502" spans="1:8" x14ac:dyDescent="0.2">
      <c r="A2502" s="1">
        <v>32421</v>
      </c>
      <c r="B2502" s="1" t="str">
        <v>2020-09-28</v>
      </c>
      <c r="C2502" s="1">
        <v>2.1818</v>
      </c>
      <c r="F2502" s="8">
        <f t="shared" si="114"/>
        <v>32421</v>
      </c>
      <c r="G2502" s="9">
        <f t="shared" si="115"/>
        <v>44102</v>
      </c>
      <c r="H2502" s="10">
        <f t="shared" si="116"/>
        <v>2.1818</v>
      </c>
    </row>
    <row r="2503" spans="1:8" x14ac:dyDescent="0.2">
      <c r="A2503" s="1">
        <v>30350</v>
      </c>
      <c r="B2503" s="1" t="str">
        <v>2020-09-28</v>
      </c>
      <c r="C2503" s="1">
        <v>2.2284000000000002</v>
      </c>
      <c r="F2503" s="8">
        <f t="shared" si="114"/>
        <v>30350</v>
      </c>
      <c r="G2503" s="9">
        <f t="shared" si="115"/>
        <v>44102</v>
      </c>
      <c r="H2503" s="10">
        <f t="shared" si="116"/>
        <v>2.2284000000000002</v>
      </c>
    </row>
    <row r="2504" spans="1:8" x14ac:dyDescent="0.2">
      <c r="A2504" s="1">
        <v>157</v>
      </c>
      <c r="B2504" s="1" t="str">
        <v>2020-09-28</v>
      </c>
      <c r="C2504" s="1">
        <v>2.0655999999999999</v>
      </c>
      <c r="F2504" s="8">
        <f t="shared" si="114"/>
        <v>157</v>
      </c>
      <c r="G2504" s="9">
        <f t="shared" si="115"/>
        <v>44102</v>
      </c>
      <c r="H2504" s="10">
        <f t="shared" si="116"/>
        <v>2.0655999999999999</v>
      </c>
    </row>
    <row r="2505" spans="1:8" x14ac:dyDescent="0.2">
      <c r="A2505" s="1">
        <v>178</v>
      </c>
      <c r="B2505" s="1" t="str">
        <v>2020-09-28</v>
      </c>
      <c r="C2505" s="1">
        <v>2.4762</v>
      </c>
      <c r="F2505" s="8">
        <f t="shared" ref="F2505:F2568" si="117">A2505</f>
        <v>178</v>
      </c>
      <c r="G2505" s="9">
        <f t="shared" ref="G2505:G2568" si="118">DATE(LEFT(B2505,4),MID(B2505,6,2),RIGHT(B2505,2))</f>
        <v>44102</v>
      </c>
      <c r="H2505" s="10">
        <f t="shared" ref="H2505:H2568" si="119">C2505</f>
        <v>2.4762</v>
      </c>
    </row>
    <row r="2506" spans="1:8" x14ac:dyDescent="0.2">
      <c r="A2506" s="1">
        <v>37</v>
      </c>
      <c r="B2506" s="1" t="str">
        <v>2020-09-29</v>
      </c>
      <c r="C2506" s="1">
        <v>2.2385999999999999</v>
      </c>
      <c r="F2506" s="8">
        <f t="shared" si="117"/>
        <v>37</v>
      </c>
      <c r="G2506" s="9">
        <f t="shared" si="118"/>
        <v>44103</v>
      </c>
      <c r="H2506" s="10">
        <f t="shared" si="119"/>
        <v>2.2385999999999999</v>
      </c>
    </row>
    <row r="2507" spans="1:8" x14ac:dyDescent="0.2">
      <c r="A2507" s="1">
        <v>187</v>
      </c>
      <c r="B2507" s="1" t="str">
        <v>2020-09-30</v>
      </c>
      <c r="C2507" s="1">
        <v>2.198</v>
      </c>
      <c r="F2507" s="8">
        <f t="shared" si="117"/>
        <v>187</v>
      </c>
      <c r="G2507" s="9">
        <f t="shared" si="118"/>
        <v>44104</v>
      </c>
      <c r="H2507" s="10">
        <f t="shared" si="119"/>
        <v>2.198</v>
      </c>
    </row>
    <row r="2508" spans="1:8" x14ac:dyDescent="0.2">
      <c r="A2508" s="1">
        <v>32400</v>
      </c>
      <c r="B2508" s="1" t="str">
        <v>2020-09-30</v>
      </c>
      <c r="C2508" s="1">
        <v>2.4220999999999999</v>
      </c>
      <c r="F2508" s="8">
        <f t="shared" si="117"/>
        <v>32400</v>
      </c>
      <c r="G2508" s="9">
        <f t="shared" si="118"/>
        <v>44104</v>
      </c>
      <c r="H2508" s="10">
        <f t="shared" si="119"/>
        <v>2.4220999999999999</v>
      </c>
    </row>
    <row r="2509" spans="1:8" x14ac:dyDescent="0.2">
      <c r="A2509" s="1">
        <v>32964</v>
      </c>
      <c r="B2509" s="1" t="str">
        <v>2020-10-01</v>
      </c>
      <c r="C2509" s="1">
        <v>1.9923</v>
      </c>
      <c r="F2509" s="8">
        <f t="shared" si="117"/>
        <v>32964</v>
      </c>
      <c r="G2509" s="9">
        <f t="shared" si="118"/>
        <v>44105</v>
      </c>
      <c r="H2509" s="10">
        <f t="shared" si="119"/>
        <v>1.9923</v>
      </c>
    </row>
    <row r="2510" spans="1:8" x14ac:dyDescent="0.2">
      <c r="A2510" s="1">
        <v>1</v>
      </c>
      <c r="B2510" s="1" t="str">
        <v>2020-10-01</v>
      </c>
      <c r="C2510" s="1">
        <v>2.2587999999999999</v>
      </c>
      <c r="F2510" s="8">
        <f t="shared" si="117"/>
        <v>1</v>
      </c>
      <c r="G2510" s="9">
        <f t="shared" si="118"/>
        <v>44105</v>
      </c>
      <c r="H2510" s="10">
        <f t="shared" si="119"/>
        <v>2.2587999999999999</v>
      </c>
    </row>
    <row r="2511" spans="1:8" x14ac:dyDescent="0.2">
      <c r="A2511" s="1">
        <v>32843</v>
      </c>
      <c r="B2511" s="1" t="str">
        <v>2020-10-02</v>
      </c>
      <c r="C2511" s="1">
        <v>2.524</v>
      </c>
      <c r="F2511" s="8">
        <f t="shared" si="117"/>
        <v>32843</v>
      </c>
      <c r="G2511" s="9">
        <f t="shared" si="118"/>
        <v>44106</v>
      </c>
      <c r="H2511" s="10">
        <f t="shared" si="119"/>
        <v>2.524</v>
      </c>
    </row>
    <row r="2512" spans="1:8" x14ac:dyDescent="0.2">
      <c r="A2512" s="1">
        <v>32082</v>
      </c>
      <c r="B2512" s="1" t="str">
        <v>2020-10-02</v>
      </c>
      <c r="C2512" s="1">
        <v>2.6873</v>
      </c>
      <c r="F2512" s="8">
        <f t="shared" si="117"/>
        <v>32082</v>
      </c>
      <c r="G2512" s="9">
        <f t="shared" si="118"/>
        <v>44106</v>
      </c>
      <c r="H2512" s="10">
        <f t="shared" si="119"/>
        <v>2.6873</v>
      </c>
    </row>
    <row r="2513" spans="1:8" x14ac:dyDescent="0.2">
      <c r="A2513" s="1">
        <v>13250</v>
      </c>
      <c r="B2513" s="1" t="str">
        <v>2020-10-02</v>
      </c>
      <c r="C2513" s="1">
        <v>2.2181999999999999</v>
      </c>
      <c r="F2513" s="8">
        <f t="shared" si="117"/>
        <v>13250</v>
      </c>
      <c r="G2513" s="9">
        <f t="shared" si="118"/>
        <v>44106</v>
      </c>
      <c r="H2513" s="10">
        <f t="shared" si="119"/>
        <v>2.2181999999999999</v>
      </c>
    </row>
    <row r="2514" spans="1:8" x14ac:dyDescent="0.2">
      <c r="A2514" s="1">
        <v>33123</v>
      </c>
      <c r="B2514" s="1" t="str">
        <v>2020-10-02</v>
      </c>
      <c r="C2514" s="1">
        <v>2.2284999999999999</v>
      </c>
      <c r="F2514" s="8">
        <f t="shared" si="117"/>
        <v>33123</v>
      </c>
      <c r="G2514" s="9">
        <f t="shared" si="118"/>
        <v>44106</v>
      </c>
      <c r="H2514" s="10">
        <f t="shared" si="119"/>
        <v>2.2284999999999999</v>
      </c>
    </row>
    <row r="2515" spans="1:8" x14ac:dyDescent="0.2">
      <c r="A2515" s="1">
        <v>177</v>
      </c>
      <c r="B2515" s="1" t="str">
        <v>2020-10-02</v>
      </c>
      <c r="C2515" s="1">
        <v>2.1977000000000002</v>
      </c>
      <c r="F2515" s="8">
        <f t="shared" si="117"/>
        <v>177</v>
      </c>
      <c r="G2515" s="9">
        <f t="shared" si="118"/>
        <v>44106</v>
      </c>
      <c r="H2515" s="10">
        <f t="shared" si="119"/>
        <v>2.1977000000000002</v>
      </c>
    </row>
    <row r="2516" spans="1:8" x14ac:dyDescent="0.2">
      <c r="A2516" s="1">
        <v>33063</v>
      </c>
      <c r="B2516" s="1" t="str">
        <v>2020-10-02</v>
      </c>
      <c r="C2516" s="1">
        <v>2.0047000000000001</v>
      </c>
      <c r="F2516" s="8">
        <f t="shared" si="117"/>
        <v>33063</v>
      </c>
      <c r="G2516" s="9">
        <f t="shared" si="118"/>
        <v>44106</v>
      </c>
      <c r="H2516" s="10">
        <f t="shared" si="119"/>
        <v>2.0047000000000001</v>
      </c>
    </row>
    <row r="2517" spans="1:8" x14ac:dyDescent="0.2">
      <c r="A2517" s="1">
        <v>67</v>
      </c>
      <c r="B2517" s="1" t="str">
        <v>2020-10-02</v>
      </c>
      <c r="C2517" s="1">
        <v>2.5647000000000002</v>
      </c>
      <c r="F2517" s="8">
        <f t="shared" si="117"/>
        <v>67</v>
      </c>
      <c r="G2517" s="9">
        <f t="shared" si="118"/>
        <v>44106</v>
      </c>
      <c r="H2517" s="10">
        <f t="shared" si="119"/>
        <v>2.5647000000000002</v>
      </c>
    </row>
    <row r="2518" spans="1:8" x14ac:dyDescent="0.2">
      <c r="A2518" s="1">
        <v>32724</v>
      </c>
      <c r="B2518" s="1" t="str">
        <v>2020-10-02</v>
      </c>
      <c r="C2518" s="1">
        <v>2.0960000000000001</v>
      </c>
      <c r="F2518" s="8">
        <f t="shared" si="117"/>
        <v>32724</v>
      </c>
      <c r="G2518" s="9">
        <f t="shared" si="118"/>
        <v>44106</v>
      </c>
      <c r="H2518" s="10">
        <f t="shared" si="119"/>
        <v>2.0960000000000001</v>
      </c>
    </row>
    <row r="2519" spans="1:8" x14ac:dyDescent="0.2">
      <c r="A2519" s="1">
        <v>53</v>
      </c>
      <c r="B2519" s="1" t="str">
        <v>2020-10-02</v>
      </c>
      <c r="C2519" s="1">
        <v>2.7179000000000002</v>
      </c>
      <c r="F2519" s="8">
        <f t="shared" si="117"/>
        <v>53</v>
      </c>
      <c r="G2519" s="9">
        <f t="shared" si="118"/>
        <v>44106</v>
      </c>
      <c r="H2519" s="10">
        <f t="shared" si="119"/>
        <v>2.7179000000000002</v>
      </c>
    </row>
    <row r="2520" spans="1:8" x14ac:dyDescent="0.2">
      <c r="A2520" s="1">
        <v>32340</v>
      </c>
      <c r="B2520" s="1" t="str">
        <v>2020-10-02</v>
      </c>
      <c r="C2520" s="1">
        <v>2.1364000000000001</v>
      </c>
      <c r="F2520" s="8">
        <f t="shared" si="117"/>
        <v>32340</v>
      </c>
      <c r="G2520" s="9">
        <f t="shared" si="118"/>
        <v>44106</v>
      </c>
      <c r="H2520" s="10">
        <f t="shared" si="119"/>
        <v>2.1364000000000001</v>
      </c>
    </row>
    <row r="2521" spans="1:8" x14ac:dyDescent="0.2">
      <c r="A2521" s="1">
        <v>133</v>
      </c>
      <c r="B2521" s="1" t="str">
        <v>2020-10-02</v>
      </c>
      <c r="C2521" s="1">
        <v>2.2284000000000002</v>
      </c>
      <c r="F2521" s="8">
        <f t="shared" si="117"/>
        <v>133</v>
      </c>
      <c r="G2521" s="9">
        <f t="shared" si="118"/>
        <v>44106</v>
      </c>
      <c r="H2521" s="10">
        <f t="shared" si="119"/>
        <v>2.2284000000000002</v>
      </c>
    </row>
    <row r="2522" spans="1:8" x14ac:dyDescent="0.2">
      <c r="A2522" s="1">
        <v>16</v>
      </c>
      <c r="B2522" s="1" t="str">
        <v>2020-10-02</v>
      </c>
      <c r="C2522" s="1">
        <v>1.6288</v>
      </c>
      <c r="F2522" s="8">
        <f t="shared" si="117"/>
        <v>16</v>
      </c>
      <c r="G2522" s="9">
        <f t="shared" si="118"/>
        <v>44106</v>
      </c>
      <c r="H2522" s="10">
        <f t="shared" si="119"/>
        <v>1.6288</v>
      </c>
    </row>
    <row r="2523" spans="1:8" x14ac:dyDescent="0.2">
      <c r="A2523" s="1">
        <v>150</v>
      </c>
      <c r="B2523" s="1" t="str">
        <v>2020-10-02</v>
      </c>
      <c r="C2523" s="1">
        <v>2.0398999999999998</v>
      </c>
      <c r="F2523" s="8">
        <f t="shared" si="117"/>
        <v>150</v>
      </c>
      <c r="G2523" s="9">
        <f t="shared" si="118"/>
        <v>44106</v>
      </c>
      <c r="H2523" s="10">
        <f t="shared" si="119"/>
        <v>2.0398999999999998</v>
      </c>
    </row>
    <row r="2524" spans="1:8" x14ac:dyDescent="0.2">
      <c r="A2524" s="1">
        <v>187</v>
      </c>
      <c r="B2524" s="1" t="str">
        <v>2020-10-02</v>
      </c>
      <c r="C2524" s="1">
        <v>2.2284999999999999</v>
      </c>
      <c r="F2524" s="8">
        <f t="shared" si="117"/>
        <v>187</v>
      </c>
      <c r="G2524" s="9">
        <f t="shared" si="118"/>
        <v>44106</v>
      </c>
      <c r="H2524" s="10">
        <f t="shared" si="119"/>
        <v>2.2284999999999999</v>
      </c>
    </row>
    <row r="2525" spans="1:8" x14ac:dyDescent="0.2">
      <c r="A2525" s="1">
        <v>30300</v>
      </c>
      <c r="B2525" s="1" t="str">
        <v>2020-10-02</v>
      </c>
      <c r="C2525" s="1">
        <v>2.4729999999999999</v>
      </c>
      <c r="F2525" s="8">
        <f t="shared" si="117"/>
        <v>30300</v>
      </c>
      <c r="G2525" s="9">
        <f t="shared" si="118"/>
        <v>44106</v>
      </c>
      <c r="H2525" s="10">
        <f t="shared" si="119"/>
        <v>2.4729999999999999</v>
      </c>
    </row>
    <row r="2526" spans="1:8" x14ac:dyDescent="0.2">
      <c r="A2526" s="1">
        <v>10</v>
      </c>
      <c r="B2526" s="1" t="str">
        <v>2020-10-02</v>
      </c>
      <c r="C2526" s="1">
        <v>2.5240999999999998</v>
      </c>
      <c r="F2526" s="8">
        <f t="shared" si="117"/>
        <v>10</v>
      </c>
      <c r="G2526" s="9">
        <f t="shared" si="118"/>
        <v>44106</v>
      </c>
      <c r="H2526" s="10">
        <f t="shared" si="119"/>
        <v>2.5240999999999998</v>
      </c>
    </row>
    <row r="2527" spans="1:8" x14ac:dyDescent="0.2">
      <c r="A2527" s="1">
        <v>49</v>
      </c>
      <c r="B2527" s="1" t="str">
        <v>2020-10-02</v>
      </c>
      <c r="C2527" s="1">
        <v>2.5851000000000002</v>
      </c>
      <c r="F2527" s="8">
        <f t="shared" si="117"/>
        <v>49</v>
      </c>
      <c r="G2527" s="9">
        <f t="shared" si="118"/>
        <v>44106</v>
      </c>
      <c r="H2527" s="10">
        <f t="shared" si="119"/>
        <v>2.5851000000000002</v>
      </c>
    </row>
    <row r="2528" spans="1:8" x14ac:dyDescent="0.2">
      <c r="A2528" s="1">
        <v>32963</v>
      </c>
      <c r="B2528" s="1" t="str">
        <v>2020-10-02</v>
      </c>
      <c r="C2528" s="1">
        <v>1.9132</v>
      </c>
      <c r="F2528" s="8">
        <f t="shared" si="117"/>
        <v>32963</v>
      </c>
      <c r="G2528" s="9">
        <f t="shared" si="118"/>
        <v>44106</v>
      </c>
      <c r="H2528" s="10">
        <f t="shared" si="119"/>
        <v>1.9132</v>
      </c>
    </row>
    <row r="2529" spans="1:8" x14ac:dyDescent="0.2">
      <c r="A2529" s="1">
        <v>161</v>
      </c>
      <c r="B2529" s="1" t="str">
        <v>2020-10-02</v>
      </c>
      <c r="C2529" s="1">
        <v>2.5956000000000001</v>
      </c>
      <c r="F2529" s="8">
        <f t="shared" si="117"/>
        <v>161</v>
      </c>
      <c r="G2529" s="9">
        <f t="shared" si="118"/>
        <v>44106</v>
      </c>
      <c r="H2529" s="10">
        <f t="shared" si="119"/>
        <v>2.5956000000000001</v>
      </c>
    </row>
    <row r="2530" spans="1:8" x14ac:dyDescent="0.2">
      <c r="A2530" s="1">
        <v>81</v>
      </c>
      <c r="B2530" s="1" t="str">
        <v>2020-10-02</v>
      </c>
      <c r="C2530" s="1">
        <v>2.3506999999999998</v>
      </c>
      <c r="F2530" s="8">
        <f t="shared" si="117"/>
        <v>81</v>
      </c>
      <c r="G2530" s="9">
        <f t="shared" si="118"/>
        <v>44106</v>
      </c>
      <c r="H2530" s="10">
        <f t="shared" si="119"/>
        <v>2.3506999999999998</v>
      </c>
    </row>
    <row r="2531" spans="1:8" x14ac:dyDescent="0.2">
      <c r="A2531" s="1">
        <v>32081</v>
      </c>
      <c r="B2531" s="1" t="str">
        <v>2020-10-02</v>
      </c>
      <c r="C2531" s="1">
        <v>2.8401999999999998</v>
      </c>
      <c r="F2531" s="8">
        <f t="shared" si="117"/>
        <v>32081</v>
      </c>
      <c r="G2531" s="9">
        <f t="shared" si="118"/>
        <v>44106</v>
      </c>
      <c r="H2531" s="10">
        <f t="shared" si="119"/>
        <v>2.8401999999999998</v>
      </c>
    </row>
    <row r="2532" spans="1:8" x14ac:dyDescent="0.2">
      <c r="A2532" s="1">
        <v>32340</v>
      </c>
      <c r="B2532" s="1" t="str">
        <v>2020-10-05</v>
      </c>
      <c r="C2532" s="1">
        <v>2.1772</v>
      </c>
      <c r="F2532" s="8">
        <f t="shared" si="117"/>
        <v>32340</v>
      </c>
      <c r="G2532" s="9">
        <f t="shared" si="118"/>
        <v>44109</v>
      </c>
      <c r="H2532" s="10">
        <f t="shared" si="119"/>
        <v>2.1772</v>
      </c>
    </row>
    <row r="2533" spans="1:8" x14ac:dyDescent="0.2">
      <c r="A2533" s="1">
        <v>32560</v>
      </c>
      <c r="B2533" s="1" t="str">
        <v>2020-10-05</v>
      </c>
      <c r="C2533" s="1">
        <v>2.4729999999999999</v>
      </c>
      <c r="F2533" s="8">
        <f t="shared" si="117"/>
        <v>32560</v>
      </c>
      <c r="G2533" s="9">
        <f t="shared" si="118"/>
        <v>44109</v>
      </c>
      <c r="H2533" s="10">
        <f t="shared" si="119"/>
        <v>2.4729999999999999</v>
      </c>
    </row>
    <row r="2534" spans="1:8" x14ac:dyDescent="0.2">
      <c r="A2534" s="1">
        <v>32421</v>
      </c>
      <c r="B2534" s="1" t="str">
        <v>2020-10-05</v>
      </c>
      <c r="C2534" s="1">
        <v>2.3121999999999998</v>
      </c>
      <c r="F2534" s="8">
        <f t="shared" si="117"/>
        <v>32421</v>
      </c>
      <c r="G2534" s="9">
        <f t="shared" si="118"/>
        <v>44109</v>
      </c>
      <c r="H2534" s="10">
        <f t="shared" si="119"/>
        <v>2.3121999999999998</v>
      </c>
    </row>
    <row r="2535" spans="1:8" x14ac:dyDescent="0.2">
      <c r="A2535" s="1">
        <v>34</v>
      </c>
      <c r="B2535" s="1" t="str">
        <v>2020-10-05</v>
      </c>
      <c r="C2535" s="1">
        <v>2.3915999999999999</v>
      </c>
      <c r="F2535" s="8">
        <f t="shared" si="117"/>
        <v>34</v>
      </c>
      <c r="G2535" s="9">
        <f t="shared" si="118"/>
        <v>44109</v>
      </c>
      <c r="H2535" s="10">
        <f t="shared" si="119"/>
        <v>2.3915999999999999</v>
      </c>
    </row>
    <row r="2536" spans="1:8" x14ac:dyDescent="0.2">
      <c r="A2536" s="1">
        <v>77</v>
      </c>
      <c r="B2536" s="1" t="str">
        <v>2020-10-05</v>
      </c>
      <c r="C2536" s="1">
        <v>2.3302999999999998</v>
      </c>
      <c r="F2536" s="8">
        <f t="shared" si="117"/>
        <v>77</v>
      </c>
      <c r="G2536" s="9">
        <f t="shared" si="118"/>
        <v>44109</v>
      </c>
      <c r="H2536" s="10">
        <f t="shared" si="119"/>
        <v>2.3302999999999998</v>
      </c>
    </row>
    <row r="2537" spans="1:8" x14ac:dyDescent="0.2">
      <c r="A2537" s="1">
        <v>33164</v>
      </c>
      <c r="B2537" s="1" t="str">
        <v>2020-10-05</v>
      </c>
      <c r="C2537" s="1">
        <v>2.2387000000000001</v>
      </c>
      <c r="F2537" s="8">
        <f t="shared" si="117"/>
        <v>33164</v>
      </c>
      <c r="G2537" s="9">
        <f t="shared" si="118"/>
        <v>44109</v>
      </c>
      <c r="H2537" s="10">
        <f t="shared" si="119"/>
        <v>2.2387000000000001</v>
      </c>
    </row>
    <row r="2538" spans="1:8" x14ac:dyDescent="0.2">
      <c r="A2538" s="1">
        <v>30350</v>
      </c>
      <c r="B2538" s="1" t="str">
        <v>2020-10-05</v>
      </c>
      <c r="C2538" s="1">
        <v>2.2284000000000002</v>
      </c>
      <c r="F2538" s="8">
        <f t="shared" si="117"/>
        <v>30350</v>
      </c>
      <c r="G2538" s="9">
        <f t="shared" si="118"/>
        <v>44109</v>
      </c>
      <c r="H2538" s="10">
        <f t="shared" si="119"/>
        <v>2.2284000000000002</v>
      </c>
    </row>
    <row r="2539" spans="1:8" x14ac:dyDescent="0.2">
      <c r="A2539" s="1">
        <v>32040</v>
      </c>
      <c r="B2539" s="1" t="str">
        <v>2020-10-05</v>
      </c>
      <c r="C2539" s="1">
        <v>2.6766999999999999</v>
      </c>
      <c r="F2539" s="8">
        <f t="shared" si="117"/>
        <v>32040</v>
      </c>
      <c r="G2539" s="9">
        <f t="shared" si="118"/>
        <v>44109</v>
      </c>
      <c r="H2539" s="10">
        <f t="shared" si="119"/>
        <v>2.6766999999999999</v>
      </c>
    </row>
    <row r="2540" spans="1:8" x14ac:dyDescent="0.2">
      <c r="A2540" s="1">
        <v>178</v>
      </c>
      <c r="B2540" s="1" t="str">
        <v>2020-10-05</v>
      </c>
      <c r="C2540" s="1">
        <v>2.6027999999999998</v>
      </c>
      <c r="F2540" s="8">
        <f t="shared" si="117"/>
        <v>178</v>
      </c>
      <c r="G2540" s="9">
        <f t="shared" si="118"/>
        <v>44109</v>
      </c>
      <c r="H2540" s="10">
        <f t="shared" si="119"/>
        <v>2.6027999999999998</v>
      </c>
    </row>
    <row r="2541" spans="1:8" x14ac:dyDescent="0.2">
      <c r="A2541" s="1">
        <v>99</v>
      </c>
      <c r="B2541" s="1" t="str">
        <v>2020-10-05</v>
      </c>
      <c r="C2541" s="1">
        <v>2.5032999999999999</v>
      </c>
      <c r="F2541" s="8">
        <f t="shared" si="117"/>
        <v>99</v>
      </c>
      <c r="G2541" s="9">
        <f t="shared" si="118"/>
        <v>44109</v>
      </c>
      <c r="H2541" s="10">
        <f t="shared" si="119"/>
        <v>2.5032999999999999</v>
      </c>
    </row>
    <row r="2542" spans="1:8" x14ac:dyDescent="0.2">
      <c r="A2542" s="1">
        <v>147</v>
      </c>
      <c r="B2542" s="1" t="str">
        <v>2020-10-06</v>
      </c>
      <c r="C2542" s="1">
        <v>2.0335999999999999</v>
      </c>
      <c r="F2542" s="8">
        <f t="shared" si="117"/>
        <v>147</v>
      </c>
      <c r="G2542" s="9">
        <f t="shared" si="118"/>
        <v>44110</v>
      </c>
      <c r="H2542" s="10">
        <f t="shared" si="119"/>
        <v>2.0335999999999999</v>
      </c>
    </row>
    <row r="2543" spans="1:8" x14ac:dyDescent="0.2">
      <c r="A2543" s="1">
        <v>2250</v>
      </c>
      <c r="B2543" s="1" t="str">
        <v>2020-10-06</v>
      </c>
      <c r="C2543" s="1">
        <v>2.1738</v>
      </c>
      <c r="F2543" s="8">
        <f t="shared" si="117"/>
        <v>2250</v>
      </c>
      <c r="G2543" s="9">
        <f t="shared" si="118"/>
        <v>44110</v>
      </c>
      <c r="H2543" s="10">
        <f t="shared" si="119"/>
        <v>2.1738</v>
      </c>
    </row>
    <row r="2544" spans="1:8" x14ac:dyDescent="0.2">
      <c r="A2544" s="1">
        <v>33125</v>
      </c>
      <c r="B2544" s="1" t="str">
        <v>2020-10-06</v>
      </c>
      <c r="C2544" s="1">
        <v>2.2791000000000001</v>
      </c>
      <c r="F2544" s="8">
        <f t="shared" si="117"/>
        <v>33125</v>
      </c>
      <c r="G2544" s="9">
        <f t="shared" si="118"/>
        <v>44110</v>
      </c>
      <c r="H2544" s="10">
        <f t="shared" si="119"/>
        <v>2.2791000000000001</v>
      </c>
    </row>
    <row r="2545" spans="1:8" x14ac:dyDescent="0.2">
      <c r="A2545" s="1">
        <v>31</v>
      </c>
      <c r="B2545" s="1" t="str">
        <v>2020-10-06</v>
      </c>
      <c r="C2545" s="1">
        <v>2.1265999999999998</v>
      </c>
      <c r="F2545" s="8">
        <f t="shared" si="117"/>
        <v>31</v>
      </c>
      <c r="G2545" s="9">
        <f t="shared" si="118"/>
        <v>44110</v>
      </c>
      <c r="H2545" s="10">
        <f t="shared" si="119"/>
        <v>2.1265999999999998</v>
      </c>
    </row>
    <row r="2546" spans="1:8" x14ac:dyDescent="0.2">
      <c r="A2546" s="1">
        <v>33043</v>
      </c>
      <c r="B2546" s="1" t="str">
        <v>2020-10-06</v>
      </c>
      <c r="C2546" s="1">
        <v>2.5648</v>
      </c>
      <c r="F2546" s="8">
        <f t="shared" si="117"/>
        <v>33043</v>
      </c>
      <c r="G2546" s="9">
        <f t="shared" si="118"/>
        <v>44110</v>
      </c>
      <c r="H2546" s="10">
        <f t="shared" si="119"/>
        <v>2.5648</v>
      </c>
    </row>
    <row r="2547" spans="1:8" x14ac:dyDescent="0.2">
      <c r="A2547" s="1">
        <v>94</v>
      </c>
      <c r="B2547" s="1" t="str">
        <v>2020-10-06</v>
      </c>
      <c r="C2547" s="1">
        <v>2</v>
      </c>
      <c r="F2547" s="8">
        <f t="shared" si="117"/>
        <v>94</v>
      </c>
      <c r="G2547" s="9">
        <f t="shared" si="118"/>
        <v>44110</v>
      </c>
      <c r="H2547" s="10">
        <f t="shared" si="119"/>
        <v>2</v>
      </c>
    </row>
    <row r="2548" spans="1:8" x14ac:dyDescent="0.2">
      <c r="A2548" s="1">
        <v>102</v>
      </c>
      <c r="B2548" s="1" t="str">
        <v>2020-10-07</v>
      </c>
      <c r="C2548" s="1">
        <v>2.7383000000000002</v>
      </c>
      <c r="F2548" s="8">
        <f t="shared" si="117"/>
        <v>102</v>
      </c>
      <c r="G2548" s="9">
        <f t="shared" si="118"/>
        <v>44111</v>
      </c>
      <c r="H2548" s="10">
        <f t="shared" si="119"/>
        <v>2.7383000000000002</v>
      </c>
    </row>
    <row r="2549" spans="1:8" x14ac:dyDescent="0.2">
      <c r="A2549" s="1">
        <v>32200</v>
      </c>
      <c r="B2549" s="1" t="str">
        <v>2020-10-07</v>
      </c>
      <c r="C2549" s="1">
        <v>2.4424000000000001</v>
      </c>
      <c r="F2549" s="8">
        <f t="shared" si="117"/>
        <v>32200</v>
      </c>
      <c r="G2549" s="9">
        <f t="shared" si="118"/>
        <v>44111</v>
      </c>
      <c r="H2549" s="10">
        <f t="shared" si="119"/>
        <v>2.4424000000000001</v>
      </c>
    </row>
    <row r="2550" spans="1:8" x14ac:dyDescent="0.2">
      <c r="A2550" s="1">
        <v>32222</v>
      </c>
      <c r="B2550" s="1" t="str">
        <v>2020-10-07</v>
      </c>
      <c r="C2550" s="1">
        <v>2.7486000000000002</v>
      </c>
      <c r="F2550" s="8">
        <f t="shared" si="117"/>
        <v>32222</v>
      </c>
      <c r="G2550" s="9">
        <f t="shared" si="118"/>
        <v>44111</v>
      </c>
      <c r="H2550" s="10">
        <f t="shared" si="119"/>
        <v>2.7486000000000002</v>
      </c>
    </row>
    <row r="2551" spans="1:8" x14ac:dyDescent="0.2">
      <c r="A2551" s="1">
        <v>32400</v>
      </c>
      <c r="B2551" s="1" t="str">
        <v>2020-10-07</v>
      </c>
      <c r="C2551" s="1">
        <v>2.4935</v>
      </c>
      <c r="F2551" s="8">
        <f t="shared" si="117"/>
        <v>32400</v>
      </c>
      <c r="G2551" s="9">
        <f t="shared" si="118"/>
        <v>44111</v>
      </c>
      <c r="H2551" s="10">
        <f t="shared" si="119"/>
        <v>2.4935</v>
      </c>
    </row>
    <row r="2552" spans="1:8" x14ac:dyDescent="0.2">
      <c r="A2552" s="1">
        <v>150</v>
      </c>
      <c r="B2552" s="1" t="str">
        <v>2020-10-08</v>
      </c>
      <c r="C2552" s="1">
        <v>2.0398999999999998</v>
      </c>
      <c r="F2552" s="8">
        <f t="shared" si="117"/>
        <v>150</v>
      </c>
      <c r="G2552" s="9">
        <f t="shared" si="118"/>
        <v>44112</v>
      </c>
      <c r="H2552" s="10">
        <f t="shared" si="119"/>
        <v>2.0398999999999998</v>
      </c>
    </row>
    <row r="2553" spans="1:8" x14ac:dyDescent="0.2">
      <c r="A2553" s="1">
        <v>83</v>
      </c>
      <c r="B2553" s="1" t="str">
        <v>2020-10-08</v>
      </c>
      <c r="C2553" s="1">
        <v>2.3504999999999998</v>
      </c>
      <c r="F2553" s="8">
        <f t="shared" si="117"/>
        <v>83</v>
      </c>
      <c r="G2553" s="9">
        <f t="shared" si="118"/>
        <v>44112</v>
      </c>
      <c r="H2553" s="10">
        <f t="shared" si="119"/>
        <v>2.3504999999999998</v>
      </c>
    </row>
    <row r="2554" spans="1:8" x14ac:dyDescent="0.2">
      <c r="A2554" s="1">
        <v>32440</v>
      </c>
      <c r="B2554" s="1" t="str">
        <v>2020-10-09</v>
      </c>
      <c r="C2554" s="1">
        <v>2.0247999999999999</v>
      </c>
      <c r="F2554" s="8">
        <f t="shared" si="117"/>
        <v>32440</v>
      </c>
      <c r="G2554" s="9">
        <f t="shared" si="118"/>
        <v>44113</v>
      </c>
      <c r="H2554" s="10">
        <f t="shared" si="119"/>
        <v>2.0247999999999999</v>
      </c>
    </row>
    <row r="2555" spans="1:8" x14ac:dyDescent="0.2">
      <c r="A2555" s="1">
        <v>16</v>
      </c>
      <c r="B2555" s="1" t="str">
        <v>2020-10-09</v>
      </c>
      <c r="C2555" s="1">
        <v>1.6288</v>
      </c>
      <c r="F2555" s="8">
        <f t="shared" si="117"/>
        <v>16</v>
      </c>
      <c r="G2555" s="9">
        <f t="shared" si="118"/>
        <v>44113</v>
      </c>
      <c r="H2555" s="10">
        <f t="shared" si="119"/>
        <v>1.6288</v>
      </c>
    </row>
    <row r="2556" spans="1:8" x14ac:dyDescent="0.2">
      <c r="A2556" s="1">
        <v>32</v>
      </c>
      <c r="B2556" s="1" t="str">
        <v>2020-10-09</v>
      </c>
      <c r="C2556" s="1">
        <v>2.4321000000000002</v>
      </c>
      <c r="F2556" s="8">
        <f t="shared" si="117"/>
        <v>32</v>
      </c>
      <c r="G2556" s="9">
        <f t="shared" si="118"/>
        <v>44113</v>
      </c>
      <c r="H2556" s="10">
        <f t="shared" si="119"/>
        <v>2.4321000000000002</v>
      </c>
    </row>
    <row r="2557" spans="1:8" x14ac:dyDescent="0.2">
      <c r="A2557" s="1">
        <v>83</v>
      </c>
      <c r="B2557" s="1" t="str">
        <v>2020-10-09</v>
      </c>
      <c r="C2557" s="1">
        <v>2.6154999999999999</v>
      </c>
      <c r="F2557" s="8">
        <f t="shared" si="117"/>
        <v>83</v>
      </c>
      <c r="G2557" s="9">
        <f t="shared" si="118"/>
        <v>44113</v>
      </c>
      <c r="H2557" s="10">
        <f t="shared" si="119"/>
        <v>2.6154999999999999</v>
      </c>
    </row>
    <row r="2558" spans="1:8" x14ac:dyDescent="0.2">
      <c r="A2558" s="1">
        <v>32081</v>
      </c>
      <c r="B2558" s="1" t="str">
        <v>2020-10-09</v>
      </c>
      <c r="C2558" s="1">
        <v>3.0859000000000001</v>
      </c>
      <c r="F2558" s="8">
        <f t="shared" si="117"/>
        <v>32081</v>
      </c>
      <c r="G2558" s="9">
        <f t="shared" si="118"/>
        <v>44113</v>
      </c>
      <c r="H2558" s="10">
        <f t="shared" si="119"/>
        <v>3.0859000000000001</v>
      </c>
    </row>
    <row r="2559" spans="1:8" x14ac:dyDescent="0.2">
      <c r="A2559" s="1">
        <v>8</v>
      </c>
      <c r="B2559" s="1" t="str">
        <v>2020-10-09</v>
      </c>
      <c r="C2559" s="1">
        <v>2.6461999999999999</v>
      </c>
      <c r="F2559" s="8">
        <f t="shared" si="117"/>
        <v>8</v>
      </c>
      <c r="G2559" s="9">
        <f t="shared" si="118"/>
        <v>44113</v>
      </c>
      <c r="H2559" s="10">
        <f t="shared" si="119"/>
        <v>2.6461999999999999</v>
      </c>
    </row>
    <row r="2560" spans="1:8" x14ac:dyDescent="0.2">
      <c r="A2560" s="1">
        <v>156</v>
      </c>
      <c r="B2560" s="1" t="str">
        <v>2020-10-09</v>
      </c>
      <c r="C2560" s="1">
        <v>2.5648</v>
      </c>
      <c r="F2560" s="8">
        <f t="shared" si="117"/>
        <v>156</v>
      </c>
      <c r="G2560" s="9">
        <f t="shared" si="118"/>
        <v>44113</v>
      </c>
      <c r="H2560" s="10">
        <f t="shared" si="119"/>
        <v>2.5648</v>
      </c>
    </row>
    <row r="2561" spans="1:8" x14ac:dyDescent="0.2">
      <c r="A2561" s="1">
        <v>34</v>
      </c>
      <c r="B2561" s="1" t="str">
        <v>2020-10-09</v>
      </c>
      <c r="C2561" s="1">
        <v>2.5954999999999999</v>
      </c>
      <c r="F2561" s="8">
        <f t="shared" si="117"/>
        <v>34</v>
      </c>
      <c r="G2561" s="9">
        <f t="shared" si="118"/>
        <v>44113</v>
      </c>
      <c r="H2561" s="10">
        <f t="shared" si="119"/>
        <v>2.5954999999999999</v>
      </c>
    </row>
    <row r="2562" spans="1:8" x14ac:dyDescent="0.2">
      <c r="A2562" s="1">
        <v>13250</v>
      </c>
      <c r="B2562" s="1" t="str">
        <v>2020-10-09</v>
      </c>
      <c r="C2562" s="1">
        <v>2.4115000000000002</v>
      </c>
      <c r="F2562" s="8">
        <f t="shared" si="117"/>
        <v>13250</v>
      </c>
      <c r="G2562" s="9">
        <f t="shared" si="118"/>
        <v>44113</v>
      </c>
      <c r="H2562" s="10">
        <f t="shared" si="119"/>
        <v>2.4115000000000002</v>
      </c>
    </row>
    <row r="2563" spans="1:8" x14ac:dyDescent="0.2">
      <c r="A2563" s="1">
        <v>90</v>
      </c>
      <c r="B2563" s="1" t="str">
        <v>2020-10-09</v>
      </c>
      <c r="C2563" s="1">
        <v>2.8815</v>
      </c>
      <c r="F2563" s="8">
        <f t="shared" si="117"/>
        <v>90</v>
      </c>
      <c r="G2563" s="9">
        <f t="shared" si="118"/>
        <v>44113</v>
      </c>
      <c r="H2563" s="10">
        <f t="shared" si="119"/>
        <v>2.8815</v>
      </c>
    </row>
    <row r="2564" spans="1:8" x14ac:dyDescent="0.2">
      <c r="A2564" s="1">
        <v>137</v>
      </c>
      <c r="B2564" s="1" t="str">
        <v>2020-10-09</v>
      </c>
      <c r="C2564" s="1">
        <v>2.5137999999999998</v>
      </c>
      <c r="F2564" s="8">
        <f t="shared" si="117"/>
        <v>137</v>
      </c>
      <c r="G2564" s="9">
        <f t="shared" si="118"/>
        <v>44113</v>
      </c>
      <c r="H2564" s="10">
        <f t="shared" si="119"/>
        <v>2.5137999999999998</v>
      </c>
    </row>
    <row r="2565" spans="1:8" x14ac:dyDescent="0.2">
      <c r="A2565" s="1">
        <v>187</v>
      </c>
      <c r="B2565" s="1" t="str">
        <v>2020-10-09</v>
      </c>
      <c r="C2565" s="1">
        <v>2.9740000000000002</v>
      </c>
      <c r="F2565" s="8">
        <f t="shared" si="117"/>
        <v>187</v>
      </c>
      <c r="G2565" s="9">
        <f t="shared" si="118"/>
        <v>44113</v>
      </c>
      <c r="H2565" s="10">
        <f t="shared" si="119"/>
        <v>2.9740000000000002</v>
      </c>
    </row>
    <row r="2566" spans="1:8" x14ac:dyDescent="0.2">
      <c r="A2566" s="1">
        <v>28</v>
      </c>
      <c r="B2566" s="1" t="str">
        <v>2020-10-09</v>
      </c>
      <c r="C2566" s="1">
        <v>2.5642</v>
      </c>
      <c r="F2566" s="8">
        <f t="shared" si="117"/>
        <v>28</v>
      </c>
      <c r="G2566" s="9">
        <f t="shared" si="118"/>
        <v>44113</v>
      </c>
      <c r="H2566" s="10">
        <f t="shared" si="119"/>
        <v>2.5642</v>
      </c>
    </row>
    <row r="2567" spans="1:8" x14ac:dyDescent="0.2">
      <c r="A2567" s="1">
        <v>33130</v>
      </c>
      <c r="B2567" s="1" t="str">
        <v>2020-10-09</v>
      </c>
      <c r="C2567" s="1">
        <v>2.9533</v>
      </c>
      <c r="F2567" s="8">
        <f t="shared" si="117"/>
        <v>33130</v>
      </c>
      <c r="G2567" s="9">
        <f t="shared" si="118"/>
        <v>44113</v>
      </c>
      <c r="H2567" s="10">
        <f t="shared" si="119"/>
        <v>2.9533</v>
      </c>
    </row>
    <row r="2568" spans="1:8" x14ac:dyDescent="0.2">
      <c r="A2568" s="1">
        <v>133</v>
      </c>
      <c r="B2568" s="1" t="str">
        <v>2020-10-09</v>
      </c>
      <c r="C2568" s="1">
        <v>2.7690000000000001</v>
      </c>
      <c r="F2568" s="8">
        <f t="shared" si="117"/>
        <v>133</v>
      </c>
      <c r="G2568" s="9">
        <f t="shared" si="118"/>
        <v>44113</v>
      </c>
      <c r="H2568" s="10">
        <f t="shared" si="119"/>
        <v>2.7690000000000001</v>
      </c>
    </row>
    <row r="2569" spans="1:8" x14ac:dyDescent="0.2">
      <c r="A2569" s="1">
        <v>32783</v>
      </c>
      <c r="B2569" s="1" t="str">
        <v>2020-10-09</v>
      </c>
      <c r="C2569" s="1">
        <v>2.8203</v>
      </c>
      <c r="F2569" s="8">
        <f t="shared" ref="F2569:F2632" si="120">A2569</f>
        <v>32783</v>
      </c>
      <c r="G2569" s="9">
        <f t="shared" ref="G2569:G2632" si="121">DATE(LEFT(B2569,4),MID(B2569,6,2),RIGHT(B2569,2))</f>
        <v>44113</v>
      </c>
      <c r="H2569" s="10">
        <f t="shared" ref="H2569:H2632" si="122">C2569</f>
        <v>2.8203</v>
      </c>
    </row>
    <row r="2570" spans="1:8" x14ac:dyDescent="0.2">
      <c r="A2570" s="1">
        <v>147</v>
      </c>
      <c r="B2570" s="1" t="str">
        <v>2020-10-09</v>
      </c>
      <c r="C2570" s="1">
        <v>2.3389000000000002</v>
      </c>
      <c r="F2570" s="8">
        <f t="shared" si="120"/>
        <v>147</v>
      </c>
      <c r="G2570" s="9">
        <f t="shared" si="121"/>
        <v>44113</v>
      </c>
      <c r="H2570" s="10">
        <f t="shared" si="122"/>
        <v>2.3389000000000002</v>
      </c>
    </row>
    <row r="2571" spans="1:8" x14ac:dyDescent="0.2">
      <c r="A2571" s="1">
        <v>33103</v>
      </c>
      <c r="B2571" s="1" t="str">
        <v>2020-10-09</v>
      </c>
      <c r="C2571" s="1">
        <v>2.8006000000000002</v>
      </c>
      <c r="F2571" s="8">
        <f t="shared" si="120"/>
        <v>33103</v>
      </c>
      <c r="G2571" s="9">
        <f t="shared" si="121"/>
        <v>44113</v>
      </c>
      <c r="H2571" s="10">
        <f t="shared" si="122"/>
        <v>2.8006000000000002</v>
      </c>
    </row>
    <row r="2572" spans="1:8" x14ac:dyDescent="0.2">
      <c r="A2572" s="1">
        <v>32724</v>
      </c>
      <c r="B2572" s="1" t="str">
        <v>2020-10-09</v>
      </c>
      <c r="C2572" s="1">
        <v>2.6055999999999999</v>
      </c>
      <c r="F2572" s="8">
        <f t="shared" si="120"/>
        <v>32724</v>
      </c>
      <c r="G2572" s="9">
        <f t="shared" si="121"/>
        <v>44113</v>
      </c>
      <c r="H2572" s="10">
        <f t="shared" si="122"/>
        <v>2.6055999999999999</v>
      </c>
    </row>
    <row r="2573" spans="1:8" x14ac:dyDescent="0.2">
      <c r="A2573" s="1">
        <v>115</v>
      </c>
      <c r="B2573" s="1" t="str">
        <v>2020-10-09</v>
      </c>
      <c r="C2573" s="1">
        <v>2.7077</v>
      </c>
      <c r="F2573" s="8">
        <f t="shared" si="120"/>
        <v>115</v>
      </c>
      <c r="G2573" s="9">
        <f t="shared" si="121"/>
        <v>44113</v>
      </c>
      <c r="H2573" s="10">
        <f t="shared" si="122"/>
        <v>2.7077</v>
      </c>
    </row>
    <row r="2574" spans="1:8" x14ac:dyDescent="0.2">
      <c r="A2574" s="1">
        <v>157</v>
      </c>
      <c r="B2574" s="1" t="str">
        <v>2020-10-09</v>
      </c>
      <c r="C2574" s="1">
        <v>2.4626999999999999</v>
      </c>
      <c r="F2574" s="8">
        <f t="shared" si="120"/>
        <v>157</v>
      </c>
      <c r="G2574" s="9">
        <f t="shared" si="121"/>
        <v>44113</v>
      </c>
      <c r="H2574" s="10">
        <f t="shared" si="122"/>
        <v>2.4626999999999999</v>
      </c>
    </row>
    <row r="2575" spans="1:8" x14ac:dyDescent="0.2">
      <c r="A2575" s="1">
        <v>33125</v>
      </c>
      <c r="B2575" s="1" t="str">
        <v>2020-10-09</v>
      </c>
      <c r="C2575" s="1">
        <v>2.5335999999999999</v>
      </c>
      <c r="F2575" s="8">
        <f t="shared" si="120"/>
        <v>33125</v>
      </c>
      <c r="G2575" s="9">
        <f t="shared" si="121"/>
        <v>44113</v>
      </c>
      <c r="H2575" s="10">
        <f t="shared" si="122"/>
        <v>2.5335999999999999</v>
      </c>
    </row>
    <row r="2576" spans="1:8" x14ac:dyDescent="0.2">
      <c r="A2576" s="1">
        <v>55</v>
      </c>
      <c r="B2576" s="1" t="str">
        <v>2020-10-09</v>
      </c>
      <c r="C2576" s="1">
        <v>2.7587999999999999</v>
      </c>
      <c r="F2576" s="8">
        <f t="shared" si="120"/>
        <v>55</v>
      </c>
      <c r="G2576" s="9">
        <f t="shared" si="121"/>
        <v>44113</v>
      </c>
      <c r="H2576" s="10">
        <f t="shared" si="122"/>
        <v>2.7587999999999999</v>
      </c>
    </row>
    <row r="2577" spans="1:8" x14ac:dyDescent="0.2">
      <c r="A2577" s="1">
        <v>139</v>
      </c>
      <c r="B2577" s="1" t="str">
        <v>2020-10-09</v>
      </c>
      <c r="C2577" s="1">
        <v>2.7073999999999998</v>
      </c>
      <c r="F2577" s="8">
        <f t="shared" si="120"/>
        <v>139</v>
      </c>
      <c r="G2577" s="9">
        <f t="shared" si="121"/>
        <v>44113</v>
      </c>
      <c r="H2577" s="10">
        <f t="shared" si="122"/>
        <v>2.7073999999999998</v>
      </c>
    </row>
    <row r="2578" spans="1:8" x14ac:dyDescent="0.2">
      <c r="A2578" s="1">
        <v>33143</v>
      </c>
      <c r="B2578" s="1" t="str">
        <v>2020-10-09</v>
      </c>
      <c r="C2578" s="1">
        <v>2.8</v>
      </c>
      <c r="F2578" s="8">
        <f t="shared" si="120"/>
        <v>33143</v>
      </c>
      <c r="G2578" s="9">
        <f t="shared" si="121"/>
        <v>44113</v>
      </c>
      <c r="H2578" s="10">
        <f t="shared" si="122"/>
        <v>2.8</v>
      </c>
    </row>
    <row r="2579" spans="1:8" x14ac:dyDescent="0.2">
      <c r="A2579" s="1">
        <v>32560</v>
      </c>
      <c r="B2579" s="1" t="str">
        <v>2020-10-09</v>
      </c>
      <c r="C2579" s="1">
        <v>2.7789999999999999</v>
      </c>
      <c r="F2579" s="8">
        <f t="shared" si="120"/>
        <v>32560</v>
      </c>
      <c r="G2579" s="9">
        <f t="shared" si="121"/>
        <v>44113</v>
      </c>
      <c r="H2579" s="10">
        <f t="shared" si="122"/>
        <v>2.7789999999999999</v>
      </c>
    </row>
    <row r="2580" spans="1:8" x14ac:dyDescent="0.2">
      <c r="A2580" s="1">
        <v>32582</v>
      </c>
      <c r="B2580" s="1" t="str">
        <v>2020-10-09</v>
      </c>
      <c r="C2580" s="1">
        <v>2.9228000000000001</v>
      </c>
      <c r="F2580" s="8">
        <f t="shared" si="120"/>
        <v>32582</v>
      </c>
      <c r="G2580" s="9">
        <f t="shared" si="121"/>
        <v>44113</v>
      </c>
      <c r="H2580" s="10">
        <f t="shared" si="122"/>
        <v>2.9228000000000001</v>
      </c>
    </row>
    <row r="2581" spans="1:8" x14ac:dyDescent="0.2">
      <c r="A2581" s="1">
        <v>181</v>
      </c>
      <c r="B2581" s="1" t="str">
        <v>2020-10-09</v>
      </c>
      <c r="C2581" s="1">
        <v>2.5848</v>
      </c>
      <c r="F2581" s="8">
        <f t="shared" si="120"/>
        <v>181</v>
      </c>
      <c r="G2581" s="9">
        <f t="shared" si="121"/>
        <v>44113</v>
      </c>
      <c r="H2581" s="10">
        <f t="shared" si="122"/>
        <v>2.5848</v>
      </c>
    </row>
    <row r="2582" spans="1:8" x14ac:dyDescent="0.2">
      <c r="A2582" s="1">
        <v>32501</v>
      </c>
      <c r="B2582" s="1" t="str">
        <v>2020-10-09</v>
      </c>
      <c r="C2582" s="1">
        <v>3.0251000000000001</v>
      </c>
      <c r="F2582" s="8">
        <f t="shared" si="120"/>
        <v>32501</v>
      </c>
      <c r="G2582" s="9">
        <f t="shared" si="121"/>
        <v>44113</v>
      </c>
      <c r="H2582" s="10">
        <f t="shared" si="122"/>
        <v>3.0251000000000001</v>
      </c>
    </row>
    <row r="2583" spans="1:8" x14ac:dyDescent="0.2">
      <c r="A2583" s="1">
        <v>49</v>
      </c>
      <c r="B2583" s="1" t="str">
        <v>2020-10-09</v>
      </c>
      <c r="C2583" s="1">
        <v>2.8816999999999999</v>
      </c>
      <c r="F2583" s="8">
        <f t="shared" si="120"/>
        <v>49</v>
      </c>
      <c r="G2583" s="9">
        <f t="shared" si="121"/>
        <v>44113</v>
      </c>
      <c r="H2583" s="10">
        <f t="shared" si="122"/>
        <v>2.8816999999999999</v>
      </c>
    </row>
    <row r="2584" spans="1:8" x14ac:dyDescent="0.2">
      <c r="A2584" s="1">
        <v>32280</v>
      </c>
      <c r="B2584" s="1" t="str">
        <v>2020-10-09</v>
      </c>
      <c r="C2584" s="1">
        <v>2.9676999999999998</v>
      </c>
      <c r="F2584" s="8">
        <f t="shared" si="120"/>
        <v>32280</v>
      </c>
      <c r="G2584" s="9">
        <f t="shared" si="121"/>
        <v>44113</v>
      </c>
      <c r="H2584" s="10">
        <f t="shared" si="122"/>
        <v>2.9676999999999998</v>
      </c>
    </row>
    <row r="2585" spans="1:8" x14ac:dyDescent="0.2">
      <c r="A2585" s="1">
        <v>99</v>
      </c>
      <c r="B2585" s="1" t="str">
        <v>2020-10-09</v>
      </c>
      <c r="C2585" s="1">
        <v>2.4422000000000001</v>
      </c>
      <c r="F2585" s="8">
        <f t="shared" si="120"/>
        <v>99</v>
      </c>
      <c r="G2585" s="9">
        <f t="shared" si="121"/>
        <v>44113</v>
      </c>
      <c r="H2585" s="10">
        <f t="shared" si="122"/>
        <v>2.4422000000000001</v>
      </c>
    </row>
    <row r="2586" spans="1:8" x14ac:dyDescent="0.2">
      <c r="A2586" s="1">
        <v>67</v>
      </c>
      <c r="B2586" s="1" t="str">
        <v>2020-10-09</v>
      </c>
      <c r="C2586" s="1">
        <v>2.9733999999999998</v>
      </c>
      <c r="F2586" s="8">
        <f t="shared" si="120"/>
        <v>67</v>
      </c>
      <c r="G2586" s="9">
        <f t="shared" si="121"/>
        <v>44113</v>
      </c>
      <c r="H2586" s="10">
        <f t="shared" si="122"/>
        <v>2.9733999999999998</v>
      </c>
    </row>
    <row r="2587" spans="1:8" x14ac:dyDescent="0.2">
      <c r="A2587" s="1">
        <v>161</v>
      </c>
      <c r="B2587" s="1" t="str">
        <v>2020-10-09</v>
      </c>
      <c r="C2587" s="1">
        <v>2.9430000000000001</v>
      </c>
      <c r="F2587" s="8">
        <f t="shared" si="120"/>
        <v>161</v>
      </c>
      <c r="G2587" s="9">
        <f t="shared" si="121"/>
        <v>44113</v>
      </c>
      <c r="H2587" s="10">
        <f t="shared" si="122"/>
        <v>2.9430000000000001</v>
      </c>
    </row>
    <row r="2588" spans="1:8" x14ac:dyDescent="0.2">
      <c r="A2588" s="1">
        <v>33203</v>
      </c>
      <c r="B2588" s="1" t="str">
        <v>2020-10-09</v>
      </c>
      <c r="C2588" s="1">
        <v>2.5988000000000002</v>
      </c>
      <c r="F2588" s="8">
        <f t="shared" si="120"/>
        <v>33203</v>
      </c>
      <c r="G2588" s="9">
        <f t="shared" si="121"/>
        <v>44113</v>
      </c>
      <c r="H2588" s="10">
        <f t="shared" si="122"/>
        <v>2.5988000000000002</v>
      </c>
    </row>
    <row r="2589" spans="1:8" x14ac:dyDescent="0.2">
      <c r="A2589" s="1">
        <v>78</v>
      </c>
      <c r="B2589" s="1" t="str">
        <v>2020-10-09</v>
      </c>
      <c r="C2589" s="1">
        <v>2.8917999999999999</v>
      </c>
      <c r="F2589" s="8">
        <f t="shared" si="120"/>
        <v>78</v>
      </c>
      <c r="G2589" s="9">
        <f t="shared" si="121"/>
        <v>44113</v>
      </c>
      <c r="H2589" s="10">
        <f t="shared" si="122"/>
        <v>2.8917999999999999</v>
      </c>
    </row>
    <row r="2590" spans="1:8" x14ac:dyDescent="0.2">
      <c r="A2590" s="1">
        <v>81</v>
      </c>
      <c r="B2590" s="1" t="str">
        <v>2020-10-09</v>
      </c>
      <c r="C2590" s="1">
        <v>2.6669999999999998</v>
      </c>
      <c r="F2590" s="8">
        <f t="shared" si="120"/>
        <v>81</v>
      </c>
      <c r="G2590" s="9">
        <f t="shared" si="121"/>
        <v>44113</v>
      </c>
      <c r="H2590" s="10">
        <f t="shared" si="122"/>
        <v>2.6669999999999998</v>
      </c>
    </row>
    <row r="2591" spans="1:8" x14ac:dyDescent="0.2">
      <c r="A2591" s="1">
        <v>32260</v>
      </c>
      <c r="B2591" s="1" t="str">
        <v>2020-10-09</v>
      </c>
      <c r="C2591" s="1">
        <v>2.9329999999999998</v>
      </c>
      <c r="F2591" s="8">
        <f t="shared" si="120"/>
        <v>32260</v>
      </c>
      <c r="G2591" s="9">
        <f t="shared" si="121"/>
        <v>44113</v>
      </c>
      <c r="H2591" s="10">
        <f t="shared" si="122"/>
        <v>2.9329999999999998</v>
      </c>
    </row>
    <row r="2592" spans="1:8" x14ac:dyDescent="0.2">
      <c r="A2592" s="1">
        <v>94</v>
      </c>
      <c r="B2592" s="1" t="str">
        <v>2020-10-09</v>
      </c>
      <c r="C2592" s="1">
        <v>2.6461000000000001</v>
      </c>
      <c r="F2592" s="8">
        <f t="shared" si="120"/>
        <v>94</v>
      </c>
      <c r="G2592" s="9">
        <f t="shared" si="121"/>
        <v>44113</v>
      </c>
      <c r="H2592" s="10">
        <f t="shared" si="122"/>
        <v>2.6461000000000001</v>
      </c>
    </row>
    <row r="2593" spans="1:8" x14ac:dyDescent="0.2">
      <c r="A2593" s="1">
        <v>10</v>
      </c>
      <c r="B2593" s="1" t="str">
        <v>2020-10-09</v>
      </c>
      <c r="C2593" s="1">
        <v>2.8405999999999998</v>
      </c>
      <c r="F2593" s="8">
        <f t="shared" si="120"/>
        <v>10</v>
      </c>
      <c r="G2593" s="9">
        <f t="shared" si="121"/>
        <v>44113</v>
      </c>
      <c r="H2593" s="10">
        <f t="shared" si="122"/>
        <v>2.8405999999999998</v>
      </c>
    </row>
    <row r="2594" spans="1:8" x14ac:dyDescent="0.2">
      <c r="A2594" s="1">
        <v>32400</v>
      </c>
      <c r="B2594" s="1" t="str">
        <v>2020-10-09</v>
      </c>
      <c r="C2594" s="1">
        <v>2.9123999999999999</v>
      </c>
      <c r="F2594" s="8">
        <f t="shared" si="120"/>
        <v>32400</v>
      </c>
      <c r="G2594" s="9">
        <f t="shared" si="121"/>
        <v>44113</v>
      </c>
      <c r="H2594" s="10">
        <f t="shared" si="122"/>
        <v>2.9123999999999999</v>
      </c>
    </row>
    <row r="2595" spans="1:8" x14ac:dyDescent="0.2">
      <c r="A2595" s="1">
        <v>2250</v>
      </c>
      <c r="B2595" s="1" t="str">
        <v>2020-10-13</v>
      </c>
      <c r="C2595" s="1">
        <v>2.9842</v>
      </c>
      <c r="F2595" s="8">
        <f t="shared" si="120"/>
        <v>2250</v>
      </c>
      <c r="G2595" s="9">
        <f t="shared" si="121"/>
        <v>44117</v>
      </c>
      <c r="H2595" s="10">
        <f t="shared" si="122"/>
        <v>2.9842</v>
      </c>
    </row>
    <row r="2596" spans="1:8" x14ac:dyDescent="0.2">
      <c r="A2596" s="1">
        <v>24</v>
      </c>
      <c r="B2596" s="1" t="str">
        <v>2020-10-13</v>
      </c>
      <c r="C2596" s="1">
        <v>2.4015</v>
      </c>
      <c r="F2596" s="8">
        <f t="shared" si="120"/>
        <v>24</v>
      </c>
      <c r="G2596" s="9">
        <f t="shared" si="121"/>
        <v>44117</v>
      </c>
      <c r="H2596" s="10">
        <f t="shared" si="122"/>
        <v>2.4015</v>
      </c>
    </row>
    <row r="2597" spans="1:8" x14ac:dyDescent="0.2">
      <c r="A2597" s="1">
        <v>37</v>
      </c>
      <c r="B2597" s="1" t="str">
        <v>2020-10-13</v>
      </c>
      <c r="C2597" s="1">
        <v>2.8405999999999998</v>
      </c>
      <c r="F2597" s="8">
        <f t="shared" si="120"/>
        <v>37</v>
      </c>
      <c r="G2597" s="9">
        <f t="shared" si="121"/>
        <v>44117</v>
      </c>
      <c r="H2597" s="10">
        <f t="shared" si="122"/>
        <v>2.8405999999999998</v>
      </c>
    </row>
    <row r="2598" spans="1:8" x14ac:dyDescent="0.2">
      <c r="A2598" s="1">
        <v>30400</v>
      </c>
      <c r="B2598" s="1" t="str">
        <v>2020-10-13</v>
      </c>
      <c r="C2598" s="1">
        <v>3.0043000000000002</v>
      </c>
      <c r="F2598" s="8">
        <f t="shared" si="120"/>
        <v>30400</v>
      </c>
      <c r="G2598" s="9">
        <f t="shared" si="121"/>
        <v>44117</v>
      </c>
      <c r="H2598" s="10">
        <f t="shared" si="122"/>
        <v>3.0043000000000002</v>
      </c>
    </row>
    <row r="2599" spans="1:8" x14ac:dyDescent="0.2">
      <c r="A2599" s="1">
        <v>32421</v>
      </c>
      <c r="B2599" s="1" t="str">
        <v>2020-10-13</v>
      </c>
      <c r="C2599" s="1">
        <v>2.6722000000000001</v>
      </c>
      <c r="F2599" s="8">
        <f t="shared" si="120"/>
        <v>32421</v>
      </c>
      <c r="G2599" s="9">
        <f t="shared" si="121"/>
        <v>44117</v>
      </c>
      <c r="H2599" s="10">
        <f t="shared" si="122"/>
        <v>2.6722000000000001</v>
      </c>
    </row>
    <row r="2600" spans="1:8" x14ac:dyDescent="0.2">
      <c r="A2600" s="1">
        <v>30350</v>
      </c>
      <c r="B2600" s="1" t="str">
        <v>2020-10-13</v>
      </c>
      <c r="C2600" s="1">
        <v>2.6772</v>
      </c>
      <c r="F2600" s="8">
        <f t="shared" si="120"/>
        <v>30350</v>
      </c>
      <c r="G2600" s="9">
        <f t="shared" si="121"/>
        <v>44117</v>
      </c>
      <c r="H2600" s="10">
        <f t="shared" si="122"/>
        <v>2.6772</v>
      </c>
    </row>
    <row r="2601" spans="1:8" x14ac:dyDescent="0.2">
      <c r="A2601" s="1">
        <v>32082</v>
      </c>
      <c r="B2601" s="1" t="str">
        <v>2020-10-13</v>
      </c>
      <c r="C2601" s="1">
        <v>3.0865</v>
      </c>
      <c r="F2601" s="8">
        <f t="shared" si="120"/>
        <v>32082</v>
      </c>
      <c r="G2601" s="9">
        <f t="shared" si="121"/>
        <v>44117</v>
      </c>
      <c r="H2601" s="10">
        <f t="shared" si="122"/>
        <v>3.0865</v>
      </c>
    </row>
    <row r="2602" spans="1:8" x14ac:dyDescent="0.2">
      <c r="A2602" s="1">
        <v>53</v>
      </c>
      <c r="B2602" s="1" t="str">
        <v>2020-10-13</v>
      </c>
      <c r="C2602" s="1">
        <v>2.9220999999999999</v>
      </c>
      <c r="F2602" s="8">
        <f t="shared" si="120"/>
        <v>53</v>
      </c>
      <c r="G2602" s="9">
        <f t="shared" si="121"/>
        <v>44117</v>
      </c>
      <c r="H2602" s="10">
        <f t="shared" si="122"/>
        <v>2.9220999999999999</v>
      </c>
    </row>
    <row r="2603" spans="1:8" x14ac:dyDescent="0.2">
      <c r="A2603" s="1">
        <v>28</v>
      </c>
      <c r="B2603" s="1" t="str">
        <v>2020-10-14</v>
      </c>
      <c r="C2603" s="1">
        <v>2.9632000000000001</v>
      </c>
      <c r="F2603" s="8">
        <f t="shared" si="120"/>
        <v>28</v>
      </c>
      <c r="G2603" s="9">
        <f t="shared" si="121"/>
        <v>44118</v>
      </c>
      <c r="H2603" s="10">
        <f t="shared" si="122"/>
        <v>2.9632000000000001</v>
      </c>
    </row>
    <row r="2604" spans="1:8" x14ac:dyDescent="0.2">
      <c r="A2604" s="1">
        <v>115</v>
      </c>
      <c r="B2604" s="1" t="str">
        <v>2020-10-14</v>
      </c>
      <c r="C2604" s="1">
        <v>2.7077</v>
      </c>
      <c r="F2604" s="8">
        <f t="shared" si="120"/>
        <v>115</v>
      </c>
      <c r="G2604" s="9">
        <f t="shared" si="121"/>
        <v>44118</v>
      </c>
      <c r="H2604" s="10">
        <f t="shared" si="122"/>
        <v>2.7077</v>
      </c>
    </row>
    <row r="2605" spans="1:8" x14ac:dyDescent="0.2">
      <c r="A2605" s="1">
        <v>178</v>
      </c>
      <c r="B2605" s="1" t="str">
        <v>2020-10-14</v>
      </c>
      <c r="C2605" s="1">
        <v>2.67</v>
      </c>
      <c r="F2605" s="8">
        <f t="shared" si="120"/>
        <v>178</v>
      </c>
      <c r="G2605" s="9">
        <f t="shared" si="121"/>
        <v>44118</v>
      </c>
      <c r="H2605" s="10">
        <f t="shared" si="122"/>
        <v>2.67</v>
      </c>
    </row>
    <row r="2606" spans="1:8" x14ac:dyDescent="0.2">
      <c r="A2606" s="1">
        <v>32983</v>
      </c>
      <c r="B2606" s="1" t="str">
        <v>2020-10-14</v>
      </c>
      <c r="C2606" s="1">
        <v>2.4015</v>
      </c>
      <c r="F2606" s="8">
        <f t="shared" si="120"/>
        <v>32983</v>
      </c>
      <c r="G2606" s="9">
        <f t="shared" si="121"/>
        <v>44118</v>
      </c>
      <c r="H2606" s="10">
        <f t="shared" si="122"/>
        <v>2.4015</v>
      </c>
    </row>
    <row r="2607" spans="1:8" x14ac:dyDescent="0.2">
      <c r="A2607" s="1">
        <v>32663</v>
      </c>
      <c r="B2607" s="1" t="str">
        <v>2020-10-14</v>
      </c>
      <c r="C2607" s="1">
        <v>2.5137</v>
      </c>
      <c r="F2607" s="8">
        <f t="shared" si="120"/>
        <v>32663</v>
      </c>
      <c r="G2607" s="9">
        <f t="shared" si="121"/>
        <v>44118</v>
      </c>
      <c r="H2607" s="10">
        <f t="shared" si="122"/>
        <v>2.5137</v>
      </c>
    </row>
    <row r="2608" spans="1:8" x14ac:dyDescent="0.2">
      <c r="A2608" s="1">
        <v>77</v>
      </c>
      <c r="B2608" s="1" t="str">
        <v>2020-10-14</v>
      </c>
      <c r="C2608" s="1">
        <v>2.4525000000000001</v>
      </c>
      <c r="F2608" s="8">
        <f t="shared" si="120"/>
        <v>77</v>
      </c>
      <c r="G2608" s="9">
        <f t="shared" si="121"/>
        <v>44118</v>
      </c>
      <c r="H2608" s="10">
        <f t="shared" si="122"/>
        <v>2.4525000000000001</v>
      </c>
    </row>
    <row r="2609" spans="1:8" x14ac:dyDescent="0.2">
      <c r="A2609" s="1">
        <v>20</v>
      </c>
      <c r="B2609" s="1" t="str">
        <v>2020-10-14</v>
      </c>
      <c r="C2609" s="1">
        <v>2.5440999999999998</v>
      </c>
      <c r="F2609" s="8">
        <f t="shared" si="120"/>
        <v>20</v>
      </c>
      <c r="G2609" s="9">
        <f t="shared" si="121"/>
        <v>44118</v>
      </c>
      <c r="H2609" s="10">
        <f t="shared" si="122"/>
        <v>2.5440999999999998</v>
      </c>
    </row>
    <row r="2610" spans="1:8" x14ac:dyDescent="0.2">
      <c r="A2610" s="1">
        <v>49</v>
      </c>
      <c r="B2610" s="1" t="str">
        <v>2020-10-14</v>
      </c>
      <c r="C2610" s="1">
        <v>2.8508</v>
      </c>
      <c r="F2610" s="8">
        <f t="shared" si="120"/>
        <v>49</v>
      </c>
      <c r="G2610" s="9">
        <f t="shared" si="121"/>
        <v>44118</v>
      </c>
      <c r="H2610" s="10">
        <f t="shared" si="122"/>
        <v>2.8508</v>
      </c>
    </row>
    <row r="2611" spans="1:8" x14ac:dyDescent="0.2">
      <c r="A2611" s="1">
        <v>32420</v>
      </c>
      <c r="B2611" s="1" t="str">
        <v>2020-10-15</v>
      </c>
      <c r="C2611" s="1">
        <v>2.8334999999999999</v>
      </c>
      <c r="F2611" s="8">
        <f t="shared" si="120"/>
        <v>32420</v>
      </c>
      <c r="G2611" s="9">
        <f t="shared" si="121"/>
        <v>44119</v>
      </c>
      <c r="H2611" s="10">
        <f t="shared" si="122"/>
        <v>2.8334999999999999</v>
      </c>
    </row>
    <row r="2612" spans="1:8" x14ac:dyDescent="0.2">
      <c r="A2612" s="1">
        <v>176</v>
      </c>
      <c r="B2612" s="1" t="str">
        <v>2020-10-15</v>
      </c>
      <c r="C2612" s="1">
        <v>2.718</v>
      </c>
      <c r="F2612" s="8">
        <f t="shared" si="120"/>
        <v>176</v>
      </c>
      <c r="G2612" s="9">
        <f t="shared" si="121"/>
        <v>44119</v>
      </c>
      <c r="H2612" s="10">
        <f t="shared" si="122"/>
        <v>2.718</v>
      </c>
    </row>
    <row r="2613" spans="1:8" x14ac:dyDescent="0.2">
      <c r="A2613" s="1">
        <v>32380</v>
      </c>
      <c r="B2613" s="1" t="str">
        <v>2020-10-15</v>
      </c>
      <c r="C2613" s="1">
        <v>2.5545</v>
      </c>
      <c r="F2613" s="8">
        <f t="shared" si="120"/>
        <v>32380</v>
      </c>
      <c r="G2613" s="9">
        <f t="shared" si="121"/>
        <v>44119</v>
      </c>
      <c r="H2613" s="10">
        <f t="shared" si="122"/>
        <v>2.5545</v>
      </c>
    </row>
    <row r="2614" spans="1:8" x14ac:dyDescent="0.2">
      <c r="A2614" s="1">
        <v>101</v>
      </c>
      <c r="B2614" s="1" t="str">
        <v>2020-10-15</v>
      </c>
      <c r="C2614" s="1">
        <v>2.7690000000000001</v>
      </c>
      <c r="F2614" s="8">
        <f t="shared" si="120"/>
        <v>101</v>
      </c>
      <c r="G2614" s="9">
        <f t="shared" si="121"/>
        <v>44119</v>
      </c>
      <c r="H2614" s="10">
        <f t="shared" si="122"/>
        <v>2.7690000000000001</v>
      </c>
    </row>
    <row r="2615" spans="1:8" x14ac:dyDescent="0.2">
      <c r="A2615" s="1">
        <v>30250</v>
      </c>
      <c r="B2615" s="1" t="str">
        <v>2020-10-15</v>
      </c>
      <c r="C2615" s="1">
        <v>3.0348000000000002</v>
      </c>
      <c r="F2615" s="8">
        <f t="shared" si="120"/>
        <v>30250</v>
      </c>
      <c r="G2615" s="9">
        <f t="shared" si="121"/>
        <v>44119</v>
      </c>
      <c r="H2615" s="10">
        <f t="shared" si="122"/>
        <v>3.0348000000000002</v>
      </c>
    </row>
    <row r="2616" spans="1:8" x14ac:dyDescent="0.2">
      <c r="A2616" s="1">
        <v>139</v>
      </c>
      <c r="B2616" s="1" t="str">
        <v>2020-10-15</v>
      </c>
      <c r="C2616" s="1">
        <v>2.7073999999999998</v>
      </c>
      <c r="F2616" s="8">
        <f t="shared" si="120"/>
        <v>139</v>
      </c>
      <c r="G2616" s="9">
        <f t="shared" si="121"/>
        <v>44119</v>
      </c>
      <c r="H2616" s="10">
        <f t="shared" si="122"/>
        <v>2.7073999999999998</v>
      </c>
    </row>
    <row r="2617" spans="1:8" x14ac:dyDescent="0.2">
      <c r="A2617" s="1">
        <v>32121</v>
      </c>
      <c r="B2617" s="1" t="str">
        <v>2020-10-15</v>
      </c>
      <c r="C2617" s="1">
        <v>3.0762</v>
      </c>
      <c r="F2617" s="8">
        <f t="shared" si="120"/>
        <v>32121</v>
      </c>
      <c r="G2617" s="9">
        <f t="shared" si="121"/>
        <v>44119</v>
      </c>
      <c r="H2617" s="10">
        <f t="shared" si="122"/>
        <v>3.0762</v>
      </c>
    </row>
    <row r="2618" spans="1:8" x14ac:dyDescent="0.2">
      <c r="A2618" s="1">
        <v>32222</v>
      </c>
      <c r="B2618" s="1" t="str">
        <v>2020-10-16</v>
      </c>
      <c r="C2618" s="1">
        <v>3.0350999999999999</v>
      </c>
      <c r="F2618" s="8">
        <f t="shared" si="120"/>
        <v>32222</v>
      </c>
      <c r="G2618" s="9">
        <f t="shared" si="121"/>
        <v>44120</v>
      </c>
      <c r="H2618" s="10">
        <f t="shared" si="122"/>
        <v>3.0350999999999999</v>
      </c>
    </row>
    <row r="2619" spans="1:8" x14ac:dyDescent="0.2">
      <c r="A2619" s="1">
        <v>161</v>
      </c>
      <c r="B2619" s="1" t="str">
        <v>2020-10-16</v>
      </c>
      <c r="C2619" s="1">
        <v>3.0249000000000001</v>
      </c>
      <c r="F2619" s="8">
        <f t="shared" si="120"/>
        <v>161</v>
      </c>
      <c r="G2619" s="9">
        <f t="shared" si="121"/>
        <v>44120</v>
      </c>
      <c r="H2619" s="10">
        <f t="shared" si="122"/>
        <v>3.0249000000000001</v>
      </c>
    </row>
    <row r="2620" spans="1:8" x14ac:dyDescent="0.2">
      <c r="A2620" s="1">
        <v>32180</v>
      </c>
      <c r="B2620" s="1" t="str">
        <v>2020-10-16</v>
      </c>
      <c r="C2620" s="1">
        <v>2.5926</v>
      </c>
      <c r="F2620" s="8">
        <f t="shared" si="120"/>
        <v>32180</v>
      </c>
      <c r="G2620" s="9">
        <f t="shared" si="121"/>
        <v>44120</v>
      </c>
      <c r="H2620" s="10">
        <f t="shared" si="122"/>
        <v>2.5926</v>
      </c>
    </row>
    <row r="2621" spans="1:8" x14ac:dyDescent="0.2">
      <c r="A2621" s="1">
        <v>49</v>
      </c>
      <c r="B2621" s="1" t="str">
        <v>2020-10-16</v>
      </c>
      <c r="C2621" s="1">
        <v>2.9224999999999999</v>
      </c>
      <c r="F2621" s="8">
        <f t="shared" si="120"/>
        <v>49</v>
      </c>
      <c r="G2621" s="9">
        <f t="shared" si="121"/>
        <v>44120</v>
      </c>
      <c r="H2621" s="10">
        <f t="shared" si="122"/>
        <v>2.9224999999999999</v>
      </c>
    </row>
    <row r="2622" spans="1:8" x14ac:dyDescent="0.2">
      <c r="A2622" s="1">
        <v>150</v>
      </c>
      <c r="B2622" s="1" t="str">
        <v>2020-10-16</v>
      </c>
      <c r="C2622" s="1">
        <v>2.6501999999999999</v>
      </c>
      <c r="F2622" s="8">
        <f t="shared" si="120"/>
        <v>150</v>
      </c>
      <c r="G2622" s="9">
        <f t="shared" si="121"/>
        <v>44120</v>
      </c>
      <c r="H2622" s="10">
        <f t="shared" si="122"/>
        <v>2.6501999999999999</v>
      </c>
    </row>
    <row r="2623" spans="1:8" x14ac:dyDescent="0.2">
      <c r="A2623" s="1">
        <v>67</v>
      </c>
      <c r="B2623" s="1" t="str">
        <v>2020-10-16</v>
      </c>
      <c r="C2623" s="1">
        <v>3.0144000000000002</v>
      </c>
      <c r="F2623" s="8">
        <f t="shared" si="120"/>
        <v>67</v>
      </c>
      <c r="G2623" s="9">
        <f t="shared" si="121"/>
        <v>44120</v>
      </c>
      <c r="H2623" s="10">
        <f t="shared" si="122"/>
        <v>3.0144000000000002</v>
      </c>
    </row>
    <row r="2624" spans="1:8" x14ac:dyDescent="0.2">
      <c r="A2624" s="1">
        <v>191</v>
      </c>
      <c r="B2624" s="1" t="str">
        <v>2020-10-16</v>
      </c>
      <c r="C2624" s="1">
        <v>2.3708</v>
      </c>
      <c r="F2624" s="8">
        <f t="shared" si="120"/>
        <v>191</v>
      </c>
      <c r="G2624" s="9">
        <f t="shared" si="121"/>
        <v>44120</v>
      </c>
      <c r="H2624" s="10">
        <f t="shared" si="122"/>
        <v>2.3708</v>
      </c>
    </row>
    <row r="2625" spans="1:8" x14ac:dyDescent="0.2">
      <c r="A2625" s="1">
        <v>136</v>
      </c>
      <c r="B2625" s="1" t="str">
        <v>2020-10-16</v>
      </c>
      <c r="C2625" s="1">
        <v>2.9430000000000001</v>
      </c>
      <c r="F2625" s="8">
        <f t="shared" si="120"/>
        <v>136</v>
      </c>
      <c r="G2625" s="9">
        <f t="shared" si="121"/>
        <v>44120</v>
      </c>
      <c r="H2625" s="10">
        <f t="shared" si="122"/>
        <v>2.9430000000000001</v>
      </c>
    </row>
    <row r="2626" spans="1:8" x14ac:dyDescent="0.2">
      <c r="A2626" s="1">
        <v>32260</v>
      </c>
      <c r="B2626" s="1" t="str">
        <v>2020-10-16</v>
      </c>
      <c r="C2626" s="1">
        <v>2.9329999999999998</v>
      </c>
      <c r="F2626" s="8">
        <f t="shared" si="120"/>
        <v>32260</v>
      </c>
      <c r="G2626" s="9">
        <f t="shared" si="121"/>
        <v>44120</v>
      </c>
      <c r="H2626" s="10">
        <f t="shared" si="122"/>
        <v>2.9329999999999998</v>
      </c>
    </row>
    <row r="2627" spans="1:8" x14ac:dyDescent="0.2">
      <c r="A2627" s="1">
        <v>175</v>
      </c>
      <c r="B2627" s="1" t="str">
        <v>2020-10-16</v>
      </c>
      <c r="C2627" s="1">
        <v>2.2078000000000002</v>
      </c>
      <c r="F2627" s="8">
        <f t="shared" si="120"/>
        <v>175</v>
      </c>
      <c r="G2627" s="9">
        <f t="shared" si="121"/>
        <v>44120</v>
      </c>
      <c r="H2627" s="10">
        <f t="shared" si="122"/>
        <v>2.2078000000000002</v>
      </c>
    </row>
    <row r="2628" spans="1:8" x14ac:dyDescent="0.2">
      <c r="A2628" s="1">
        <v>16</v>
      </c>
      <c r="B2628" s="1" t="str">
        <v>2020-10-16</v>
      </c>
      <c r="C2628" s="1">
        <v>2.8201000000000001</v>
      </c>
      <c r="F2628" s="8">
        <f t="shared" si="120"/>
        <v>16</v>
      </c>
      <c r="G2628" s="9">
        <f t="shared" si="121"/>
        <v>44120</v>
      </c>
      <c r="H2628" s="10">
        <f t="shared" si="122"/>
        <v>2.8201000000000001</v>
      </c>
    </row>
    <row r="2629" spans="1:8" x14ac:dyDescent="0.2">
      <c r="A2629" s="1">
        <v>33083</v>
      </c>
      <c r="B2629" s="1" t="str">
        <v>2020-10-16</v>
      </c>
      <c r="C2629" s="1">
        <v>2.7256999999999998</v>
      </c>
      <c r="F2629" s="8">
        <f t="shared" si="120"/>
        <v>33083</v>
      </c>
      <c r="G2629" s="9">
        <f t="shared" si="121"/>
        <v>44120</v>
      </c>
      <c r="H2629" s="10">
        <f t="shared" si="122"/>
        <v>2.7256999999999998</v>
      </c>
    </row>
    <row r="2630" spans="1:8" x14ac:dyDescent="0.2">
      <c r="A2630" s="1">
        <v>33203</v>
      </c>
      <c r="B2630" s="1" t="str">
        <v>2020-10-16</v>
      </c>
      <c r="C2630" s="1">
        <v>2.9093</v>
      </c>
      <c r="F2630" s="8">
        <f t="shared" si="120"/>
        <v>33203</v>
      </c>
      <c r="G2630" s="9">
        <f t="shared" si="121"/>
        <v>44120</v>
      </c>
      <c r="H2630" s="10">
        <f t="shared" si="122"/>
        <v>2.9093</v>
      </c>
    </row>
    <row r="2631" spans="1:8" x14ac:dyDescent="0.2">
      <c r="A2631" s="1">
        <v>139</v>
      </c>
      <c r="B2631" s="1" t="str">
        <v>2020-10-16</v>
      </c>
      <c r="C2631" s="1">
        <v>2.7073999999999998</v>
      </c>
      <c r="F2631" s="8">
        <f t="shared" si="120"/>
        <v>139</v>
      </c>
      <c r="G2631" s="9">
        <f t="shared" si="121"/>
        <v>44120</v>
      </c>
      <c r="H2631" s="10">
        <f t="shared" si="122"/>
        <v>2.7073999999999998</v>
      </c>
    </row>
    <row r="2632" spans="1:8" x14ac:dyDescent="0.2">
      <c r="A2632" s="1">
        <v>156</v>
      </c>
      <c r="B2632" s="1" t="str">
        <v>2020-10-16</v>
      </c>
      <c r="C2632" s="1">
        <v>2.8102</v>
      </c>
      <c r="F2632" s="8">
        <f t="shared" si="120"/>
        <v>156</v>
      </c>
      <c r="G2632" s="9">
        <f t="shared" si="121"/>
        <v>44120</v>
      </c>
      <c r="H2632" s="10">
        <f t="shared" si="122"/>
        <v>2.8102</v>
      </c>
    </row>
    <row r="2633" spans="1:8" x14ac:dyDescent="0.2">
      <c r="A2633" s="1">
        <v>33023</v>
      </c>
      <c r="B2633" s="1" t="str">
        <v>2020-10-16</v>
      </c>
      <c r="C2633" s="1">
        <v>2.3199000000000001</v>
      </c>
      <c r="F2633" s="8">
        <f t="shared" ref="F2633:F2696" si="123">A2633</f>
        <v>33023</v>
      </c>
      <c r="G2633" s="9">
        <f t="shared" ref="G2633:G2696" si="124">DATE(LEFT(B2633,4),MID(B2633,6,2),RIGHT(B2633,2))</f>
        <v>44120</v>
      </c>
      <c r="H2633" s="10">
        <f t="shared" ref="H2633:H2696" si="125">C2633</f>
        <v>2.3199000000000001</v>
      </c>
    </row>
    <row r="2634" spans="1:8" x14ac:dyDescent="0.2">
      <c r="A2634" s="1">
        <v>177</v>
      </c>
      <c r="B2634" s="1" t="str">
        <v>2020-10-16</v>
      </c>
      <c r="C2634" s="1">
        <v>2.5032000000000001</v>
      </c>
      <c r="F2634" s="8">
        <f t="shared" si="123"/>
        <v>177</v>
      </c>
      <c r="G2634" s="9">
        <f t="shared" si="124"/>
        <v>44120</v>
      </c>
      <c r="H2634" s="10">
        <f t="shared" si="125"/>
        <v>2.5032000000000001</v>
      </c>
    </row>
    <row r="2635" spans="1:8" x14ac:dyDescent="0.2">
      <c r="A2635" s="1">
        <v>33103</v>
      </c>
      <c r="B2635" s="1" t="str">
        <v>2020-10-16</v>
      </c>
      <c r="C2635" s="1">
        <v>2.8824999999999998</v>
      </c>
      <c r="F2635" s="8">
        <f t="shared" si="123"/>
        <v>33103</v>
      </c>
      <c r="G2635" s="9">
        <f t="shared" si="124"/>
        <v>44120</v>
      </c>
      <c r="H2635" s="10">
        <f t="shared" si="125"/>
        <v>2.8824999999999998</v>
      </c>
    </row>
    <row r="2636" spans="1:8" x14ac:dyDescent="0.2">
      <c r="A2636" s="1">
        <v>13250</v>
      </c>
      <c r="B2636" s="1" t="str">
        <v>2020-10-16</v>
      </c>
      <c r="C2636" s="1">
        <v>2.6871</v>
      </c>
      <c r="F2636" s="8">
        <f t="shared" si="123"/>
        <v>13250</v>
      </c>
      <c r="G2636" s="9">
        <f t="shared" si="124"/>
        <v>44120</v>
      </c>
      <c r="H2636" s="10">
        <f t="shared" si="125"/>
        <v>2.6871</v>
      </c>
    </row>
    <row r="2637" spans="1:8" x14ac:dyDescent="0.2">
      <c r="A2637" s="1">
        <v>187</v>
      </c>
      <c r="B2637" s="1" t="str">
        <v>2020-10-16</v>
      </c>
      <c r="C2637" s="1">
        <v>2.9740000000000002</v>
      </c>
      <c r="F2637" s="8">
        <f t="shared" si="123"/>
        <v>187</v>
      </c>
      <c r="G2637" s="9">
        <f t="shared" si="124"/>
        <v>44120</v>
      </c>
      <c r="H2637" s="10">
        <f t="shared" si="125"/>
        <v>2.9740000000000002</v>
      </c>
    </row>
    <row r="2638" spans="1:8" x14ac:dyDescent="0.2">
      <c r="A2638" s="1">
        <v>81</v>
      </c>
      <c r="B2638" s="1" t="str">
        <v>2020-10-16</v>
      </c>
      <c r="C2638" s="1">
        <v>2.6669999999999998</v>
      </c>
      <c r="F2638" s="8">
        <f t="shared" si="123"/>
        <v>81</v>
      </c>
      <c r="G2638" s="9">
        <f t="shared" si="124"/>
        <v>44120</v>
      </c>
      <c r="H2638" s="10">
        <f t="shared" si="125"/>
        <v>2.6669999999999998</v>
      </c>
    </row>
    <row r="2639" spans="1:8" x14ac:dyDescent="0.2">
      <c r="A2639" s="1">
        <v>32583</v>
      </c>
      <c r="B2639" s="1" t="str">
        <v>2020-10-16</v>
      </c>
      <c r="C2639" s="1">
        <v>2.8195999999999999</v>
      </c>
      <c r="F2639" s="8">
        <f t="shared" si="123"/>
        <v>32583</v>
      </c>
      <c r="G2639" s="9">
        <f t="shared" si="124"/>
        <v>44120</v>
      </c>
      <c r="H2639" s="10">
        <f t="shared" si="125"/>
        <v>2.8195999999999999</v>
      </c>
    </row>
    <row r="2640" spans="1:8" x14ac:dyDescent="0.2">
      <c r="A2640" s="1">
        <v>133</v>
      </c>
      <c r="B2640" s="1" t="str">
        <v>2020-10-19</v>
      </c>
      <c r="C2640" s="1">
        <v>2.7997000000000001</v>
      </c>
      <c r="F2640" s="8">
        <f t="shared" si="123"/>
        <v>133</v>
      </c>
      <c r="G2640" s="9">
        <f t="shared" si="124"/>
        <v>44123</v>
      </c>
      <c r="H2640" s="10">
        <f t="shared" si="125"/>
        <v>2.7997000000000001</v>
      </c>
    </row>
    <row r="2641" spans="1:8" x14ac:dyDescent="0.2">
      <c r="A2641" s="1">
        <v>32803</v>
      </c>
      <c r="B2641" s="1" t="str">
        <v>2020-10-19</v>
      </c>
      <c r="C2641" s="1">
        <v>3.0352000000000001</v>
      </c>
      <c r="F2641" s="8">
        <f t="shared" si="123"/>
        <v>32803</v>
      </c>
      <c r="G2641" s="9">
        <f t="shared" si="124"/>
        <v>44123</v>
      </c>
      <c r="H2641" s="10">
        <f t="shared" si="125"/>
        <v>3.0352000000000001</v>
      </c>
    </row>
    <row r="2642" spans="1:8" x14ac:dyDescent="0.2">
      <c r="A2642" s="1">
        <v>32723</v>
      </c>
      <c r="B2642" s="1" t="str">
        <v>2020-10-19</v>
      </c>
      <c r="C2642" s="1">
        <v>2.2787999999999999</v>
      </c>
      <c r="F2642" s="8">
        <f t="shared" si="123"/>
        <v>32723</v>
      </c>
      <c r="G2642" s="9">
        <f t="shared" si="124"/>
        <v>44123</v>
      </c>
      <c r="H2642" s="10">
        <f t="shared" si="125"/>
        <v>2.2787999999999999</v>
      </c>
    </row>
    <row r="2643" spans="1:8" x14ac:dyDescent="0.2">
      <c r="A2643" s="1">
        <v>1</v>
      </c>
      <c r="B2643" s="1" t="str">
        <v>2020-10-19</v>
      </c>
      <c r="C2643" s="1">
        <v>2.9426999999999999</v>
      </c>
      <c r="F2643" s="8">
        <f t="shared" si="123"/>
        <v>1</v>
      </c>
      <c r="G2643" s="9">
        <f t="shared" si="124"/>
        <v>44123</v>
      </c>
      <c r="H2643" s="10">
        <f t="shared" si="125"/>
        <v>2.9426999999999999</v>
      </c>
    </row>
    <row r="2644" spans="1:8" x14ac:dyDescent="0.2">
      <c r="A2644" s="1">
        <v>2250</v>
      </c>
      <c r="B2644" s="1" t="str">
        <v>2020-10-19</v>
      </c>
      <c r="C2644" s="1">
        <v>3.0148999999999999</v>
      </c>
      <c r="F2644" s="8">
        <f t="shared" si="123"/>
        <v>2250</v>
      </c>
      <c r="G2644" s="9">
        <f t="shared" si="124"/>
        <v>44123</v>
      </c>
      <c r="H2644" s="10">
        <f t="shared" si="125"/>
        <v>3.0148999999999999</v>
      </c>
    </row>
    <row r="2645" spans="1:8" x14ac:dyDescent="0.2">
      <c r="A2645" s="1">
        <v>34</v>
      </c>
      <c r="B2645" s="1" t="str">
        <v>2020-10-19</v>
      </c>
      <c r="C2645" s="1">
        <v>2.8612000000000002</v>
      </c>
      <c r="F2645" s="8">
        <f t="shared" si="123"/>
        <v>34</v>
      </c>
      <c r="G2645" s="9">
        <f t="shared" si="124"/>
        <v>44123</v>
      </c>
      <c r="H2645" s="10">
        <f t="shared" si="125"/>
        <v>2.8612000000000002</v>
      </c>
    </row>
    <row r="2646" spans="1:8" x14ac:dyDescent="0.2">
      <c r="A2646" s="1">
        <v>32863</v>
      </c>
      <c r="B2646" s="1" t="str">
        <v>2020-10-19</v>
      </c>
      <c r="C2646" s="1">
        <v>2.7892999999999999</v>
      </c>
      <c r="F2646" s="8">
        <f t="shared" si="123"/>
        <v>32863</v>
      </c>
      <c r="G2646" s="9">
        <f t="shared" si="124"/>
        <v>44123</v>
      </c>
      <c r="H2646" s="10">
        <f t="shared" si="125"/>
        <v>2.7892999999999999</v>
      </c>
    </row>
    <row r="2647" spans="1:8" x14ac:dyDescent="0.2">
      <c r="A2647" s="1">
        <v>32222</v>
      </c>
      <c r="B2647" s="1" t="str">
        <v>2020-10-19</v>
      </c>
      <c r="C2647" s="1">
        <v>3.0350999999999999</v>
      </c>
      <c r="F2647" s="8">
        <f t="shared" si="123"/>
        <v>32222</v>
      </c>
      <c r="G2647" s="9">
        <f t="shared" si="124"/>
        <v>44123</v>
      </c>
      <c r="H2647" s="10">
        <f t="shared" si="125"/>
        <v>3.0350999999999999</v>
      </c>
    </row>
    <row r="2648" spans="1:8" x14ac:dyDescent="0.2">
      <c r="A2648" s="1">
        <v>32421</v>
      </c>
      <c r="B2648" s="1" t="str">
        <v>2020-10-19</v>
      </c>
      <c r="C2648" s="1">
        <v>2.7383999999999999</v>
      </c>
      <c r="F2648" s="8">
        <f t="shared" si="123"/>
        <v>32421</v>
      </c>
      <c r="G2648" s="9">
        <f t="shared" si="124"/>
        <v>44123</v>
      </c>
      <c r="H2648" s="10">
        <f t="shared" si="125"/>
        <v>2.7383999999999999</v>
      </c>
    </row>
    <row r="2649" spans="1:8" x14ac:dyDescent="0.2">
      <c r="A2649" s="1">
        <v>28</v>
      </c>
      <c r="B2649" s="1" t="str">
        <v>2020-10-19</v>
      </c>
      <c r="C2649" s="1">
        <v>2.9632000000000001</v>
      </c>
      <c r="F2649" s="8">
        <f t="shared" si="123"/>
        <v>28</v>
      </c>
      <c r="G2649" s="9">
        <f t="shared" si="124"/>
        <v>44123</v>
      </c>
      <c r="H2649" s="10">
        <f t="shared" si="125"/>
        <v>2.9632000000000001</v>
      </c>
    </row>
    <row r="2650" spans="1:8" x14ac:dyDescent="0.2">
      <c r="A2650" s="1">
        <v>33130</v>
      </c>
      <c r="B2650" s="1" t="str">
        <v>2020-10-19</v>
      </c>
      <c r="C2650" s="1">
        <v>2.9839000000000002</v>
      </c>
      <c r="F2650" s="8">
        <f t="shared" si="123"/>
        <v>33130</v>
      </c>
      <c r="G2650" s="9">
        <f t="shared" si="124"/>
        <v>44123</v>
      </c>
      <c r="H2650" s="10">
        <f t="shared" si="125"/>
        <v>2.9839000000000002</v>
      </c>
    </row>
    <row r="2651" spans="1:8" x14ac:dyDescent="0.2">
      <c r="A2651" s="1">
        <v>30350</v>
      </c>
      <c r="B2651" s="1" t="str">
        <v>2020-10-19</v>
      </c>
      <c r="C2651" s="1">
        <v>2.6772</v>
      </c>
      <c r="F2651" s="8">
        <f t="shared" si="123"/>
        <v>30350</v>
      </c>
      <c r="G2651" s="9">
        <f t="shared" si="124"/>
        <v>44123</v>
      </c>
      <c r="H2651" s="10">
        <f t="shared" si="125"/>
        <v>2.6772</v>
      </c>
    </row>
    <row r="2652" spans="1:8" x14ac:dyDescent="0.2">
      <c r="A2652" s="1">
        <v>32420</v>
      </c>
      <c r="B2652" s="1" t="str">
        <v>2020-10-19</v>
      </c>
      <c r="C2652" s="1">
        <v>2.8334999999999999</v>
      </c>
      <c r="F2652" s="8">
        <f t="shared" si="123"/>
        <v>32420</v>
      </c>
      <c r="G2652" s="9">
        <f t="shared" si="124"/>
        <v>44123</v>
      </c>
      <c r="H2652" s="10">
        <f t="shared" si="125"/>
        <v>2.8334999999999999</v>
      </c>
    </row>
    <row r="2653" spans="1:8" x14ac:dyDescent="0.2">
      <c r="A2653" s="1">
        <v>178</v>
      </c>
      <c r="B2653" s="1" t="str">
        <v>2020-10-19</v>
      </c>
      <c r="C2653" s="1">
        <v>2.9584999999999999</v>
      </c>
      <c r="F2653" s="8">
        <f t="shared" si="123"/>
        <v>178</v>
      </c>
      <c r="G2653" s="9">
        <f t="shared" si="124"/>
        <v>44123</v>
      </c>
      <c r="H2653" s="10">
        <f t="shared" si="125"/>
        <v>2.9584999999999999</v>
      </c>
    </row>
    <row r="2654" spans="1:8" x14ac:dyDescent="0.2">
      <c r="A2654" s="1">
        <v>33183</v>
      </c>
      <c r="B2654" s="1" t="str">
        <v>2020-10-19</v>
      </c>
      <c r="C2654" s="1">
        <v>2.8713000000000002</v>
      </c>
      <c r="F2654" s="8">
        <f t="shared" si="123"/>
        <v>33183</v>
      </c>
      <c r="G2654" s="9">
        <f t="shared" si="124"/>
        <v>44123</v>
      </c>
      <c r="H2654" s="10">
        <f t="shared" si="125"/>
        <v>2.8713000000000002</v>
      </c>
    </row>
    <row r="2655" spans="1:8" x14ac:dyDescent="0.2">
      <c r="A2655" s="1">
        <v>30400</v>
      </c>
      <c r="B2655" s="1" t="str">
        <v>2020-10-19</v>
      </c>
      <c r="C2655" s="1">
        <v>2.9634</v>
      </c>
      <c r="F2655" s="8">
        <f t="shared" si="123"/>
        <v>30400</v>
      </c>
      <c r="G2655" s="9">
        <f t="shared" si="124"/>
        <v>44123</v>
      </c>
      <c r="H2655" s="10">
        <f t="shared" si="125"/>
        <v>2.9634</v>
      </c>
    </row>
    <row r="2656" spans="1:8" x14ac:dyDescent="0.2">
      <c r="A2656" s="1">
        <v>68</v>
      </c>
      <c r="B2656" s="1" t="str">
        <v>2020-10-19</v>
      </c>
      <c r="C2656" s="1">
        <v>3.0044</v>
      </c>
      <c r="F2656" s="8">
        <f t="shared" si="123"/>
        <v>68</v>
      </c>
      <c r="G2656" s="9">
        <f t="shared" si="124"/>
        <v>44123</v>
      </c>
      <c r="H2656" s="10">
        <f t="shared" si="125"/>
        <v>3.0044</v>
      </c>
    </row>
    <row r="2657" spans="1:8" x14ac:dyDescent="0.2">
      <c r="A2657" s="1">
        <v>24</v>
      </c>
      <c r="B2657" s="1" t="str">
        <v>2020-10-20</v>
      </c>
      <c r="C2657" s="1">
        <v>2.7282000000000002</v>
      </c>
      <c r="F2657" s="8">
        <f t="shared" si="123"/>
        <v>24</v>
      </c>
      <c r="G2657" s="9">
        <f t="shared" si="124"/>
        <v>44124</v>
      </c>
      <c r="H2657" s="10">
        <f t="shared" si="125"/>
        <v>2.7282000000000002</v>
      </c>
    </row>
    <row r="2658" spans="1:8" x14ac:dyDescent="0.2">
      <c r="A2658" s="1">
        <v>32963</v>
      </c>
      <c r="B2658" s="1" t="str">
        <v>2020-10-20</v>
      </c>
      <c r="C2658" s="1">
        <v>2.6055000000000001</v>
      </c>
      <c r="F2658" s="8">
        <f t="shared" si="123"/>
        <v>32963</v>
      </c>
      <c r="G2658" s="9">
        <f t="shared" si="124"/>
        <v>44124</v>
      </c>
      <c r="H2658" s="10">
        <f t="shared" si="125"/>
        <v>2.6055000000000001</v>
      </c>
    </row>
    <row r="2659" spans="1:8" x14ac:dyDescent="0.2">
      <c r="A2659" s="1">
        <v>157</v>
      </c>
      <c r="B2659" s="1" t="str">
        <v>2020-10-20</v>
      </c>
      <c r="C2659" s="1">
        <v>2.4729000000000001</v>
      </c>
      <c r="F2659" s="8">
        <f t="shared" si="123"/>
        <v>157</v>
      </c>
      <c r="G2659" s="9">
        <f t="shared" si="124"/>
        <v>44124</v>
      </c>
      <c r="H2659" s="10">
        <f t="shared" si="125"/>
        <v>2.4729000000000001</v>
      </c>
    </row>
    <row r="2660" spans="1:8" x14ac:dyDescent="0.2">
      <c r="A2660" s="1">
        <v>33103</v>
      </c>
      <c r="B2660" s="1" t="str">
        <v>2020-10-20</v>
      </c>
      <c r="C2660" s="1">
        <v>3.0219</v>
      </c>
      <c r="F2660" s="8">
        <f t="shared" si="123"/>
        <v>33103</v>
      </c>
      <c r="G2660" s="9">
        <f t="shared" si="124"/>
        <v>44124</v>
      </c>
      <c r="H2660" s="10">
        <f t="shared" si="125"/>
        <v>3.0219</v>
      </c>
    </row>
    <row r="2661" spans="1:8" x14ac:dyDescent="0.2">
      <c r="A2661" s="1">
        <v>1</v>
      </c>
      <c r="B2661" s="1" t="str">
        <v>2020-10-20</v>
      </c>
      <c r="C2661" s="1">
        <v>2.9426999999999999</v>
      </c>
      <c r="F2661" s="8">
        <f t="shared" si="123"/>
        <v>1</v>
      </c>
      <c r="G2661" s="9">
        <f t="shared" si="124"/>
        <v>44124</v>
      </c>
      <c r="H2661" s="10">
        <f t="shared" si="125"/>
        <v>2.9426999999999999</v>
      </c>
    </row>
    <row r="2662" spans="1:8" x14ac:dyDescent="0.2">
      <c r="A2662" s="1">
        <v>33125</v>
      </c>
      <c r="B2662" s="1" t="str">
        <v>2020-10-20</v>
      </c>
      <c r="C2662" s="1">
        <v>2.6974</v>
      </c>
      <c r="F2662" s="8">
        <f t="shared" si="123"/>
        <v>33125</v>
      </c>
      <c r="G2662" s="9">
        <f t="shared" si="124"/>
        <v>44124</v>
      </c>
      <c r="H2662" s="10">
        <f t="shared" si="125"/>
        <v>2.6974</v>
      </c>
    </row>
    <row r="2663" spans="1:8" x14ac:dyDescent="0.2">
      <c r="A2663" s="1">
        <v>33103</v>
      </c>
      <c r="B2663" s="1" t="str">
        <v>2020-10-21</v>
      </c>
      <c r="C2663" s="1">
        <v>3.0219</v>
      </c>
      <c r="F2663" s="8">
        <f t="shared" si="123"/>
        <v>33103</v>
      </c>
      <c r="G2663" s="9">
        <f t="shared" si="124"/>
        <v>44125</v>
      </c>
      <c r="H2663" s="10">
        <f t="shared" si="125"/>
        <v>3.0219</v>
      </c>
    </row>
    <row r="2664" spans="1:8" x14ac:dyDescent="0.2">
      <c r="A2664" s="1">
        <v>32783</v>
      </c>
      <c r="B2664" s="1" t="str">
        <v>2020-10-21</v>
      </c>
      <c r="C2664" s="1">
        <v>2.8405999999999998</v>
      </c>
      <c r="F2664" s="8">
        <f t="shared" si="123"/>
        <v>32783</v>
      </c>
      <c r="G2664" s="9">
        <f t="shared" si="124"/>
        <v>44125</v>
      </c>
      <c r="H2664" s="10">
        <f t="shared" si="125"/>
        <v>2.8405999999999998</v>
      </c>
    </row>
    <row r="2665" spans="1:8" x14ac:dyDescent="0.2">
      <c r="A2665" s="1">
        <v>33224</v>
      </c>
      <c r="B2665" s="1" t="str">
        <v>2020-10-21</v>
      </c>
      <c r="C2665" s="1">
        <v>3.4045999999999998</v>
      </c>
      <c r="F2665" s="8">
        <f t="shared" si="123"/>
        <v>33224</v>
      </c>
      <c r="G2665" s="9">
        <f t="shared" si="124"/>
        <v>44125</v>
      </c>
      <c r="H2665" s="10">
        <f t="shared" si="125"/>
        <v>3.4045999999999998</v>
      </c>
    </row>
    <row r="2666" spans="1:8" x14ac:dyDescent="0.2">
      <c r="A2666" s="1">
        <v>250</v>
      </c>
      <c r="B2666" s="1" t="str">
        <v>2020-10-21</v>
      </c>
      <c r="C2666" s="1">
        <v>2.7587999999999999</v>
      </c>
      <c r="F2666" s="8">
        <f t="shared" si="123"/>
        <v>250</v>
      </c>
      <c r="G2666" s="9">
        <f t="shared" si="124"/>
        <v>44125</v>
      </c>
      <c r="H2666" s="10">
        <f t="shared" si="125"/>
        <v>2.7587999999999999</v>
      </c>
    </row>
    <row r="2667" spans="1:8" x14ac:dyDescent="0.2">
      <c r="A2667" s="1">
        <v>33043</v>
      </c>
      <c r="B2667" s="1" t="str">
        <v>2020-10-21</v>
      </c>
      <c r="C2667" s="1">
        <v>2.8509000000000002</v>
      </c>
      <c r="F2667" s="8">
        <f t="shared" si="123"/>
        <v>33043</v>
      </c>
      <c r="G2667" s="9">
        <f t="shared" si="124"/>
        <v>44125</v>
      </c>
      <c r="H2667" s="10">
        <f t="shared" si="125"/>
        <v>2.8509000000000002</v>
      </c>
    </row>
    <row r="2668" spans="1:8" x14ac:dyDescent="0.2">
      <c r="A2668" s="1">
        <v>32923</v>
      </c>
      <c r="B2668" s="1" t="str">
        <v>2020-10-21</v>
      </c>
      <c r="C2668" s="1">
        <v>3.0457000000000001</v>
      </c>
      <c r="F2668" s="8">
        <f t="shared" si="123"/>
        <v>32923</v>
      </c>
      <c r="G2668" s="9">
        <f t="shared" si="124"/>
        <v>44125</v>
      </c>
      <c r="H2668" s="10">
        <f t="shared" si="125"/>
        <v>3.0457000000000001</v>
      </c>
    </row>
    <row r="2669" spans="1:8" x14ac:dyDescent="0.2">
      <c r="A2669" s="1">
        <v>32340</v>
      </c>
      <c r="B2669" s="1" t="str">
        <v>2020-10-22</v>
      </c>
      <c r="C2669" s="1">
        <v>2.7484000000000002</v>
      </c>
      <c r="F2669" s="8">
        <f t="shared" si="123"/>
        <v>32340</v>
      </c>
      <c r="G2669" s="9">
        <f t="shared" si="124"/>
        <v>44126</v>
      </c>
      <c r="H2669" s="10">
        <f t="shared" si="125"/>
        <v>2.7484000000000002</v>
      </c>
    </row>
    <row r="2670" spans="1:8" x14ac:dyDescent="0.2">
      <c r="A2670" s="1">
        <v>156</v>
      </c>
      <c r="B2670" s="1" t="str">
        <v>2020-10-22</v>
      </c>
      <c r="C2670" s="1">
        <v>2.8102</v>
      </c>
      <c r="F2670" s="8">
        <f t="shared" si="123"/>
        <v>156</v>
      </c>
      <c r="G2670" s="9">
        <f t="shared" si="124"/>
        <v>44126</v>
      </c>
      <c r="H2670" s="10">
        <f t="shared" si="125"/>
        <v>2.8102</v>
      </c>
    </row>
    <row r="2671" spans="1:8" x14ac:dyDescent="0.2">
      <c r="A2671" s="1">
        <v>53</v>
      </c>
      <c r="B2671" s="1" t="str">
        <v>2020-10-22</v>
      </c>
      <c r="C2671" s="1">
        <v>2.9222000000000001</v>
      </c>
      <c r="F2671" s="8">
        <f t="shared" si="123"/>
        <v>53</v>
      </c>
      <c r="G2671" s="9">
        <f t="shared" si="124"/>
        <v>44126</v>
      </c>
      <c r="H2671" s="10">
        <f t="shared" si="125"/>
        <v>2.9222000000000001</v>
      </c>
    </row>
    <row r="2672" spans="1:8" x14ac:dyDescent="0.2">
      <c r="A2672" s="1">
        <v>32560</v>
      </c>
      <c r="B2672" s="1" t="str">
        <v>2020-10-22</v>
      </c>
      <c r="C2672" s="1">
        <v>2.8914</v>
      </c>
      <c r="F2672" s="8">
        <f t="shared" si="123"/>
        <v>32560</v>
      </c>
      <c r="G2672" s="9">
        <f t="shared" si="124"/>
        <v>44126</v>
      </c>
      <c r="H2672" s="10">
        <f t="shared" si="125"/>
        <v>2.8914</v>
      </c>
    </row>
    <row r="2673" spans="1:8" x14ac:dyDescent="0.2">
      <c r="A2673" s="1">
        <v>1</v>
      </c>
      <c r="B2673" s="1" t="str">
        <v>2020-10-22</v>
      </c>
      <c r="C2673" s="1">
        <v>2.9632000000000001</v>
      </c>
      <c r="F2673" s="8">
        <f t="shared" si="123"/>
        <v>1</v>
      </c>
      <c r="G2673" s="9">
        <f t="shared" si="124"/>
        <v>44126</v>
      </c>
      <c r="H2673" s="10">
        <f t="shared" si="125"/>
        <v>2.9632000000000001</v>
      </c>
    </row>
    <row r="2674" spans="1:8" x14ac:dyDescent="0.2">
      <c r="A2674" s="1">
        <v>132</v>
      </c>
      <c r="B2674" s="1" t="str">
        <v>2020-10-22</v>
      </c>
      <c r="C2674" s="1">
        <v>2.9222999999999999</v>
      </c>
      <c r="F2674" s="8">
        <f t="shared" si="123"/>
        <v>132</v>
      </c>
      <c r="G2674" s="9">
        <f t="shared" si="124"/>
        <v>44126</v>
      </c>
      <c r="H2674" s="10">
        <f t="shared" si="125"/>
        <v>2.9222999999999999</v>
      </c>
    </row>
    <row r="2675" spans="1:8" x14ac:dyDescent="0.2">
      <c r="A2675" s="1">
        <v>181</v>
      </c>
      <c r="B2675" s="1" t="str">
        <v>2020-10-22</v>
      </c>
      <c r="C2675" s="1">
        <v>2.9737</v>
      </c>
      <c r="F2675" s="8">
        <f t="shared" si="123"/>
        <v>181</v>
      </c>
      <c r="G2675" s="9">
        <f t="shared" si="124"/>
        <v>44126</v>
      </c>
      <c r="H2675" s="10">
        <f t="shared" si="125"/>
        <v>2.9737</v>
      </c>
    </row>
    <row r="2676" spans="1:8" x14ac:dyDescent="0.2">
      <c r="A2676" s="1">
        <v>32724</v>
      </c>
      <c r="B2676" s="1" t="str">
        <v>2020-10-22</v>
      </c>
      <c r="C2676" s="1">
        <v>2.8508</v>
      </c>
      <c r="F2676" s="8">
        <f t="shared" si="123"/>
        <v>32724</v>
      </c>
      <c r="G2676" s="9">
        <f t="shared" si="124"/>
        <v>44126</v>
      </c>
      <c r="H2676" s="10">
        <f t="shared" si="125"/>
        <v>2.8508</v>
      </c>
    </row>
    <row r="2677" spans="1:8" x14ac:dyDescent="0.2">
      <c r="A2677" s="1">
        <v>115</v>
      </c>
      <c r="B2677" s="1" t="str">
        <v>2020-10-22</v>
      </c>
      <c r="C2677" s="1">
        <v>2.7077</v>
      </c>
      <c r="F2677" s="8">
        <f t="shared" si="123"/>
        <v>115</v>
      </c>
      <c r="G2677" s="9">
        <f t="shared" si="124"/>
        <v>44126</v>
      </c>
      <c r="H2677" s="10">
        <f t="shared" si="125"/>
        <v>2.7077</v>
      </c>
    </row>
    <row r="2678" spans="1:8" x14ac:dyDescent="0.2">
      <c r="A2678" s="1">
        <v>89</v>
      </c>
      <c r="B2678" s="1" t="str">
        <v>2020-10-22</v>
      </c>
      <c r="C2678" s="1">
        <v>3.0249999999999999</v>
      </c>
      <c r="F2678" s="8">
        <f t="shared" si="123"/>
        <v>89</v>
      </c>
      <c r="G2678" s="9">
        <f t="shared" si="124"/>
        <v>44126</v>
      </c>
      <c r="H2678" s="10">
        <f t="shared" si="125"/>
        <v>3.0249999999999999</v>
      </c>
    </row>
    <row r="2679" spans="1:8" x14ac:dyDescent="0.2">
      <c r="A2679" s="1">
        <v>49</v>
      </c>
      <c r="B2679" s="1" t="str">
        <v>2020-10-22</v>
      </c>
      <c r="C2679" s="1">
        <v>3.0968</v>
      </c>
      <c r="F2679" s="8">
        <f t="shared" si="123"/>
        <v>49</v>
      </c>
      <c r="G2679" s="9">
        <f t="shared" si="124"/>
        <v>44126</v>
      </c>
      <c r="H2679" s="10">
        <f t="shared" si="125"/>
        <v>3.0968</v>
      </c>
    </row>
    <row r="2680" spans="1:8" x14ac:dyDescent="0.2">
      <c r="A2680" s="1">
        <v>32983</v>
      </c>
      <c r="B2680" s="1" t="str">
        <v>2020-10-22</v>
      </c>
      <c r="C2680" s="1">
        <v>2.8921000000000001</v>
      </c>
      <c r="F2680" s="8">
        <f t="shared" si="123"/>
        <v>32983</v>
      </c>
      <c r="G2680" s="9">
        <f t="shared" si="124"/>
        <v>44126</v>
      </c>
      <c r="H2680" s="10">
        <f t="shared" si="125"/>
        <v>2.8921000000000001</v>
      </c>
    </row>
    <row r="2681" spans="1:8" x14ac:dyDescent="0.2">
      <c r="A2681" s="1">
        <v>133</v>
      </c>
      <c r="B2681" s="1" t="str">
        <v>2020-10-22</v>
      </c>
      <c r="C2681" s="1">
        <v>2.7997000000000001</v>
      </c>
      <c r="F2681" s="8">
        <f t="shared" si="123"/>
        <v>133</v>
      </c>
      <c r="G2681" s="9">
        <f t="shared" si="124"/>
        <v>44126</v>
      </c>
      <c r="H2681" s="10">
        <f t="shared" si="125"/>
        <v>2.7997000000000001</v>
      </c>
    </row>
    <row r="2682" spans="1:8" x14ac:dyDescent="0.2">
      <c r="A2682" s="1">
        <v>33129</v>
      </c>
      <c r="B2682" s="1" t="str">
        <v>2020-10-22</v>
      </c>
      <c r="C2682" s="1">
        <v>2.8712</v>
      </c>
      <c r="F2682" s="8">
        <f t="shared" si="123"/>
        <v>33129</v>
      </c>
      <c r="G2682" s="9">
        <f t="shared" si="124"/>
        <v>44126</v>
      </c>
      <c r="H2682" s="10">
        <f t="shared" si="125"/>
        <v>2.8712</v>
      </c>
    </row>
    <row r="2683" spans="1:8" x14ac:dyDescent="0.2">
      <c r="A2683" s="1">
        <v>24</v>
      </c>
      <c r="B2683" s="1" t="str">
        <v>2020-10-22</v>
      </c>
      <c r="C2683" s="1">
        <v>2.8609</v>
      </c>
      <c r="F2683" s="8">
        <f t="shared" si="123"/>
        <v>24</v>
      </c>
      <c r="G2683" s="9">
        <f t="shared" si="124"/>
        <v>44126</v>
      </c>
      <c r="H2683" s="10">
        <f t="shared" si="125"/>
        <v>2.8609</v>
      </c>
    </row>
    <row r="2684" spans="1:8" x14ac:dyDescent="0.2">
      <c r="A2684" s="1">
        <v>143</v>
      </c>
      <c r="B2684" s="1" t="str">
        <v>2020-10-22</v>
      </c>
      <c r="C2684" s="1">
        <v>3.0146999999999999</v>
      </c>
      <c r="F2684" s="8">
        <f t="shared" si="123"/>
        <v>143</v>
      </c>
      <c r="G2684" s="9">
        <f t="shared" si="124"/>
        <v>44126</v>
      </c>
      <c r="H2684" s="10">
        <f t="shared" si="125"/>
        <v>3.0146999999999999</v>
      </c>
    </row>
    <row r="2685" spans="1:8" x14ac:dyDescent="0.2">
      <c r="A2685" s="1">
        <v>176</v>
      </c>
      <c r="B2685" s="1" t="str">
        <v>2020-10-22</v>
      </c>
      <c r="C2685" s="1">
        <v>2.718</v>
      </c>
      <c r="F2685" s="8">
        <f t="shared" si="123"/>
        <v>176</v>
      </c>
      <c r="G2685" s="9">
        <f t="shared" si="124"/>
        <v>44126</v>
      </c>
      <c r="H2685" s="10">
        <f t="shared" si="125"/>
        <v>2.718</v>
      </c>
    </row>
    <row r="2686" spans="1:8" x14ac:dyDescent="0.2">
      <c r="A2686" s="1">
        <v>24</v>
      </c>
      <c r="B2686" s="1" t="str">
        <v>2020-10-23</v>
      </c>
      <c r="C2686" s="1">
        <v>3.0144000000000002</v>
      </c>
      <c r="F2686" s="8">
        <f t="shared" si="123"/>
        <v>24</v>
      </c>
      <c r="G2686" s="9">
        <f t="shared" si="124"/>
        <v>44127</v>
      </c>
      <c r="H2686" s="10">
        <f t="shared" si="125"/>
        <v>3.0144000000000002</v>
      </c>
    </row>
    <row r="2687" spans="1:8" x14ac:dyDescent="0.2">
      <c r="A2687" s="1">
        <v>191</v>
      </c>
      <c r="B2687" s="1" t="str">
        <v>2020-10-23</v>
      </c>
      <c r="C2687" s="1">
        <v>2.8610000000000002</v>
      </c>
      <c r="F2687" s="8">
        <f t="shared" si="123"/>
        <v>191</v>
      </c>
      <c r="G2687" s="9">
        <f t="shared" si="124"/>
        <v>44127</v>
      </c>
      <c r="H2687" s="10">
        <f t="shared" si="125"/>
        <v>2.8610000000000002</v>
      </c>
    </row>
    <row r="2688" spans="1:8" x14ac:dyDescent="0.2">
      <c r="A2688" s="1">
        <v>28</v>
      </c>
      <c r="B2688" s="1" t="str">
        <v>2020-10-23</v>
      </c>
      <c r="C2688" s="1">
        <v>3.0552999999999999</v>
      </c>
      <c r="F2688" s="8">
        <f t="shared" si="123"/>
        <v>28</v>
      </c>
      <c r="G2688" s="9">
        <f t="shared" si="124"/>
        <v>44127</v>
      </c>
      <c r="H2688" s="10">
        <f t="shared" si="125"/>
        <v>3.0552999999999999</v>
      </c>
    </row>
    <row r="2689" spans="1:8" x14ac:dyDescent="0.2">
      <c r="A2689" s="1">
        <v>32401</v>
      </c>
      <c r="B2689" s="1" t="str">
        <v>2020-10-23</v>
      </c>
      <c r="C2689" s="1">
        <v>2.5137999999999998</v>
      </c>
      <c r="F2689" s="8">
        <f t="shared" si="123"/>
        <v>32401</v>
      </c>
      <c r="G2689" s="9">
        <f t="shared" si="124"/>
        <v>44127</v>
      </c>
      <c r="H2689" s="10">
        <f t="shared" si="125"/>
        <v>2.5137999999999998</v>
      </c>
    </row>
    <row r="2690" spans="1:8" x14ac:dyDescent="0.2">
      <c r="A2690" s="1">
        <v>32360</v>
      </c>
      <c r="B2690" s="1" t="str">
        <v>2020-10-23</v>
      </c>
      <c r="C2690" s="1">
        <v>3.3271999999999999</v>
      </c>
      <c r="F2690" s="8">
        <f t="shared" si="123"/>
        <v>32360</v>
      </c>
      <c r="G2690" s="9">
        <f t="shared" si="124"/>
        <v>44127</v>
      </c>
      <c r="H2690" s="10">
        <f t="shared" si="125"/>
        <v>3.3271999999999999</v>
      </c>
    </row>
    <row r="2691" spans="1:8" x14ac:dyDescent="0.2">
      <c r="A2691" s="1">
        <v>34</v>
      </c>
      <c r="B2691" s="1" t="str">
        <v>2020-10-23</v>
      </c>
      <c r="C2691" s="1">
        <v>2.9634</v>
      </c>
      <c r="F2691" s="8">
        <f t="shared" si="123"/>
        <v>34</v>
      </c>
      <c r="G2691" s="9">
        <f t="shared" si="124"/>
        <v>44127</v>
      </c>
      <c r="H2691" s="10">
        <f t="shared" si="125"/>
        <v>2.9634</v>
      </c>
    </row>
    <row r="2692" spans="1:8" x14ac:dyDescent="0.2">
      <c r="A2692" s="1">
        <v>32340</v>
      </c>
      <c r="B2692" s="1" t="str">
        <v>2020-10-23</v>
      </c>
      <c r="C2692" s="1">
        <v>2.8403999999999998</v>
      </c>
      <c r="F2692" s="8">
        <f t="shared" si="123"/>
        <v>32340</v>
      </c>
      <c r="G2692" s="9">
        <f t="shared" si="124"/>
        <v>44127</v>
      </c>
      <c r="H2692" s="10">
        <f t="shared" si="125"/>
        <v>2.8403999999999998</v>
      </c>
    </row>
    <row r="2693" spans="1:8" x14ac:dyDescent="0.2">
      <c r="A2693" s="1">
        <v>13250</v>
      </c>
      <c r="B2693" s="1" t="str">
        <v>2020-10-23</v>
      </c>
      <c r="C2693" s="1">
        <v>3.0247999999999999</v>
      </c>
      <c r="F2693" s="8">
        <f t="shared" si="123"/>
        <v>13250</v>
      </c>
      <c r="G2693" s="9">
        <f t="shared" si="124"/>
        <v>44127</v>
      </c>
      <c r="H2693" s="10">
        <f t="shared" si="125"/>
        <v>3.0247999999999999</v>
      </c>
    </row>
    <row r="2694" spans="1:8" x14ac:dyDescent="0.2">
      <c r="A2694" s="1">
        <v>133</v>
      </c>
      <c r="B2694" s="1" t="str">
        <v>2020-10-23</v>
      </c>
      <c r="C2694" s="1">
        <v>2.9838</v>
      </c>
      <c r="F2694" s="8">
        <f t="shared" si="123"/>
        <v>133</v>
      </c>
      <c r="G2694" s="9">
        <f t="shared" si="124"/>
        <v>44127</v>
      </c>
      <c r="H2694" s="10">
        <f t="shared" si="125"/>
        <v>2.9838</v>
      </c>
    </row>
    <row r="2695" spans="1:8" x14ac:dyDescent="0.2">
      <c r="A2695" s="1">
        <v>33023</v>
      </c>
      <c r="B2695" s="1" t="str">
        <v>2020-10-23</v>
      </c>
      <c r="C2695" s="1">
        <v>2.7075</v>
      </c>
      <c r="F2695" s="8">
        <f t="shared" si="123"/>
        <v>33023</v>
      </c>
      <c r="G2695" s="9">
        <f t="shared" si="124"/>
        <v>44127</v>
      </c>
      <c r="H2695" s="10">
        <f t="shared" si="125"/>
        <v>2.7075</v>
      </c>
    </row>
    <row r="2696" spans="1:8" x14ac:dyDescent="0.2">
      <c r="A2696" s="1">
        <v>32081</v>
      </c>
      <c r="B2696" s="1" t="str">
        <v>2020-10-23</v>
      </c>
      <c r="C2696" s="1">
        <v>3.2606999999999999</v>
      </c>
      <c r="F2696" s="8">
        <f t="shared" si="123"/>
        <v>32081</v>
      </c>
      <c r="G2696" s="9">
        <f t="shared" si="124"/>
        <v>44127</v>
      </c>
      <c r="H2696" s="10">
        <f t="shared" si="125"/>
        <v>3.2606999999999999</v>
      </c>
    </row>
    <row r="2697" spans="1:8" x14ac:dyDescent="0.2">
      <c r="A2697" s="1">
        <v>137</v>
      </c>
      <c r="B2697" s="1" t="str">
        <v>2020-10-23</v>
      </c>
      <c r="C2697" s="1">
        <v>3.0758999999999999</v>
      </c>
      <c r="F2697" s="8">
        <f t="shared" ref="F2697:F2760" si="126">A2697</f>
        <v>137</v>
      </c>
      <c r="G2697" s="9">
        <f t="shared" ref="G2697:G2760" si="127">DATE(LEFT(B2697,4),MID(B2697,6,2),RIGHT(B2697,2))</f>
        <v>44127</v>
      </c>
      <c r="H2697" s="10">
        <f t="shared" ref="H2697:H2760" si="128">C2697</f>
        <v>3.0758999999999999</v>
      </c>
    </row>
    <row r="2698" spans="1:8" x14ac:dyDescent="0.2">
      <c r="A2698" s="1">
        <v>67</v>
      </c>
      <c r="B2698" s="1" t="str">
        <v>2020-10-23</v>
      </c>
      <c r="C2698" s="1">
        <v>3.1680999999999999</v>
      </c>
      <c r="F2698" s="8">
        <f t="shared" si="126"/>
        <v>67</v>
      </c>
      <c r="G2698" s="9">
        <f t="shared" si="127"/>
        <v>44127</v>
      </c>
      <c r="H2698" s="10">
        <f t="shared" si="128"/>
        <v>3.1680999999999999</v>
      </c>
    </row>
    <row r="2699" spans="1:8" x14ac:dyDescent="0.2">
      <c r="A2699" s="1">
        <v>90</v>
      </c>
      <c r="B2699" s="1" t="str">
        <v>2020-10-23</v>
      </c>
      <c r="C2699" s="1">
        <v>3.3222999999999998</v>
      </c>
      <c r="F2699" s="8">
        <f t="shared" si="126"/>
        <v>90</v>
      </c>
      <c r="G2699" s="9">
        <f t="shared" si="127"/>
        <v>44127</v>
      </c>
      <c r="H2699" s="10">
        <f t="shared" si="128"/>
        <v>3.3222999999999998</v>
      </c>
    </row>
    <row r="2700" spans="1:8" x14ac:dyDescent="0.2">
      <c r="A2700" s="1">
        <v>20</v>
      </c>
      <c r="B2700" s="1" t="str">
        <v>2020-10-23</v>
      </c>
      <c r="C2700" s="1">
        <v>3.1577000000000002</v>
      </c>
      <c r="F2700" s="8">
        <f t="shared" si="126"/>
        <v>20</v>
      </c>
      <c r="G2700" s="9">
        <f t="shared" si="127"/>
        <v>44127</v>
      </c>
      <c r="H2700" s="10">
        <f t="shared" si="128"/>
        <v>3.1577000000000002</v>
      </c>
    </row>
    <row r="2701" spans="1:8" x14ac:dyDescent="0.2">
      <c r="A2701" s="1">
        <v>32082</v>
      </c>
      <c r="B2701" s="1" t="str">
        <v>2020-10-23</v>
      </c>
      <c r="C2701" s="1">
        <v>3.343</v>
      </c>
      <c r="F2701" s="8">
        <f t="shared" si="126"/>
        <v>32082</v>
      </c>
      <c r="G2701" s="9">
        <f t="shared" si="127"/>
        <v>44127</v>
      </c>
      <c r="H2701" s="10">
        <f t="shared" si="128"/>
        <v>3.343</v>
      </c>
    </row>
    <row r="2702" spans="1:8" x14ac:dyDescent="0.2">
      <c r="A2702" s="1">
        <v>33130</v>
      </c>
      <c r="B2702" s="1" t="str">
        <v>2020-10-23</v>
      </c>
      <c r="C2702" s="1">
        <v>3.2604000000000002</v>
      </c>
      <c r="F2702" s="8">
        <f t="shared" si="126"/>
        <v>33130</v>
      </c>
      <c r="G2702" s="9">
        <f t="shared" si="127"/>
        <v>44127</v>
      </c>
      <c r="H2702" s="10">
        <f t="shared" si="128"/>
        <v>3.2604000000000002</v>
      </c>
    </row>
    <row r="2703" spans="1:8" x14ac:dyDescent="0.2">
      <c r="A2703" s="1">
        <v>32121</v>
      </c>
      <c r="B2703" s="1" t="str">
        <v>2020-10-23</v>
      </c>
      <c r="C2703" s="1">
        <v>3.2299000000000002</v>
      </c>
      <c r="F2703" s="8">
        <f t="shared" si="126"/>
        <v>32121</v>
      </c>
      <c r="G2703" s="9">
        <f t="shared" si="127"/>
        <v>44127</v>
      </c>
      <c r="H2703" s="10">
        <f t="shared" si="128"/>
        <v>3.2299000000000002</v>
      </c>
    </row>
    <row r="2704" spans="1:8" x14ac:dyDescent="0.2">
      <c r="A2704" s="1">
        <v>110</v>
      </c>
      <c r="B2704" s="1" t="str">
        <v>2020-10-23</v>
      </c>
      <c r="C2704" s="1">
        <v>3.117</v>
      </c>
      <c r="F2704" s="8">
        <f t="shared" si="126"/>
        <v>110</v>
      </c>
      <c r="G2704" s="9">
        <f t="shared" si="127"/>
        <v>44127</v>
      </c>
      <c r="H2704" s="10">
        <f t="shared" si="128"/>
        <v>3.117</v>
      </c>
    </row>
    <row r="2705" spans="1:8" x14ac:dyDescent="0.2">
      <c r="A2705" s="1">
        <v>32783</v>
      </c>
      <c r="B2705" s="1" t="str">
        <v>2020-10-23</v>
      </c>
      <c r="C2705" s="1">
        <v>3.1067999999999998</v>
      </c>
      <c r="F2705" s="8">
        <f t="shared" si="126"/>
        <v>32783</v>
      </c>
      <c r="G2705" s="9">
        <f t="shared" si="127"/>
        <v>44127</v>
      </c>
      <c r="H2705" s="10">
        <f t="shared" si="128"/>
        <v>3.1067999999999998</v>
      </c>
    </row>
    <row r="2706" spans="1:8" x14ac:dyDescent="0.2">
      <c r="A2706" s="1">
        <v>33183</v>
      </c>
      <c r="B2706" s="1" t="str">
        <v>2020-10-23</v>
      </c>
      <c r="C2706" s="1">
        <v>3.0278</v>
      </c>
      <c r="F2706" s="8">
        <f t="shared" si="126"/>
        <v>33183</v>
      </c>
      <c r="G2706" s="9">
        <f t="shared" si="127"/>
        <v>44127</v>
      </c>
      <c r="H2706" s="10">
        <f t="shared" si="128"/>
        <v>3.0278</v>
      </c>
    </row>
    <row r="2707" spans="1:8" x14ac:dyDescent="0.2">
      <c r="A2707" s="1">
        <v>32260</v>
      </c>
      <c r="B2707" s="1" t="str">
        <v>2020-10-23</v>
      </c>
      <c r="C2707" s="1">
        <v>3.2812000000000001</v>
      </c>
      <c r="F2707" s="8">
        <f t="shared" si="126"/>
        <v>32260</v>
      </c>
      <c r="G2707" s="9">
        <f t="shared" si="127"/>
        <v>44127</v>
      </c>
      <c r="H2707" s="10">
        <f t="shared" si="128"/>
        <v>3.2812000000000001</v>
      </c>
    </row>
    <row r="2708" spans="1:8" x14ac:dyDescent="0.2">
      <c r="A2708" s="1">
        <v>161</v>
      </c>
      <c r="B2708" s="1" t="str">
        <v>2020-10-23</v>
      </c>
      <c r="C2708" s="1">
        <v>3.24</v>
      </c>
      <c r="F2708" s="8">
        <f t="shared" si="126"/>
        <v>161</v>
      </c>
      <c r="G2708" s="9">
        <f t="shared" si="127"/>
        <v>44127</v>
      </c>
      <c r="H2708" s="10">
        <f t="shared" si="128"/>
        <v>3.24</v>
      </c>
    </row>
    <row r="2709" spans="1:8" x14ac:dyDescent="0.2">
      <c r="A2709" s="1">
        <v>196</v>
      </c>
      <c r="B2709" s="1" t="str">
        <v>2020-10-23</v>
      </c>
      <c r="C2709" s="1">
        <v>3.1682999999999999</v>
      </c>
      <c r="F2709" s="8">
        <f t="shared" si="126"/>
        <v>196</v>
      </c>
      <c r="G2709" s="9">
        <f t="shared" si="127"/>
        <v>44127</v>
      </c>
      <c r="H2709" s="10">
        <f t="shared" si="128"/>
        <v>3.1682999999999999</v>
      </c>
    </row>
    <row r="2710" spans="1:8" x14ac:dyDescent="0.2">
      <c r="A2710" s="1">
        <v>16</v>
      </c>
      <c r="B2710" s="1" t="str">
        <v>2020-10-23</v>
      </c>
      <c r="C2710" s="1">
        <v>2.8201000000000001</v>
      </c>
      <c r="F2710" s="8">
        <f t="shared" si="126"/>
        <v>16</v>
      </c>
      <c r="G2710" s="9">
        <f t="shared" si="127"/>
        <v>44127</v>
      </c>
      <c r="H2710" s="10">
        <f t="shared" si="128"/>
        <v>2.8201000000000001</v>
      </c>
    </row>
    <row r="2711" spans="1:8" x14ac:dyDescent="0.2">
      <c r="A2711" s="1">
        <v>72</v>
      </c>
      <c r="B2711" s="1" t="str">
        <v>2020-10-23</v>
      </c>
      <c r="C2711" s="1">
        <v>3.1886999999999999</v>
      </c>
      <c r="F2711" s="8">
        <f t="shared" si="126"/>
        <v>72</v>
      </c>
      <c r="G2711" s="9">
        <f t="shared" si="127"/>
        <v>44127</v>
      </c>
      <c r="H2711" s="10">
        <f t="shared" si="128"/>
        <v>3.1886999999999999</v>
      </c>
    </row>
    <row r="2712" spans="1:8" x14ac:dyDescent="0.2">
      <c r="A2712" s="1">
        <v>33125</v>
      </c>
      <c r="B2712" s="1" t="str">
        <v>2020-10-23</v>
      </c>
      <c r="C2712" s="1">
        <v>2.8094999999999999</v>
      </c>
      <c r="F2712" s="8">
        <f t="shared" si="126"/>
        <v>33125</v>
      </c>
      <c r="G2712" s="9">
        <f t="shared" si="127"/>
        <v>44127</v>
      </c>
      <c r="H2712" s="10">
        <f t="shared" si="128"/>
        <v>2.8094999999999999</v>
      </c>
    </row>
    <row r="2713" spans="1:8" x14ac:dyDescent="0.2">
      <c r="A2713" s="1">
        <v>8</v>
      </c>
      <c r="B2713" s="1" t="str">
        <v>2020-10-23</v>
      </c>
      <c r="C2713" s="1">
        <v>2.8096000000000001</v>
      </c>
      <c r="F2713" s="8">
        <f t="shared" si="126"/>
        <v>8</v>
      </c>
      <c r="G2713" s="9">
        <f t="shared" si="127"/>
        <v>44127</v>
      </c>
      <c r="H2713" s="10">
        <f t="shared" si="128"/>
        <v>2.8096000000000001</v>
      </c>
    </row>
    <row r="2714" spans="1:8" x14ac:dyDescent="0.2">
      <c r="A2714" s="1">
        <v>32582</v>
      </c>
      <c r="B2714" s="1" t="str">
        <v>2020-10-23</v>
      </c>
      <c r="C2714" s="1">
        <v>3.0455999999999999</v>
      </c>
      <c r="F2714" s="8">
        <f t="shared" si="126"/>
        <v>32582</v>
      </c>
      <c r="G2714" s="9">
        <f t="shared" si="127"/>
        <v>44127</v>
      </c>
      <c r="H2714" s="10">
        <f t="shared" si="128"/>
        <v>3.0455999999999999</v>
      </c>
    </row>
    <row r="2715" spans="1:8" x14ac:dyDescent="0.2">
      <c r="A2715" s="1">
        <v>146</v>
      </c>
      <c r="B2715" s="1" t="str">
        <v>2020-10-23</v>
      </c>
      <c r="C2715" s="1">
        <v>2.9940000000000002</v>
      </c>
      <c r="F2715" s="8">
        <f t="shared" si="126"/>
        <v>146</v>
      </c>
      <c r="G2715" s="9">
        <f t="shared" si="127"/>
        <v>44127</v>
      </c>
      <c r="H2715" s="10">
        <f t="shared" si="128"/>
        <v>2.9940000000000002</v>
      </c>
    </row>
    <row r="2716" spans="1:8" x14ac:dyDescent="0.2">
      <c r="A2716" s="1">
        <v>32200</v>
      </c>
      <c r="B2716" s="1" t="str">
        <v>2020-10-23</v>
      </c>
      <c r="C2716" s="1">
        <v>3.3018000000000001</v>
      </c>
      <c r="F2716" s="8">
        <f t="shared" si="126"/>
        <v>32200</v>
      </c>
      <c r="G2716" s="9">
        <f t="shared" si="127"/>
        <v>44127</v>
      </c>
      <c r="H2716" s="10">
        <f t="shared" si="128"/>
        <v>3.3018000000000001</v>
      </c>
    </row>
    <row r="2717" spans="1:8" x14ac:dyDescent="0.2">
      <c r="A2717" s="1">
        <v>109</v>
      </c>
      <c r="B2717" s="1" t="str">
        <v>2020-10-23</v>
      </c>
      <c r="C2717" s="1">
        <v>2.7589999999999999</v>
      </c>
      <c r="F2717" s="8">
        <f t="shared" si="126"/>
        <v>109</v>
      </c>
      <c r="G2717" s="9">
        <f t="shared" si="127"/>
        <v>44127</v>
      </c>
      <c r="H2717" s="10">
        <f t="shared" si="128"/>
        <v>2.7589999999999999</v>
      </c>
    </row>
    <row r="2718" spans="1:8" x14ac:dyDescent="0.2">
      <c r="A2718" s="1">
        <v>32603</v>
      </c>
      <c r="B2718" s="1" t="str">
        <v>2020-10-23</v>
      </c>
      <c r="C2718" s="1">
        <v>3.2092999999999998</v>
      </c>
      <c r="F2718" s="8">
        <f t="shared" si="126"/>
        <v>32603</v>
      </c>
      <c r="G2718" s="9">
        <f t="shared" si="127"/>
        <v>44127</v>
      </c>
      <c r="H2718" s="10">
        <f t="shared" si="128"/>
        <v>3.2092999999999998</v>
      </c>
    </row>
    <row r="2719" spans="1:8" x14ac:dyDescent="0.2">
      <c r="A2719" s="1">
        <v>150</v>
      </c>
      <c r="B2719" s="1" t="str">
        <v>2020-10-23</v>
      </c>
      <c r="C2719" s="1">
        <v>2.7521</v>
      </c>
      <c r="F2719" s="8">
        <f t="shared" si="126"/>
        <v>150</v>
      </c>
      <c r="G2719" s="9">
        <f t="shared" si="127"/>
        <v>44127</v>
      </c>
      <c r="H2719" s="10">
        <f t="shared" si="128"/>
        <v>2.7521</v>
      </c>
    </row>
    <row r="2720" spans="1:8" x14ac:dyDescent="0.2">
      <c r="A2720" s="1">
        <v>32560</v>
      </c>
      <c r="B2720" s="1" t="str">
        <v>2020-10-23</v>
      </c>
      <c r="C2720" s="1">
        <v>3.0550000000000002</v>
      </c>
      <c r="F2720" s="8">
        <f t="shared" si="126"/>
        <v>32560</v>
      </c>
      <c r="G2720" s="9">
        <f t="shared" si="127"/>
        <v>44127</v>
      </c>
      <c r="H2720" s="10">
        <f t="shared" si="128"/>
        <v>3.0550000000000002</v>
      </c>
    </row>
    <row r="2721" spans="1:8" x14ac:dyDescent="0.2">
      <c r="A2721" s="1">
        <v>147</v>
      </c>
      <c r="B2721" s="1" t="str">
        <v>2020-10-23</v>
      </c>
      <c r="C2721" s="1">
        <v>2.8090000000000002</v>
      </c>
      <c r="F2721" s="8">
        <f t="shared" si="126"/>
        <v>147</v>
      </c>
      <c r="G2721" s="9">
        <f t="shared" si="127"/>
        <v>44127</v>
      </c>
      <c r="H2721" s="10">
        <f t="shared" si="128"/>
        <v>2.8090000000000002</v>
      </c>
    </row>
    <row r="2722" spans="1:8" x14ac:dyDescent="0.2">
      <c r="A2722" s="1">
        <v>136</v>
      </c>
      <c r="B2722" s="1" t="str">
        <v>2020-10-23</v>
      </c>
      <c r="C2722" s="1">
        <v>3.3532000000000002</v>
      </c>
      <c r="F2722" s="8">
        <f t="shared" si="126"/>
        <v>136</v>
      </c>
      <c r="G2722" s="9">
        <f t="shared" si="127"/>
        <v>44127</v>
      </c>
      <c r="H2722" s="10">
        <f t="shared" si="128"/>
        <v>3.3532000000000002</v>
      </c>
    </row>
    <row r="2723" spans="1:8" x14ac:dyDescent="0.2">
      <c r="A2723" s="1">
        <v>33083</v>
      </c>
      <c r="B2723" s="1" t="str">
        <v>2020-10-23</v>
      </c>
      <c r="C2723" s="1">
        <v>2.7256999999999998</v>
      </c>
      <c r="F2723" s="8">
        <f t="shared" si="126"/>
        <v>33083</v>
      </c>
      <c r="G2723" s="9">
        <f t="shared" si="127"/>
        <v>44127</v>
      </c>
      <c r="H2723" s="10">
        <f t="shared" si="128"/>
        <v>2.7256999999999998</v>
      </c>
    </row>
    <row r="2724" spans="1:8" x14ac:dyDescent="0.2">
      <c r="A2724" s="1">
        <v>30300</v>
      </c>
      <c r="B2724" s="1" t="str">
        <v>2020-10-23</v>
      </c>
      <c r="C2724" s="1">
        <v>3.0041000000000002</v>
      </c>
      <c r="F2724" s="8">
        <f t="shared" si="126"/>
        <v>30300</v>
      </c>
      <c r="G2724" s="9">
        <f t="shared" si="127"/>
        <v>44127</v>
      </c>
      <c r="H2724" s="10">
        <f t="shared" si="128"/>
        <v>3.0041000000000002</v>
      </c>
    </row>
    <row r="2725" spans="1:8" x14ac:dyDescent="0.2">
      <c r="A2725" s="1">
        <v>32</v>
      </c>
      <c r="B2725" s="1" t="str">
        <v>2020-10-23</v>
      </c>
      <c r="C2725" s="1">
        <v>3.0760000000000001</v>
      </c>
      <c r="F2725" s="8">
        <f t="shared" si="126"/>
        <v>32</v>
      </c>
      <c r="G2725" s="9">
        <f t="shared" si="127"/>
        <v>44127</v>
      </c>
      <c r="H2725" s="10">
        <f t="shared" si="128"/>
        <v>3.0760000000000001</v>
      </c>
    </row>
    <row r="2726" spans="1:8" x14ac:dyDescent="0.2">
      <c r="A2726" s="1">
        <v>32521</v>
      </c>
      <c r="B2726" s="1" t="str">
        <v>2020-10-23</v>
      </c>
      <c r="C2726" s="1">
        <v>2.6968999999999999</v>
      </c>
      <c r="F2726" s="8">
        <f t="shared" si="126"/>
        <v>32521</v>
      </c>
      <c r="G2726" s="9">
        <f t="shared" si="127"/>
        <v>44127</v>
      </c>
      <c r="H2726" s="10">
        <f t="shared" si="128"/>
        <v>2.6968999999999999</v>
      </c>
    </row>
    <row r="2727" spans="1:8" x14ac:dyDescent="0.2">
      <c r="A2727" s="1">
        <v>102</v>
      </c>
      <c r="B2727" s="1" t="str">
        <v>2020-10-23</v>
      </c>
      <c r="C2727" s="1">
        <v>3.2503000000000002</v>
      </c>
      <c r="F2727" s="8">
        <f t="shared" si="126"/>
        <v>102</v>
      </c>
      <c r="G2727" s="9">
        <f t="shared" si="127"/>
        <v>44127</v>
      </c>
      <c r="H2727" s="10">
        <f t="shared" si="128"/>
        <v>3.2503000000000002</v>
      </c>
    </row>
    <row r="2728" spans="1:8" x14ac:dyDescent="0.2">
      <c r="A2728" s="1">
        <v>24250</v>
      </c>
      <c r="B2728" s="1" t="str">
        <v>2020-10-23</v>
      </c>
      <c r="C2728" s="1">
        <v>3.1067999999999998</v>
      </c>
      <c r="F2728" s="8">
        <f t="shared" si="126"/>
        <v>24250</v>
      </c>
      <c r="G2728" s="9">
        <f t="shared" si="127"/>
        <v>44127</v>
      </c>
      <c r="H2728" s="10">
        <f t="shared" si="128"/>
        <v>3.1067999999999998</v>
      </c>
    </row>
    <row r="2729" spans="1:8" x14ac:dyDescent="0.2">
      <c r="A2729" s="1">
        <v>32803</v>
      </c>
      <c r="B2729" s="1" t="str">
        <v>2020-10-23</v>
      </c>
      <c r="C2729" s="1">
        <v>3.3633999999999999</v>
      </c>
      <c r="F2729" s="8">
        <f t="shared" si="126"/>
        <v>32803</v>
      </c>
      <c r="G2729" s="9">
        <f t="shared" si="127"/>
        <v>44127</v>
      </c>
      <c r="H2729" s="10">
        <f t="shared" si="128"/>
        <v>3.3633999999999999</v>
      </c>
    </row>
    <row r="2730" spans="1:8" x14ac:dyDescent="0.2">
      <c r="A2730" s="1">
        <v>187</v>
      </c>
      <c r="B2730" s="1" t="str">
        <v>2020-10-23</v>
      </c>
      <c r="C2730" s="1">
        <v>3.3633999999999999</v>
      </c>
      <c r="F2730" s="8">
        <f t="shared" si="126"/>
        <v>187</v>
      </c>
      <c r="G2730" s="9">
        <f t="shared" si="127"/>
        <v>44127</v>
      </c>
      <c r="H2730" s="10">
        <f t="shared" si="128"/>
        <v>3.3633999999999999</v>
      </c>
    </row>
    <row r="2731" spans="1:8" x14ac:dyDescent="0.2">
      <c r="A2731" s="1">
        <v>32923</v>
      </c>
      <c r="B2731" s="1" t="str">
        <v>2020-10-23</v>
      </c>
      <c r="C2731" s="1">
        <v>3.0457000000000001</v>
      </c>
      <c r="F2731" s="8">
        <f t="shared" si="126"/>
        <v>32923</v>
      </c>
      <c r="G2731" s="9">
        <f t="shared" si="127"/>
        <v>44127</v>
      </c>
      <c r="H2731" s="10">
        <f t="shared" si="128"/>
        <v>3.0457000000000001</v>
      </c>
    </row>
    <row r="2732" spans="1:8" x14ac:dyDescent="0.2">
      <c r="A2732" s="1">
        <v>9250</v>
      </c>
      <c r="B2732" s="1" t="str">
        <v>2020-10-23</v>
      </c>
      <c r="C2732" s="1">
        <v>3.3121</v>
      </c>
      <c r="F2732" s="8">
        <f t="shared" si="126"/>
        <v>9250</v>
      </c>
      <c r="G2732" s="9">
        <f t="shared" si="127"/>
        <v>44127</v>
      </c>
      <c r="H2732" s="10">
        <f t="shared" si="128"/>
        <v>3.3121</v>
      </c>
    </row>
    <row r="2733" spans="1:8" x14ac:dyDescent="0.2">
      <c r="A2733" s="1">
        <v>32500</v>
      </c>
      <c r="B2733" s="1" t="str">
        <v>2020-10-23</v>
      </c>
      <c r="C2733" s="1">
        <v>3.1890000000000001</v>
      </c>
      <c r="F2733" s="8">
        <f t="shared" si="126"/>
        <v>32500</v>
      </c>
      <c r="G2733" s="9">
        <f t="shared" si="127"/>
        <v>44127</v>
      </c>
      <c r="H2733" s="10">
        <f t="shared" si="128"/>
        <v>3.1890000000000001</v>
      </c>
    </row>
    <row r="2734" spans="1:8" x14ac:dyDescent="0.2">
      <c r="A2734" s="1">
        <v>55</v>
      </c>
      <c r="B2734" s="1" t="str">
        <v>2020-10-23</v>
      </c>
      <c r="C2734" s="1">
        <v>3.0966999999999998</v>
      </c>
      <c r="F2734" s="8">
        <f t="shared" si="126"/>
        <v>55</v>
      </c>
      <c r="G2734" s="9">
        <f t="shared" si="127"/>
        <v>44127</v>
      </c>
      <c r="H2734" s="10">
        <f t="shared" si="128"/>
        <v>3.0966999999999998</v>
      </c>
    </row>
    <row r="2735" spans="1:8" x14ac:dyDescent="0.2">
      <c r="A2735" s="1">
        <v>115</v>
      </c>
      <c r="B2735" s="1" t="str">
        <v>2020-10-23</v>
      </c>
      <c r="C2735" s="1">
        <v>2.9634</v>
      </c>
      <c r="F2735" s="8">
        <f t="shared" si="126"/>
        <v>115</v>
      </c>
      <c r="G2735" s="9">
        <f t="shared" si="127"/>
        <v>44127</v>
      </c>
      <c r="H2735" s="10">
        <f t="shared" si="128"/>
        <v>2.9634</v>
      </c>
    </row>
    <row r="2736" spans="1:8" x14ac:dyDescent="0.2">
      <c r="A2736" s="1">
        <v>53</v>
      </c>
      <c r="B2736" s="1" t="str">
        <v>2020-10-23</v>
      </c>
      <c r="C2736" s="1">
        <v>2.9119999999999999</v>
      </c>
      <c r="F2736" s="8">
        <f t="shared" si="126"/>
        <v>53</v>
      </c>
      <c r="G2736" s="9">
        <f t="shared" si="127"/>
        <v>44127</v>
      </c>
      <c r="H2736" s="10">
        <f t="shared" si="128"/>
        <v>2.9119999999999999</v>
      </c>
    </row>
    <row r="2737" spans="1:8" x14ac:dyDescent="0.2">
      <c r="A2737" s="1">
        <v>139</v>
      </c>
      <c r="B2737" s="1" t="str">
        <v>2020-10-23</v>
      </c>
      <c r="C2737" s="1">
        <v>3.0144000000000002</v>
      </c>
      <c r="F2737" s="8">
        <f t="shared" si="126"/>
        <v>139</v>
      </c>
      <c r="G2737" s="9">
        <f t="shared" si="127"/>
        <v>44127</v>
      </c>
      <c r="H2737" s="10">
        <f t="shared" si="128"/>
        <v>3.0144000000000002</v>
      </c>
    </row>
    <row r="2738" spans="1:8" x14ac:dyDescent="0.2">
      <c r="A2738" s="1">
        <v>31</v>
      </c>
      <c r="B2738" s="1" t="str">
        <v>2020-10-23</v>
      </c>
      <c r="C2738" s="1">
        <v>3.1273</v>
      </c>
      <c r="F2738" s="8">
        <f t="shared" si="126"/>
        <v>31</v>
      </c>
      <c r="G2738" s="9">
        <f t="shared" si="127"/>
        <v>44127</v>
      </c>
      <c r="H2738" s="10">
        <f t="shared" si="128"/>
        <v>3.1273</v>
      </c>
    </row>
    <row r="2739" spans="1:8" x14ac:dyDescent="0.2">
      <c r="A2739" s="1">
        <v>33129</v>
      </c>
      <c r="B2739" s="1" t="str">
        <v>2020-10-23</v>
      </c>
      <c r="C2739" s="1">
        <v>2.9836</v>
      </c>
      <c r="F2739" s="8">
        <f t="shared" si="126"/>
        <v>33129</v>
      </c>
      <c r="G2739" s="9">
        <f t="shared" si="127"/>
        <v>44127</v>
      </c>
      <c r="H2739" s="10">
        <f t="shared" si="128"/>
        <v>2.9836</v>
      </c>
    </row>
    <row r="2740" spans="1:8" x14ac:dyDescent="0.2">
      <c r="A2740" s="1">
        <v>59</v>
      </c>
      <c r="B2740" s="1" t="str">
        <v>2020-10-23</v>
      </c>
      <c r="C2740" s="1">
        <v>3.2301000000000002</v>
      </c>
      <c r="F2740" s="8">
        <f t="shared" si="126"/>
        <v>59</v>
      </c>
      <c r="G2740" s="9">
        <f t="shared" si="127"/>
        <v>44127</v>
      </c>
      <c r="H2740" s="10">
        <f t="shared" si="128"/>
        <v>3.2301000000000002</v>
      </c>
    </row>
    <row r="2741" spans="1:8" x14ac:dyDescent="0.2">
      <c r="A2741" s="1">
        <v>2250</v>
      </c>
      <c r="B2741" s="1" t="str">
        <v>2020-10-23</v>
      </c>
      <c r="C2741" s="1">
        <v>3.1274999999999999</v>
      </c>
      <c r="F2741" s="8">
        <f t="shared" si="126"/>
        <v>2250</v>
      </c>
      <c r="G2741" s="9">
        <f t="shared" si="127"/>
        <v>44127</v>
      </c>
      <c r="H2741" s="10">
        <f t="shared" si="128"/>
        <v>3.1274999999999999</v>
      </c>
    </row>
    <row r="2742" spans="1:8" x14ac:dyDescent="0.2">
      <c r="A2742" s="1">
        <v>32863</v>
      </c>
      <c r="B2742" s="1" t="str">
        <v>2020-10-23</v>
      </c>
      <c r="C2742" s="1">
        <v>3.4148000000000001</v>
      </c>
      <c r="F2742" s="8">
        <f t="shared" si="126"/>
        <v>32863</v>
      </c>
      <c r="G2742" s="9">
        <f t="shared" si="127"/>
        <v>44127</v>
      </c>
      <c r="H2742" s="10">
        <f t="shared" si="128"/>
        <v>3.4148000000000001</v>
      </c>
    </row>
    <row r="2743" spans="1:8" x14ac:dyDescent="0.2">
      <c r="A2743" s="1">
        <v>32502</v>
      </c>
      <c r="B2743" s="1" t="str">
        <v>2020-10-23</v>
      </c>
      <c r="C2743" s="1">
        <v>3.3121</v>
      </c>
      <c r="F2743" s="8">
        <f t="shared" si="126"/>
        <v>32502</v>
      </c>
      <c r="G2743" s="9">
        <f t="shared" si="127"/>
        <v>44127</v>
      </c>
      <c r="H2743" s="10">
        <f t="shared" si="128"/>
        <v>3.3121</v>
      </c>
    </row>
    <row r="2744" spans="1:8" x14ac:dyDescent="0.2">
      <c r="A2744" s="1">
        <v>30250</v>
      </c>
      <c r="B2744" s="1" t="str">
        <v>2020-10-23</v>
      </c>
      <c r="C2744" s="1">
        <v>3.2401</v>
      </c>
      <c r="F2744" s="8">
        <f t="shared" si="126"/>
        <v>30250</v>
      </c>
      <c r="G2744" s="9">
        <f t="shared" si="127"/>
        <v>44127</v>
      </c>
      <c r="H2744" s="10">
        <f t="shared" si="128"/>
        <v>3.2401</v>
      </c>
    </row>
    <row r="2745" spans="1:8" x14ac:dyDescent="0.2">
      <c r="A2745" s="1">
        <v>49</v>
      </c>
      <c r="B2745" s="1" t="str">
        <v>2020-10-23</v>
      </c>
      <c r="C2745" s="1">
        <v>3.2401</v>
      </c>
      <c r="F2745" s="8">
        <f t="shared" si="126"/>
        <v>49</v>
      </c>
      <c r="G2745" s="9">
        <f t="shared" si="127"/>
        <v>44127</v>
      </c>
      <c r="H2745" s="10">
        <f t="shared" si="128"/>
        <v>3.2401</v>
      </c>
    </row>
    <row r="2746" spans="1:8" x14ac:dyDescent="0.2">
      <c r="A2746" s="1">
        <v>78</v>
      </c>
      <c r="B2746" s="1" t="str">
        <v>2020-10-23</v>
      </c>
      <c r="C2746" s="1">
        <v>3.1991000000000001</v>
      </c>
      <c r="F2746" s="8">
        <f t="shared" si="126"/>
        <v>78</v>
      </c>
      <c r="G2746" s="9">
        <f t="shared" si="127"/>
        <v>44127</v>
      </c>
      <c r="H2746" s="10">
        <f t="shared" si="128"/>
        <v>3.1991000000000001</v>
      </c>
    </row>
    <row r="2747" spans="1:8" x14ac:dyDescent="0.2">
      <c r="A2747" s="1">
        <v>94</v>
      </c>
      <c r="B2747" s="1" t="str">
        <v>2020-10-23</v>
      </c>
      <c r="C2747" s="1">
        <v>3.0249000000000001</v>
      </c>
      <c r="F2747" s="8">
        <f t="shared" si="126"/>
        <v>94</v>
      </c>
      <c r="G2747" s="9">
        <f t="shared" si="127"/>
        <v>44127</v>
      </c>
      <c r="H2747" s="10">
        <f t="shared" si="128"/>
        <v>3.0249000000000001</v>
      </c>
    </row>
    <row r="2748" spans="1:8" x14ac:dyDescent="0.2">
      <c r="A2748" s="1">
        <v>30400</v>
      </c>
      <c r="B2748" s="1" t="str">
        <v>2020-10-23</v>
      </c>
      <c r="C2748" s="1">
        <v>3.3839999999999999</v>
      </c>
      <c r="F2748" s="8">
        <f t="shared" si="126"/>
        <v>30400</v>
      </c>
      <c r="G2748" s="9">
        <f t="shared" si="127"/>
        <v>44127</v>
      </c>
      <c r="H2748" s="10">
        <f t="shared" si="128"/>
        <v>3.3839999999999999</v>
      </c>
    </row>
    <row r="2749" spans="1:8" x14ac:dyDescent="0.2">
      <c r="A2749" s="1">
        <v>10</v>
      </c>
      <c r="B2749" s="1" t="str">
        <v>2020-10-23</v>
      </c>
      <c r="C2749" s="1">
        <v>3.2094</v>
      </c>
      <c r="F2749" s="8">
        <f t="shared" si="126"/>
        <v>10</v>
      </c>
      <c r="G2749" s="9">
        <f t="shared" si="127"/>
        <v>44127</v>
      </c>
      <c r="H2749" s="10">
        <f t="shared" si="128"/>
        <v>3.2094</v>
      </c>
    </row>
    <row r="2750" spans="1:8" x14ac:dyDescent="0.2">
      <c r="A2750" s="1">
        <v>32843</v>
      </c>
      <c r="B2750" s="1" t="str">
        <v>2020-10-23</v>
      </c>
      <c r="C2750" s="1">
        <v>3.2092999999999998</v>
      </c>
      <c r="F2750" s="8">
        <f t="shared" si="126"/>
        <v>32843</v>
      </c>
      <c r="G2750" s="9">
        <f t="shared" si="127"/>
        <v>44127</v>
      </c>
      <c r="H2750" s="10">
        <f t="shared" si="128"/>
        <v>3.2092999999999998</v>
      </c>
    </row>
    <row r="2751" spans="1:8" x14ac:dyDescent="0.2">
      <c r="A2751" s="1">
        <v>33103</v>
      </c>
      <c r="B2751" s="1" t="str">
        <v>2020-10-26</v>
      </c>
      <c r="C2751" s="1">
        <v>3.1545000000000001</v>
      </c>
      <c r="F2751" s="8">
        <f t="shared" si="126"/>
        <v>33103</v>
      </c>
      <c r="G2751" s="9">
        <f t="shared" si="127"/>
        <v>44130</v>
      </c>
      <c r="H2751" s="10">
        <f t="shared" si="128"/>
        <v>3.1545000000000001</v>
      </c>
    </row>
    <row r="2752" spans="1:8" x14ac:dyDescent="0.2">
      <c r="A2752" s="1">
        <v>143</v>
      </c>
      <c r="B2752" s="1" t="str">
        <v>2020-10-26</v>
      </c>
      <c r="C2752" s="1">
        <v>3.117</v>
      </c>
      <c r="F2752" s="8">
        <f t="shared" si="126"/>
        <v>143</v>
      </c>
      <c r="G2752" s="9">
        <f t="shared" si="127"/>
        <v>44130</v>
      </c>
      <c r="H2752" s="10">
        <f t="shared" si="128"/>
        <v>3.117</v>
      </c>
    </row>
    <row r="2753" spans="1:8" x14ac:dyDescent="0.2">
      <c r="A2753" s="1">
        <v>99</v>
      </c>
      <c r="B2753" s="1" t="str">
        <v>2020-10-26</v>
      </c>
      <c r="C2753" s="1">
        <v>2.7481</v>
      </c>
      <c r="F2753" s="8">
        <f t="shared" si="126"/>
        <v>99</v>
      </c>
      <c r="G2753" s="9">
        <f t="shared" si="127"/>
        <v>44130</v>
      </c>
      <c r="H2753" s="10">
        <f t="shared" si="128"/>
        <v>2.7481</v>
      </c>
    </row>
    <row r="2754" spans="1:8" x14ac:dyDescent="0.2">
      <c r="A2754" s="1">
        <v>81</v>
      </c>
      <c r="B2754" s="1" t="str">
        <v>2020-10-26</v>
      </c>
      <c r="C2754" s="1">
        <v>2.6669999999999998</v>
      </c>
      <c r="F2754" s="8">
        <f t="shared" si="126"/>
        <v>81</v>
      </c>
      <c r="G2754" s="9">
        <f t="shared" si="127"/>
        <v>44130</v>
      </c>
      <c r="H2754" s="10">
        <f t="shared" si="128"/>
        <v>2.6669999999999998</v>
      </c>
    </row>
    <row r="2755" spans="1:8" x14ac:dyDescent="0.2">
      <c r="A2755" s="1">
        <v>32400</v>
      </c>
      <c r="B2755" s="1" t="str">
        <v>2020-10-26</v>
      </c>
      <c r="C2755" s="1">
        <v>3.0453000000000001</v>
      </c>
      <c r="F2755" s="8">
        <f t="shared" si="126"/>
        <v>32400</v>
      </c>
      <c r="G2755" s="9">
        <f t="shared" si="127"/>
        <v>44130</v>
      </c>
      <c r="H2755" s="10">
        <f t="shared" si="128"/>
        <v>3.0453000000000001</v>
      </c>
    </row>
    <row r="2756" spans="1:8" x14ac:dyDescent="0.2">
      <c r="A2756" s="1">
        <v>157</v>
      </c>
      <c r="B2756" s="1" t="str">
        <v>2020-10-26</v>
      </c>
      <c r="C2756" s="1">
        <v>3.0043000000000002</v>
      </c>
      <c r="F2756" s="8">
        <f t="shared" si="126"/>
        <v>157</v>
      </c>
      <c r="G2756" s="9">
        <f t="shared" si="127"/>
        <v>44130</v>
      </c>
      <c r="H2756" s="10">
        <f t="shared" si="128"/>
        <v>3.0043000000000002</v>
      </c>
    </row>
    <row r="2757" spans="1:8" x14ac:dyDescent="0.2">
      <c r="A2757" s="1">
        <v>32421</v>
      </c>
      <c r="B2757" s="1" t="str">
        <v>2020-10-26</v>
      </c>
      <c r="C2757" s="1">
        <v>3.1528999999999998</v>
      </c>
      <c r="F2757" s="8">
        <f t="shared" si="126"/>
        <v>32421</v>
      </c>
      <c r="G2757" s="9">
        <f t="shared" si="127"/>
        <v>44130</v>
      </c>
      <c r="H2757" s="10">
        <f t="shared" si="128"/>
        <v>3.1528999999999998</v>
      </c>
    </row>
    <row r="2758" spans="1:8" x14ac:dyDescent="0.2">
      <c r="A2758" s="1">
        <v>49</v>
      </c>
      <c r="B2758" s="1" t="str">
        <v>2020-10-26</v>
      </c>
      <c r="C2758" s="1">
        <v>3.2606000000000002</v>
      </c>
      <c r="F2758" s="8">
        <f t="shared" si="126"/>
        <v>49</v>
      </c>
      <c r="G2758" s="9">
        <f t="shared" si="127"/>
        <v>44130</v>
      </c>
      <c r="H2758" s="10">
        <f t="shared" si="128"/>
        <v>3.2606000000000002</v>
      </c>
    </row>
    <row r="2759" spans="1:8" x14ac:dyDescent="0.2">
      <c r="A2759" s="1">
        <v>182</v>
      </c>
      <c r="B2759" s="1" t="str">
        <v>2020-10-26</v>
      </c>
      <c r="C2759" s="1">
        <v>2.8607999999999998</v>
      </c>
      <c r="F2759" s="8">
        <f t="shared" si="126"/>
        <v>182</v>
      </c>
      <c r="G2759" s="9">
        <f t="shared" si="127"/>
        <v>44130</v>
      </c>
      <c r="H2759" s="10">
        <f t="shared" si="128"/>
        <v>2.8607999999999998</v>
      </c>
    </row>
    <row r="2760" spans="1:8" x14ac:dyDescent="0.2">
      <c r="A2760" s="1">
        <v>33223</v>
      </c>
      <c r="B2760" s="1" t="str">
        <v>2020-10-26</v>
      </c>
      <c r="C2760" s="1">
        <v>2.1568000000000001</v>
      </c>
      <c r="F2760" s="8">
        <f t="shared" si="126"/>
        <v>33223</v>
      </c>
      <c r="G2760" s="9">
        <f t="shared" si="127"/>
        <v>44130</v>
      </c>
      <c r="H2760" s="10">
        <f t="shared" si="128"/>
        <v>2.1568000000000001</v>
      </c>
    </row>
    <row r="2761" spans="1:8" x14ac:dyDescent="0.2">
      <c r="A2761" s="1">
        <v>68</v>
      </c>
      <c r="B2761" s="1" t="str">
        <v>2020-10-26</v>
      </c>
      <c r="C2761" s="1">
        <v>3.343</v>
      </c>
      <c r="F2761" s="8">
        <f t="shared" ref="F2761:F2824" si="129">A2761</f>
        <v>68</v>
      </c>
      <c r="G2761" s="9">
        <f t="shared" ref="G2761:G2824" si="130">DATE(LEFT(B2761,4),MID(B2761,6,2),RIGHT(B2761,2))</f>
        <v>44130</v>
      </c>
      <c r="H2761" s="10">
        <f t="shared" ref="H2761:H2824" si="131">C2761</f>
        <v>3.343</v>
      </c>
    </row>
    <row r="2762" spans="1:8" x14ac:dyDescent="0.2">
      <c r="A2762" s="1">
        <v>178</v>
      </c>
      <c r="B2762" s="1" t="str">
        <v>2020-10-26</v>
      </c>
      <c r="C2762" s="1">
        <v>3.1564000000000001</v>
      </c>
      <c r="F2762" s="8">
        <f t="shared" si="129"/>
        <v>178</v>
      </c>
      <c r="G2762" s="9">
        <f t="shared" si="130"/>
        <v>44130</v>
      </c>
      <c r="H2762" s="10">
        <f t="shared" si="131"/>
        <v>3.1564000000000001</v>
      </c>
    </row>
    <row r="2763" spans="1:8" x14ac:dyDescent="0.2">
      <c r="A2763" s="1">
        <v>32724</v>
      </c>
      <c r="B2763" s="1" t="str">
        <v>2020-10-27</v>
      </c>
      <c r="C2763" s="1">
        <v>3.0144000000000002</v>
      </c>
      <c r="F2763" s="8">
        <f t="shared" si="129"/>
        <v>32724</v>
      </c>
      <c r="G2763" s="9">
        <f t="shared" si="130"/>
        <v>44131</v>
      </c>
      <c r="H2763" s="10">
        <f t="shared" si="131"/>
        <v>3.0144000000000002</v>
      </c>
    </row>
    <row r="2764" spans="1:8" x14ac:dyDescent="0.2">
      <c r="A2764" s="1">
        <v>33125</v>
      </c>
      <c r="B2764" s="1" t="str">
        <v>2020-10-27</v>
      </c>
      <c r="C2764" s="1">
        <v>2.8711000000000002</v>
      </c>
      <c r="F2764" s="8">
        <f t="shared" si="129"/>
        <v>33125</v>
      </c>
      <c r="G2764" s="9">
        <f t="shared" si="130"/>
        <v>44131</v>
      </c>
      <c r="H2764" s="10">
        <f t="shared" si="131"/>
        <v>2.8711000000000002</v>
      </c>
    </row>
    <row r="2765" spans="1:8" x14ac:dyDescent="0.2">
      <c r="A2765" s="1">
        <v>33103</v>
      </c>
      <c r="B2765" s="1" t="str">
        <v>2020-10-28</v>
      </c>
      <c r="C2765" s="1">
        <v>3.1545000000000001</v>
      </c>
      <c r="F2765" s="8">
        <f t="shared" si="129"/>
        <v>33103</v>
      </c>
      <c r="G2765" s="9">
        <f t="shared" si="130"/>
        <v>44132</v>
      </c>
      <c r="H2765" s="10">
        <f t="shared" si="131"/>
        <v>3.1545000000000001</v>
      </c>
    </row>
    <row r="2766" spans="1:8" x14ac:dyDescent="0.2">
      <c r="A2766" s="1">
        <v>32560</v>
      </c>
      <c r="B2766" s="1" t="str">
        <v>2020-10-28</v>
      </c>
      <c r="C2766" s="1">
        <v>3.0038999999999998</v>
      </c>
      <c r="F2766" s="8">
        <f t="shared" si="129"/>
        <v>32560</v>
      </c>
      <c r="G2766" s="9">
        <f t="shared" si="130"/>
        <v>44132</v>
      </c>
      <c r="H2766" s="10">
        <f t="shared" si="131"/>
        <v>3.0038999999999998</v>
      </c>
    </row>
    <row r="2767" spans="1:8" x14ac:dyDescent="0.2">
      <c r="A2767" s="1">
        <v>32082</v>
      </c>
      <c r="B2767" s="1" t="str">
        <v>2020-10-28</v>
      </c>
      <c r="C2767" s="1">
        <v>3.4868999999999999</v>
      </c>
      <c r="F2767" s="8">
        <f t="shared" si="129"/>
        <v>32082</v>
      </c>
      <c r="G2767" s="9">
        <f t="shared" si="130"/>
        <v>44132</v>
      </c>
      <c r="H2767" s="10">
        <f t="shared" si="131"/>
        <v>3.4868999999999999</v>
      </c>
    </row>
    <row r="2768" spans="1:8" x14ac:dyDescent="0.2">
      <c r="A2768" s="1">
        <v>30350</v>
      </c>
      <c r="B2768" s="1" t="str">
        <v>2020-10-29</v>
      </c>
      <c r="C2768" s="1">
        <v>2.6772</v>
      </c>
      <c r="F2768" s="8">
        <f t="shared" si="129"/>
        <v>30350</v>
      </c>
      <c r="G2768" s="9">
        <f t="shared" si="130"/>
        <v>44133</v>
      </c>
      <c r="H2768" s="10">
        <f t="shared" si="131"/>
        <v>2.6772</v>
      </c>
    </row>
    <row r="2769" spans="1:8" x14ac:dyDescent="0.2">
      <c r="A2769" s="1">
        <v>150</v>
      </c>
      <c r="B2769" s="1" t="str">
        <v>2020-10-29</v>
      </c>
      <c r="C2769" s="1">
        <v>2.7521</v>
      </c>
      <c r="F2769" s="8">
        <f t="shared" si="129"/>
        <v>150</v>
      </c>
      <c r="G2769" s="9">
        <f t="shared" si="130"/>
        <v>44133</v>
      </c>
      <c r="H2769" s="10">
        <f t="shared" si="131"/>
        <v>2.7521</v>
      </c>
    </row>
    <row r="2770" spans="1:8" x14ac:dyDescent="0.2">
      <c r="A2770" s="1">
        <v>33043</v>
      </c>
      <c r="B2770" s="1" t="str">
        <v>2020-10-29</v>
      </c>
      <c r="C2770" s="1">
        <v>3.2709999999999999</v>
      </c>
      <c r="F2770" s="8">
        <f t="shared" si="129"/>
        <v>33043</v>
      </c>
      <c r="G2770" s="9">
        <f t="shared" si="130"/>
        <v>44133</v>
      </c>
      <c r="H2770" s="10">
        <f t="shared" si="131"/>
        <v>3.2709999999999999</v>
      </c>
    </row>
    <row r="2771" spans="1:8" x14ac:dyDescent="0.2">
      <c r="A2771" s="1">
        <v>33125</v>
      </c>
      <c r="B2771" s="1" t="str">
        <v>2020-10-29</v>
      </c>
      <c r="C2771" s="1">
        <v>3.0350000000000001</v>
      </c>
      <c r="F2771" s="8">
        <f t="shared" si="129"/>
        <v>33125</v>
      </c>
      <c r="G2771" s="9">
        <f t="shared" si="130"/>
        <v>44133</v>
      </c>
      <c r="H2771" s="10">
        <f t="shared" si="131"/>
        <v>3.0350000000000001</v>
      </c>
    </row>
    <row r="2772" spans="1:8" x14ac:dyDescent="0.2">
      <c r="A2772" s="1">
        <v>161</v>
      </c>
      <c r="B2772" s="1" t="str">
        <v>2020-10-30</v>
      </c>
      <c r="C2772" s="1">
        <v>3.2810999999999999</v>
      </c>
      <c r="F2772" s="8">
        <f t="shared" si="129"/>
        <v>161</v>
      </c>
      <c r="G2772" s="9">
        <f t="shared" si="130"/>
        <v>44134</v>
      </c>
      <c r="H2772" s="10">
        <f t="shared" si="131"/>
        <v>3.2810999999999999</v>
      </c>
    </row>
    <row r="2773" spans="1:8" x14ac:dyDescent="0.2">
      <c r="A2773" s="1">
        <v>33103</v>
      </c>
      <c r="B2773" s="1" t="str">
        <v>2020-10-30</v>
      </c>
      <c r="C2773" s="1">
        <v>3.1545000000000001</v>
      </c>
      <c r="F2773" s="8">
        <f t="shared" si="129"/>
        <v>33103</v>
      </c>
      <c r="G2773" s="9">
        <f t="shared" si="130"/>
        <v>44134</v>
      </c>
      <c r="H2773" s="10">
        <f t="shared" si="131"/>
        <v>3.1545000000000001</v>
      </c>
    </row>
    <row r="2774" spans="1:8" x14ac:dyDescent="0.2">
      <c r="A2774" s="1">
        <v>83</v>
      </c>
      <c r="B2774" s="1" t="str">
        <v>2020-10-30</v>
      </c>
      <c r="C2774" s="1">
        <v>3.2298</v>
      </c>
      <c r="F2774" s="8">
        <f t="shared" si="129"/>
        <v>83</v>
      </c>
      <c r="G2774" s="9">
        <f t="shared" si="130"/>
        <v>44134</v>
      </c>
      <c r="H2774" s="10">
        <f t="shared" si="131"/>
        <v>3.2298</v>
      </c>
    </row>
    <row r="2775" spans="1:8" x14ac:dyDescent="0.2">
      <c r="A2775" s="1">
        <v>32400</v>
      </c>
      <c r="B2775" s="1" t="str">
        <v>2020-10-30</v>
      </c>
      <c r="C2775" s="1">
        <v>3.0246</v>
      </c>
      <c r="F2775" s="8">
        <f t="shared" si="129"/>
        <v>32400</v>
      </c>
      <c r="G2775" s="9">
        <f t="shared" si="130"/>
        <v>44134</v>
      </c>
      <c r="H2775" s="10">
        <f t="shared" si="131"/>
        <v>3.0246</v>
      </c>
    </row>
    <row r="2776" spans="1:8" x14ac:dyDescent="0.2">
      <c r="A2776" s="1">
        <v>33203</v>
      </c>
      <c r="B2776" s="1" t="str">
        <v>2020-10-30</v>
      </c>
      <c r="C2776" s="1">
        <v>3.3433999999999999</v>
      </c>
      <c r="F2776" s="8">
        <f t="shared" si="129"/>
        <v>33203</v>
      </c>
      <c r="G2776" s="9">
        <f t="shared" si="130"/>
        <v>44134</v>
      </c>
      <c r="H2776" s="10">
        <f t="shared" si="131"/>
        <v>3.3433999999999999</v>
      </c>
    </row>
    <row r="2777" spans="1:8" x14ac:dyDescent="0.2">
      <c r="A2777" s="1">
        <v>32963</v>
      </c>
      <c r="B2777" s="1" t="str">
        <v>2020-10-30</v>
      </c>
      <c r="C2777" s="1">
        <v>3.0043000000000002</v>
      </c>
      <c r="F2777" s="8">
        <f t="shared" si="129"/>
        <v>32963</v>
      </c>
      <c r="G2777" s="9">
        <f t="shared" si="130"/>
        <v>44134</v>
      </c>
      <c r="H2777" s="10">
        <f t="shared" si="131"/>
        <v>3.0043000000000002</v>
      </c>
    </row>
    <row r="2778" spans="1:8" x14ac:dyDescent="0.2">
      <c r="A2778" s="1">
        <v>16</v>
      </c>
      <c r="B2778" s="1" t="str">
        <v>2020-10-30</v>
      </c>
      <c r="C2778" s="1">
        <v>2.8201000000000001</v>
      </c>
      <c r="F2778" s="8">
        <f t="shared" si="129"/>
        <v>16</v>
      </c>
      <c r="G2778" s="9">
        <f t="shared" si="130"/>
        <v>44134</v>
      </c>
      <c r="H2778" s="10">
        <f t="shared" si="131"/>
        <v>2.8201000000000001</v>
      </c>
    </row>
    <row r="2779" spans="1:8" x14ac:dyDescent="0.2">
      <c r="A2779" s="1">
        <v>33003</v>
      </c>
      <c r="B2779" s="1" t="str">
        <v>2020-10-30</v>
      </c>
      <c r="C2779" s="1">
        <v>3.1787999999999998</v>
      </c>
      <c r="F2779" s="8">
        <f t="shared" si="129"/>
        <v>33003</v>
      </c>
      <c r="G2779" s="9">
        <f t="shared" si="130"/>
        <v>44134</v>
      </c>
      <c r="H2779" s="10">
        <f t="shared" si="131"/>
        <v>3.1787999999999998</v>
      </c>
    </row>
    <row r="2780" spans="1:8" x14ac:dyDescent="0.2">
      <c r="A2780" s="1">
        <v>101</v>
      </c>
      <c r="B2780" s="1" t="str">
        <v>2020-10-30</v>
      </c>
      <c r="C2780" s="1">
        <v>3.1375999999999999</v>
      </c>
      <c r="F2780" s="8">
        <f t="shared" si="129"/>
        <v>101</v>
      </c>
      <c r="G2780" s="9">
        <f t="shared" si="130"/>
        <v>44134</v>
      </c>
      <c r="H2780" s="10">
        <f t="shared" si="131"/>
        <v>3.1375999999999999</v>
      </c>
    </row>
    <row r="2781" spans="1:8" x14ac:dyDescent="0.2">
      <c r="A2781" s="1">
        <v>32783</v>
      </c>
      <c r="B2781" s="1" t="str">
        <v>2020-10-30</v>
      </c>
      <c r="C2781" s="1">
        <v>3.1273</v>
      </c>
      <c r="F2781" s="8">
        <f t="shared" si="129"/>
        <v>32783</v>
      </c>
      <c r="G2781" s="9">
        <f t="shared" si="130"/>
        <v>44134</v>
      </c>
      <c r="H2781" s="10">
        <f t="shared" si="131"/>
        <v>3.1273</v>
      </c>
    </row>
    <row r="2782" spans="1:8" x14ac:dyDescent="0.2">
      <c r="A2782" s="1">
        <v>68</v>
      </c>
      <c r="B2782" s="1" t="str">
        <v>2020-10-30</v>
      </c>
      <c r="C2782" s="1">
        <v>3.343</v>
      </c>
      <c r="F2782" s="8">
        <f t="shared" si="129"/>
        <v>68</v>
      </c>
      <c r="G2782" s="9">
        <f t="shared" si="130"/>
        <v>44134</v>
      </c>
      <c r="H2782" s="10">
        <f t="shared" si="131"/>
        <v>3.343</v>
      </c>
    </row>
    <row r="2783" spans="1:8" x14ac:dyDescent="0.2">
      <c r="A2783" s="1">
        <v>81</v>
      </c>
      <c r="B2783" s="1" t="str">
        <v>2020-10-30</v>
      </c>
      <c r="C2783" s="1">
        <v>2.6669999999999998</v>
      </c>
      <c r="F2783" s="8">
        <f t="shared" si="129"/>
        <v>81</v>
      </c>
      <c r="G2783" s="9">
        <f t="shared" si="130"/>
        <v>44134</v>
      </c>
      <c r="H2783" s="10">
        <f t="shared" si="131"/>
        <v>2.6669999999999998</v>
      </c>
    </row>
    <row r="2784" spans="1:8" x14ac:dyDescent="0.2">
      <c r="A2784" s="1">
        <v>30250</v>
      </c>
      <c r="B2784" s="1" t="str">
        <v>2020-10-30</v>
      </c>
      <c r="C2784" s="1">
        <v>3.4558</v>
      </c>
      <c r="F2784" s="8">
        <f t="shared" si="129"/>
        <v>30250</v>
      </c>
      <c r="G2784" s="9">
        <f t="shared" si="130"/>
        <v>44134</v>
      </c>
      <c r="H2784" s="10">
        <f t="shared" si="131"/>
        <v>3.4558</v>
      </c>
    </row>
    <row r="2785" spans="1:8" x14ac:dyDescent="0.2">
      <c r="A2785" s="1">
        <v>10</v>
      </c>
      <c r="B2785" s="1" t="str">
        <v>2020-10-30</v>
      </c>
      <c r="C2785" s="1">
        <v>3.2299000000000002</v>
      </c>
      <c r="F2785" s="8">
        <f t="shared" si="129"/>
        <v>10</v>
      </c>
      <c r="G2785" s="9">
        <f t="shared" si="130"/>
        <v>44134</v>
      </c>
      <c r="H2785" s="10">
        <f t="shared" si="131"/>
        <v>3.2299000000000002</v>
      </c>
    </row>
    <row r="2786" spans="1:8" x14ac:dyDescent="0.2">
      <c r="A2786" s="1">
        <v>133</v>
      </c>
      <c r="B2786" s="1" t="str">
        <v>2020-11-03</v>
      </c>
      <c r="C2786" s="1">
        <v>2.9838</v>
      </c>
      <c r="F2786" s="8">
        <f t="shared" si="129"/>
        <v>133</v>
      </c>
      <c r="G2786" s="9">
        <f t="shared" si="130"/>
        <v>44138</v>
      </c>
      <c r="H2786" s="10">
        <f t="shared" si="131"/>
        <v>2.9838</v>
      </c>
    </row>
    <row r="2787" spans="1:8" x14ac:dyDescent="0.2">
      <c r="A2787" s="1">
        <v>33130</v>
      </c>
      <c r="B2787" s="1" t="str">
        <v>2020-11-03</v>
      </c>
      <c r="C2787" s="1">
        <v>3.2606999999999999</v>
      </c>
      <c r="F2787" s="8">
        <f t="shared" si="129"/>
        <v>33130</v>
      </c>
      <c r="G2787" s="9">
        <f t="shared" si="130"/>
        <v>44138</v>
      </c>
      <c r="H2787" s="10">
        <f t="shared" si="131"/>
        <v>3.2606999999999999</v>
      </c>
    </row>
    <row r="2788" spans="1:8" x14ac:dyDescent="0.2">
      <c r="A2788" s="1">
        <v>33023</v>
      </c>
      <c r="B2788" s="1" t="str">
        <v>2020-11-03</v>
      </c>
      <c r="C2788" s="1">
        <v>3.4863</v>
      </c>
      <c r="F2788" s="8">
        <f t="shared" si="129"/>
        <v>33023</v>
      </c>
      <c r="G2788" s="9">
        <f t="shared" si="130"/>
        <v>44138</v>
      </c>
      <c r="H2788" s="10">
        <f t="shared" si="131"/>
        <v>3.4863</v>
      </c>
    </row>
    <row r="2789" spans="1:8" x14ac:dyDescent="0.2">
      <c r="A2789" s="1">
        <v>34</v>
      </c>
      <c r="B2789" s="1" t="str">
        <v>2020-11-03</v>
      </c>
      <c r="C2789" s="1">
        <v>2.9634</v>
      </c>
      <c r="F2789" s="8">
        <f t="shared" si="129"/>
        <v>34</v>
      </c>
      <c r="G2789" s="9">
        <f t="shared" si="130"/>
        <v>44138</v>
      </c>
      <c r="H2789" s="10">
        <f t="shared" si="131"/>
        <v>2.9634</v>
      </c>
    </row>
    <row r="2790" spans="1:8" x14ac:dyDescent="0.2">
      <c r="A2790" s="1">
        <v>32421</v>
      </c>
      <c r="B2790" s="1" t="str">
        <v>2020-11-03</v>
      </c>
      <c r="C2790" s="1">
        <v>3.1408</v>
      </c>
      <c r="F2790" s="8">
        <f t="shared" si="129"/>
        <v>32421</v>
      </c>
      <c r="G2790" s="9">
        <f t="shared" si="130"/>
        <v>44138</v>
      </c>
      <c r="H2790" s="10">
        <f t="shared" si="131"/>
        <v>3.1408</v>
      </c>
    </row>
    <row r="2791" spans="1:8" x14ac:dyDescent="0.2">
      <c r="A2791" s="1">
        <v>178</v>
      </c>
      <c r="B2791" s="1" t="str">
        <v>2020-11-03</v>
      </c>
      <c r="C2791" s="1">
        <v>3.1564000000000001</v>
      </c>
      <c r="F2791" s="8">
        <f t="shared" si="129"/>
        <v>178</v>
      </c>
      <c r="G2791" s="9">
        <f t="shared" si="130"/>
        <v>44138</v>
      </c>
      <c r="H2791" s="10">
        <f t="shared" si="131"/>
        <v>3.1564000000000001</v>
      </c>
    </row>
    <row r="2792" spans="1:8" x14ac:dyDescent="0.2">
      <c r="A2792" s="1">
        <v>187</v>
      </c>
      <c r="B2792" s="1" t="str">
        <v>2020-11-03</v>
      </c>
      <c r="C2792" s="1">
        <v>3.3736999999999999</v>
      </c>
      <c r="F2792" s="8">
        <f t="shared" si="129"/>
        <v>187</v>
      </c>
      <c r="G2792" s="9">
        <f t="shared" si="130"/>
        <v>44138</v>
      </c>
      <c r="H2792" s="10">
        <f t="shared" si="131"/>
        <v>3.3736999999999999</v>
      </c>
    </row>
    <row r="2793" spans="1:8" x14ac:dyDescent="0.2">
      <c r="A2793" s="1">
        <v>147</v>
      </c>
      <c r="B2793" s="1" t="str">
        <v>2020-11-03</v>
      </c>
      <c r="C2793" s="1">
        <v>2.7988</v>
      </c>
      <c r="F2793" s="8">
        <f t="shared" si="129"/>
        <v>147</v>
      </c>
      <c r="G2793" s="9">
        <f t="shared" si="130"/>
        <v>44138</v>
      </c>
      <c r="H2793" s="10">
        <f t="shared" si="131"/>
        <v>2.7988</v>
      </c>
    </row>
    <row r="2794" spans="1:8" x14ac:dyDescent="0.2">
      <c r="A2794" s="1">
        <v>115</v>
      </c>
      <c r="B2794" s="1" t="str">
        <v>2020-11-03</v>
      </c>
      <c r="C2794" s="1">
        <v>2.9634</v>
      </c>
      <c r="F2794" s="8">
        <f t="shared" si="129"/>
        <v>115</v>
      </c>
      <c r="G2794" s="9">
        <f t="shared" si="130"/>
        <v>44138</v>
      </c>
      <c r="H2794" s="10">
        <f t="shared" si="131"/>
        <v>2.9634</v>
      </c>
    </row>
    <row r="2795" spans="1:8" x14ac:dyDescent="0.2">
      <c r="A2795" s="1">
        <v>32923</v>
      </c>
      <c r="B2795" s="1" t="str">
        <v>2020-11-04</v>
      </c>
      <c r="C2795" s="1">
        <v>3.0457000000000001</v>
      </c>
      <c r="F2795" s="8">
        <f t="shared" si="129"/>
        <v>32923</v>
      </c>
      <c r="G2795" s="9">
        <f t="shared" si="130"/>
        <v>44139</v>
      </c>
      <c r="H2795" s="10">
        <f t="shared" si="131"/>
        <v>3.0457000000000001</v>
      </c>
    </row>
    <row r="2796" spans="1:8" x14ac:dyDescent="0.2">
      <c r="A2796" s="1">
        <v>77</v>
      </c>
      <c r="B2796" s="1" t="str">
        <v>2020-11-04</v>
      </c>
      <c r="C2796" s="1">
        <v>3.2193000000000001</v>
      </c>
      <c r="F2796" s="8">
        <f t="shared" si="129"/>
        <v>77</v>
      </c>
      <c r="G2796" s="9">
        <f t="shared" si="130"/>
        <v>44139</v>
      </c>
      <c r="H2796" s="10">
        <f t="shared" si="131"/>
        <v>3.2193000000000001</v>
      </c>
    </row>
    <row r="2797" spans="1:8" x14ac:dyDescent="0.2">
      <c r="A2797" s="1">
        <v>146</v>
      </c>
      <c r="B2797" s="1" t="str">
        <v>2020-11-05</v>
      </c>
      <c r="C2797" s="1">
        <v>2.9940000000000002</v>
      </c>
      <c r="F2797" s="8">
        <f t="shared" si="129"/>
        <v>146</v>
      </c>
      <c r="G2797" s="9">
        <f t="shared" si="130"/>
        <v>44140</v>
      </c>
      <c r="H2797" s="10">
        <f t="shared" si="131"/>
        <v>2.9940000000000002</v>
      </c>
    </row>
    <row r="2798" spans="1:8" x14ac:dyDescent="0.2">
      <c r="A2798" s="1">
        <v>32582</v>
      </c>
      <c r="B2798" s="1" t="str">
        <v>2020-11-05</v>
      </c>
      <c r="C2798" s="1">
        <v>3.1274000000000002</v>
      </c>
      <c r="F2798" s="8">
        <f t="shared" si="129"/>
        <v>32582</v>
      </c>
      <c r="G2798" s="9">
        <f t="shared" si="130"/>
        <v>44140</v>
      </c>
      <c r="H2798" s="10">
        <f t="shared" si="131"/>
        <v>3.1274000000000002</v>
      </c>
    </row>
    <row r="2799" spans="1:8" x14ac:dyDescent="0.2">
      <c r="A2799" s="1">
        <v>32603</v>
      </c>
      <c r="B2799" s="1" t="str">
        <v>2020-11-05</v>
      </c>
      <c r="C2799" s="1">
        <v>3.2092999999999998</v>
      </c>
      <c r="F2799" s="8">
        <f t="shared" si="129"/>
        <v>32603</v>
      </c>
      <c r="G2799" s="9">
        <f t="shared" si="130"/>
        <v>44140</v>
      </c>
      <c r="H2799" s="10">
        <f t="shared" si="131"/>
        <v>3.2092999999999998</v>
      </c>
    </row>
    <row r="2800" spans="1:8" x14ac:dyDescent="0.2">
      <c r="A2800" s="1">
        <v>32964</v>
      </c>
      <c r="B2800" s="1" t="str">
        <v>2020-11-05</v>
      </c>
      <c r="C2800" s="1">
        <v>3.0556000000000001</v>
      </c>
      <c r="F2800" s="8">
        <f t="shared" si="129"/>
        <v>32964</v>
      </c>
      <c r="G2800" s="9">
        <f t="shared" si="130"/>
        <v>44140</v>
      </c>
      <c r="H2800" s="10">
        <f t="shared" si="131"/>
        <v>3.0556000000000001</v>
      </c>
    </row>
    <row r="2801" spans="1:8" x14ac:dyDescent="0.2">
      <c r="A2801" s="1">
        <v>250</v>
      </c>
      <c r="B2801" s="1" t="str">
        <v>2020-11-05</v>
      </c>
      <c r="C2801" s="1">
        <v>3.3839000000000001</v>
      </c>
      <c r="F2801" s="8">
        <f t="shared" si="129"/>
        <v>250</v>
      </c>
      <c r="G2801" s="9">
        <f t="shared" si="130"/>
        <v>44140</v>
      </c>
      <c r="H2801" s="10">
        <f t="shared" si="131"/>
        <v>3.3839000000000001</v>
      </c>
    </row>
    <row r="2802" spans="1:8" x14ac:dyDescent="0.2">
      <c r="A2802" s="1">
        <v>176</v>
      </c>
      <c r="B2802" s="1" t="str">
        <v>2020-11-06</v>
      </c>
      <c r="C2802" s="1">
        <v>2.8203999999999998</v>
      </c>
      <c r="F2802" s="8">
        <f t="shared" si="129"/>
        <v>176</v>
      </c>
      <c r="G2802" s="9">
        <f t="shared" si="130"/>
        <v>44141</v>
      </c>
      <c r="H2802" s="10">
        <f t="shared" si="131"/>
        <v>2.8203999999999998</v>
      </c>
    </row>
    <row r="2803" spans="1:8" x14ac:dyDescent="0.2">
      <c r="A2803" s="1">
        <v>24</v>
      </c>
      <c r="B2803" s="1" t="str">
        <v>2020-11-06</v>
      </c>
      <c r="C2803" s="1">
        <v>3.0964</v>
      </c>
      <c r="F2803" s="8">
        <f t="shared" si="129"/>
        <v>24</v>
      </c>
      <c r="G2803" s="9">
        <f t="shared" si="130"/>
        <v>44141</v>
      </c>
      <c r="H2803" s="10">
        <f t="shared" si="131"/>
        <v>3.0964</v>
      </c>
    </row>
    <row r="2804" spans="1:8" x14ac:dyDescent="0.2">
      <c r="A2804" s="1">
        <v>33103</v>
      </c>
      <c r="B2804" s="1" t="str">
        <v>2020-11-06</v>
      </c>
      <c r="C2804" s="1">
        <v>3.1795</v>
      </c>
      <c r="F2804" s="8">
        <f t="shared" si="129"/>
        <v>33103</v>
      </c>
      <c r="G2804" s="9">
        <f t="shared" si="130"/>
        <v>44141</v>
      </c>
      <c r="H2804" s="10">
        <f t="shared" si="131"/>
        <v>3.1795</v>
      </c>
    </row>
    <row r="2805" spans="1:8" x14ac:dyDescent="0.2">
      <c r="A2805" s="1">
        <v>33183</v>
      </c>
      <c r="B2805" s="1" t="str">
        <v>2020-11-06</v>
      </c>
      <c r="C2805" s="1">
        <v>3.2812999999999999</v>
      </c>
      <c r="F2805" s="8">
        <f t="shared" si="129"/>
        <v>33183</v>
      </c>
      <c r="G2805" s="9">
        <f t="shared" si="130"/>
        <v>44141</v>
      </c>
      <c r="H2805" s="10">
        <f t="shared" si="131"/>
        <v>3.2812999999999999</v>
      </c>
    </row>
    <row r="2806" spans="1:8" x14ac:dyDescent="0.2">
      <c r="A2806" s="1">
        <v>161</v>
      </c>
      <c r="B2806" s="1" t="str">
        <v>2020-11-06</v>
      </c>
      <c r="C2806" s="1">
        <v>3.2812999999999999</v>
      </c>
      <c r="F2806" s="8">
        <f t="shared" si="129"/>
        <v>161</v>
      </c>
      <c r="G2806" s="9">
        <f t="shared" si="130"/>
        <v>44141</v>
      </c>
      <c r="H2806" s="10">
        <f t="shared" si="131"/>
        <v>3.2812999999999999</v>
      </c>
    </row>
    <row r="2807" spans="1:8" x14ac:dyDescent="0.2">
      <c r="A2807" s="1">
        <v>33125</v>
      </c>
      <c r="B2807" s="1" t="str">
        <v>2020-11-06</v>
      </c>
      <c r="C2807" s="1">
        <v>3.3429000000000002</v>
      </c>
      <c r="F2807" s="8">
        <f t="shared" si="129"/>
        <v>33125</v>
      </c>
      <c r="G2807" s="9">
        <f t="shared" si="130"/>
        <v>44141</v>
      </c>
      <c r="H2807" s="10">
        <f t="shared" si="131"/>
        <v>3.3429000000000002</v>
      </c>
    </row>
    <row r="2808" spans="1:8" x14ac:dyDescent="0.2">
      <c r="A2808" s="1">
        <v>13250</v>
      </c>
      <c r="B2808" s="1" t="str">
        <v>2020-11-06</v>
      </c>
      <c r="C2808" s="1">
        <v>2.8193000000000001</v>
      </c>
      <c r="F2808" s="8">
        <f t="shared" si="129"/>
        <v>13250</v>
      </c>
      <c r="G2808" s="9">
        <f t="shared" si="130"/>
        <v>44141</v>
      </c>
      <c r="H2808" s="10">
        <f t="shared" si="131"/>
        <v>2.8193000000000001</v>
      </c>
    </row>
    <row r="2809" spans="1:8" x14ac:dyDescent="0.2">
      <c r="A2809" s="1">
        <v>147</v>
      </c>
      <c r="B2809" s="1" t="str">
        <v>2020-11-06</v>
      </c>
      <c r="C2809" s="1">
        <v>3.1374</v>
      </c>
      <c r="F2809" s="8">
        <f t="shared" si="129"/>
        <v>147</v>
      </c>
      <c r="G2809" s="9">
        <f t="shared" si="130"/>
        <v>44141</v>
      </c>
      <c r="H2809" s="10">
        <f t="shared" si="131"/>
        <v>3.1374</v>
      </c>
    </row>
    <row r="2810" spans="1:8" x14ac:dyDescent="0.2">
      <c r="A2810" s="1">
        <v>99</v>
      </c>
      <c r="B2810" s="1" t="str">
        <v>2020-11-06</v>
      </c>
      <c r="C2810" s="1">
        <v>2.8092000000000001</v>
      </c>
      <c r="F2810" s="8">
        <f t="shared" si="129"/>
        <v>99</v>
      </c>
      <c r="G2810" s="9">
        <f t="shared" si="130"/>
        <v>44141</v>
      </c>
      <c r="H2810" s="10">
        <f t="shared" si="131"/>
        <v>2.8092000000000001</v>
      </c>
    </row>
    <row r="2811" spans="1:8" x14ac:dyDescent="0.2">
      <c r="A2811" s="1">
        <v>32180</v>
      </c>
      <c r="B2811" s="1" t="str">
        <v>2020-11-06</v>
      </c>
      <c r="C2811" s="1">
        <v>3.26</v>
      </c>
      <c r="F2811" s="8">
        <f t="shared" si="129"/>
        <v>32180</v>
      </c>
      <c r="G2811" s="9">
        <f t="shared" si="130"/>
        <v>44141</v>
      </c>
      <c r="H2811" s="10">
        <f t="shared" si="131"/>
        <v>3.26</v>
      </c>
    </row>
    <row r="2812" spans="1:8" x14ac:dyDescent="0.2">
      <c r="A2812" s="1">
        <v>32863</v>
      </c>
      <c r="B2812" s="1" t="str">
        <v>2020-11-06</v>
      </c>
      <c r="C2812" s="1">
        <v>3.4765000000000001</v>
      </c>
      <c r="F2812" s="8">
        <f t="shared" si="129"/>
        <v>32863</v>
      </c>
      <c r="G2812" s="9">
        <f t="shared" si="130"/>
        <v>44141</v>
      </c>
      <c r="H2812" s="10">
        <f t="shared" si="131"/>
        <v>3.4765000000000001</v>
      </c>
    </row>
    <row r="2813" spans="1:8" x14ac:dyDescent="0.2">
      <c r="A2813" s="1">
        <v>32783</v>
      </c>
      <c r="B2813" s="1" t="str">
        <v>2020-11-06</v>
      </c>
      <c r="C2813" s="1">
        <v>3.2709999999999999</v>
      </c>
      <c r="F2813" s="8">
        <f t="shared" si="129"/>
        <v>32783</v>
      </c>
      <c r="G2813" s="9">
        <f t="shared" si="130"/>
        <v>44141</v>
      </c>
      <c r="H2813" s="10">
        <f t="shared" si="131"/>
        <v>3.2709999999999999</v>
      </c>
    </row>
    <row r="2814" spans="1:8" x14ac:dyDescent="0.2">
      <c r="A2814" s="1">
        <v>67</v>
      </c>
      <c r="B2814" s="1" t="str">
        <v>2020-11-06</v>
      </c>
      <c r="C2814" s="1">
        <v>3.4148000000000001</v>
      </c>
      <c r="F2814" s="8">
        <f t="shared" si="129"/>
        <v>67</v>
      </c>
      <c r="G2814" s="9">
        <f t="shared" si="130"/>
        <v>44141</v>
      </c>
      <c r="H2814" s="10">
        <f t="shared" si="131"/>
        <v>3.4148000000000001</v>
      </c>
    </row>
    <row r="2815" spans="1:8" x14ac:dyDescent="0.2">
      <c r="A2815" s="1">
        <v>32082</v>
      </c>
      <c r="B2815" s="1" t="str">
        <v>2020-11-06</v>
      </c>
      <c r="C2815" s="1">
        <v>3.4971000000000001</v>
      </c>
      <c r="F2815" s="8">
        <f t="shared" si="129"/>
        <v>32082</v>
      </c>
      <c r="G2815" s="9">
        <f t="shared" si="130"/>
        <v>44141</v>
      </c>
      <c r="H2815" s="10">
        <f t="shared" si="131"/>
        <v>3.4971000000000001</v>
      </c>
    </row>
    <row r="2816" spans="1:8" x14ac:dyDescent="0.2">
      <c r="A2816" s="1">
        <v>32803</v>
      </c>
      <c r="B2816" s="1" t="str">
        <v>2020-11-06</v>
      </c>
      <c r="C2816" s="1">
        <v>3.456</v>
      </c>
      <c r="F2816" s="8">
        <f t="shared" si="129"/>
        <v>32803</v>
      </c>
      <c r="G2816" s="9">
        <f t="shared" si="130"/>
        <v>44141</v>
      </c>
      <c r="H2816" s="10">
        <f t="shared" si="131"/>
        <v>3.456</v>
      </c>
    </row>
    <row r="2817" spans="1:8" x14ac:dyDescent="0.2">
      <c r="A2817" s="1">
        <v>150</v>
      </c>
      <c r="B2817" s="1" t="str">
        <v>2020-11-06</v>
      </c>
      <c r="C2817" s="1">
        <v>3.1072000000000002</v>
      </c>
      <c r="F2817" s="8">
        <f t="shared" si="129"/>
        <v>150</v>
      </c>
      <c r="G2817" s="9">
        <f t="shared" si="130"/>
        <v>44141</v>
      </c>
      <c r="H2817" s="10">
        <f t="shared" si="131"/>
        <v>3.1072000000000002</v>
      </c>
    </row>
    <row r="2818" spans="1:8" x14ac:dyDescent="0.2">
      <c r="A2818" s="1">
        <v>136</v>
      </c>
      <c r="B2818" s="1" t="str">
        <v>2020-11-06</v>
      </c>
      <c r="C2818" s="1">
        <v>3.4765999999999999</v>
      </c>
      <c r="F2818" s="8">
        <f t="shared" si="129"/>
        <v>136</v>
      </c>
      <c r="G2818" s="9">
        <f t="shared" si="130"/>
        <v>44141</v>
      </c>
      <c r="H2818" s="10">
        <f t="shared" si="131"/>
        <v>3.4765999999999999</v>
      </c>
    </row>
    <row r="2819" spans="1:8" x14ac:dyDescent="0.2">
      <c r="A2819" s="1">
        <v>1</v>
      </c>
      <c r="B2819" s="1" t="str">
        <v>2020-11-06</v>
      </c>
      <c r="C2819" s="1">
        <v>3.2915000000000001</v>
      </c>
      <c r="F2819" s="8">
        <f t="shared" si="129"/>
        <v>1</v>
      </c>
      <c r="G2819" s="9">
        <f t="shared" si="130"/>
        <v>44141</v>
      </c>
      <c r="H2819" s="10">
        <f t="shared" si="131"/>
        <v>3.2915000000000001</v>
      </c>
    </row>
    <row r="2820" spans="1:8" x14ac:dyDescent="0.2">
      <c r="A2820" s="1">
        <v>37</v>
      </c>
      <c r="B2820" s="1" t="str">
        <v>2020-11-06</v>
      </c>
      <c r="C2820" s="1">
        <v>3.4971000000000001</v>
      </c>
      <c r="F2820" s="8">
        <f t="shared" si="129"/>
        <v>37</v>
      </c>
      <c r="G2820" s="9">
        <f t="shared" si="130"/>
        <v>44141</v>
      </c>
      <c r="H2820" s="10">
        <f t="shared" si="131"/>
        <v>3.4971000000000001</v>
      </c>
    </row>
    <row r="2821" spans="1:8" x14ac:dyDescent="0.2">
      <c r="A2821" s="1">
        <v>31</v>
      </c>
      <c r="B2821" s="1" t="str">
        <v>2020-11-06</v>
      </c>
      <c r="C2821" s="1">
        <v>3.4251</v>
      </c>
      <c r="F2821" s="8">
        <f t="shared" si="129"/>
        <v>31</v>
      </c>
      <c r="G2821" s="9">
        <f t="shared" si="130"/>
        <v>44141</v>
      </c>
      <c r="H2821" s="10">
        <f t="shared" si="131"/>
        <v>3.4251</v>
      </c>
    </row>
    <row r="2822" spans="1:8" x14ac:dyDescent="0.2">
      <c r="A2822" s="1">
        <v>157</v>
      </c>
      <c r="B2822" s="1" t="str">
        <v>2020-11-06</v>
      </c>
      <c r="C2822" s="1">
        <v>3.3942999999999999</v>
      </c>
      <c r="F2822" s="8">
        <f t="shared" si="129"/>
        <v>157</v>
      </c>
      <c r="G2822" s="9">
        <f t="shared" si="130"/>
        <v>44141</v>
      </c>
      <c r="H2822" s="10">
        <f t="shared" si="131"/>
        <v>3.3942999999999999</v>
      </c>
    </row>
    <row r="2823" spans="1:8" x14ac:dyDescent="0.2">
      <c r="A2823" s="1">
        <v>181</v>
      </c>
      <c r="B2823" s="1" t="str">
        <v>2020-11-06</v>
      </c>
      <c r="C2823" s="1">
        <v>3.3327</v>
      </c>
      <c r="F2823" s="8">
        <f t="shared" si="129"/>
        <v>181</v>
      </c>
      <c r="G2823" s="9">
        <f t="shared" si="130"/>
        <v>44141</v>
      </c>
      <c r="H2823" s="10">
        <f t="shared" si="131"/>
        <v>3.3327</v>
      </c>
    </row>
    <row r="2824" spans="1:8" x14ac:dyDescent="0.2">
      <c r="A2824" s="1">
        <v>55</v>
      </c>
      <c r="B2824" s="1" t="str">
        <v>2020-11-06</v>
      </c>
      <c r="C2824" s="1">
        <v>3.3532000000000002</v>
      </c>
      <c r="F2824" s="8">
        <f t="shared" si="129"/>
        <v>55</v>
      </c>
      <c r="G2824" s="9">
        <f t="shared" si="130"/>
        <v>44141</v>
      </c>
      <c r="H2824" s="10">
        <f t="shared" si="131"/>
        <v>3.3532000000000002</v>
      </c>
    </row>
    <row r="2825" spans="1:8" x14ac:dyDescent="0.2">
      <c r="A2825" s="1">
        <v>32560</v>
      </c>
      <c r="B2825" s="1" t="str">
        <v>2020-11-06</v>
      </c>
      <c r="C2825" s="1">
        <v>3.0143</v>
      </c>
      <c r="F2825" s="8">
        <f t="shared" ref="F2825:F2888" si="132">A2825</f>
        <v>32560</v>
      </c>
      <c r="G2825" s="9">
        <f t="shared" ref="G2825:G2888" si="133">DATE(LEFT(B2825,4),MID(B2825,6,2),RIGHT(B2825,2))</f>
        <v>44141</v>
      </c>
      <c r="H2825" s="10">
        <f t="shared" ref="H2825:H2888" si="134">C2825</f>
        <v>3.0143</v>
      </c>
    </row>
    <row r="2826" spans="1:8" x14ac:dyDescent="0.2">
      <c r="A2826" s="1">
        <v>30350</v>
      </c>
      <c r="B2826" s="1" t="str">
        <v>2020-11-06</v>
      </c>
      <c r="C2826" s="1">
        <v>3.1375000000000002</v>
      </c>
      <c r="F2826" s="8">
        <f t="shared" si="132"/>
        <v>30350</v>
      </c>
      <c r="G2826" s="9">
        <f t="shared" si="133"/>
        <v>44141</v>
      </c>
      <c r="H2826" s="10">
        <f t="shared" si="134"/>
        <v>3.1375000000000002</v>
      </c>
    </row>
    <row r="2827" spans="1:8" x14ac:dyDescent="0.2">
      <c r="A2827" s="1">
        <v>32963</v>
      </c>
      <c r="B2827" s="1" t="str">
        <v>2020-11-06</v>
      </c>
      <c r="C2827" s="1">
        <v>3.2298</v>
      </c>
      <c r="F2827" s="8">
        <f t="shared" si="132"/>
        <v>32963</v>
      </c>
      <c r="G2827" s="9">
        <f t="shared" si="133"/>
        <v>44141</v>
      </c>
      <c r="H2827" s="10">
        <f t="shared" si="134"/>
        <v>3.2298</v>
      </c>
    </row>
    <row r="2828" spans="1:8" x14ac:dyDescent="0.2">
      <c r="A2828" s="1">
        <v>32400</v>
      </c>
      <c r="B2828" s="1" t="str">
        <v>2020-11-06</v>
      </c>
      <c r="C2828" s="1">
        <v>3.2504</v>
      </c>
      <c r="F2828" s="8">
        <f t="shared" si="132"/>
        <v>32400</v>
      </c>
      <c r="G2828" s="9">
        <f t="shared" si="133"/>
        <v>44141</v>
      </c>
      <c r="H2828" s="10">
        <f t="shared" si="134"/>
        <v>3.2504</v>
      </c>
    </row>
    <row r="2829" spans="1:8" x14ac:dyDescent="0.2">
      <c r="A2829" s="1">
        <v>16</v>
      </c>
      <c r="B2829" s="1" t="str">
        <v>2020-11-06</v>
      </c>
      <c r="C2829" s="1">
        <v>3.4146999999999998</v>
      </c>
      <c r="F2829" s="8">
        <f t="shared" si="132"/>
        <v>16</v>
      </c>
      <c r="G2829" s="9">
        <f t="shared" si="133"/>
        <v>44141</v>
      </c>
      <c r="H2829" s="10">
        <f t="shared" si="134"/>
        <v>3.4146999999999998</v>
      </c>
    </row>
    <row r="2830" spans="1:8" x14ac:dyDescent="0.2">
      <c r="A2830" s="1">
        <v>139</v>
      </c>
      <c r="B2830" s="1" t="str">
        <v>2020-11-06</v>
      </c>
      <c r="C2830" s="1">
        <v>3.5383</v>
      </c>
      <c r="F2830" s="8">
        <f t="shared" si="132"/>
        <v>139</v>
      </c>
      <c r="G2830" s="9">
        <f t="shared" si="133"/>
        <v>44141</v>
      </c>
      <c r="H2830" s="10">
        <f t="shared" si="134"/>
        <v>3.5383</v>
      </c>
    </row>
    <row r="2831" spans="1:8" x14ac:dyDescent="0.2">
      <c r="A2831" s="1">
        <v>68</v>
      </c>
      <c r="B2831" s="1" t="str">
        <v>2020-11-06</v>
      </c>
      <c r="C2831" s="1">
        <v>3.3738000000000001</v>
      </c>
      <c r="F2831" s="8">
        <f t="shared" si="132"/>
        <v>68</v>
      </c>
      <c r="G2831" s="9">
        <f t="shared" si="133"/>
        <v>44141</v>
      </c>
      <c r="H2831" s="10">
        <f t="shared" si="134"/>
        <v>3.3738000000000001</v>
      </c>
    </row>
    <row r="2832" spans="1:8" x14ac:dyDescent="0.2">
      <c r="A2832" s="1">
        <v>32081</v>
      </c>
      <c r="B2832" s="1" t="str">
        <v>2020-11-06</v>
      </c>
      <c r="C2832" s="1">
        <v>3.5897999999999999</v>
      </c>
      <c r="F2832" s="8">
        <f t="shared" si="132"/>
        <v>32081</v>
      </c>
      <c r="G2832" s="9">
        <f t="shared" si="133"/>
        <v>44141</v>
      </c>
      <c r="H2832" s="10">
        <f t="shared" si="134"/>
        <v>3.5897999999999999</v>
      </c>
    </row>
    <row r="2833" spans="1:8" x14ac:dyDescent="0.2">
      <c r="A2833" s="1">
        <v>33123</v>
      </c>
      <c r="B2833" s="1" t="str">
        <v>2020-11-06</v>
      </c>
      <c r="C2833" s="1">
        <v>3.4457</v>
      </c>
      <c r="F2833" s="8">
        <f t="shared" si="132"/>
        <v>33123</v>
      </c>
      <c r="G2833" s="9">
        <f t="shared" si="133"/>
        <v>44141</v>
      </c>
      <c r="H2833" s="10">
        <f t="shared" si="134"/>
        <v>3.4457</v>
      </c>
    </row>
    <row r="2834" spans="1:8" x14ac:dyDescent="0.2">
      <c r="A2834" s="1">
        <v>187</v>
      </c>
      <c r="B2834" s="1" t="str">
        <v>2020-11-06</v>
      </c>
      <c r="C2834" s="1">
        <v>3.6720999999999999</v>
      </c>
      <c r="F2834" s="8">
        <f t="shared" si="132"/>
        <v>187</v>
      </c>
      <c r="G2834" s="9">
        <f t="shared" si="133"/>
        <v>44141</v>
      </c>
      <c r="H2834" s="10">
        <f t="shared" si="134"/>
        <v>3.6720999999999999</v>
      </c>
    </row>
    <row r="2835" spans="1:8" x14ac:dyDescent="0.2">
      <c r="A2835" s="1">
        <v>30250</v>
      </c>
      <c r="B2835" s="1" t="str">
        <v>2020-11-06</v>
      </c>
      <c r="C2835" s="1">
        <v>3.456</v>
      </c>
      <c r="F2835" s="8">
        <f t="shared" si="132"/>
        <v>30250</v>
      </c>
      <c r="G2835" s="9">
        <f t="shared" si="133"/>
        <v>44141</v>
      </c>
      <c r="H2835" s="10">
        <f t="shared" si="134"/>
        <v>3.456</v>
      </c>
    </row>
    <row r="2836" spans="1:8" x14ac:dyDescent="0.2">
      <c r="A2836" s="1">
        <v>32040</v>
      </c>
      <c r="B2836" s="1" t="str">
        <v>2020-11-06</v>
      </c>
      <c r="C2836" s="1">
        <v>3.4354</v>
      </c>
      <c r="F2836" s="8">
        <f t="shared" si="132"/>
        <v>32040</v>
      </c>
      <c r="G2836" s="9">
        <f t="shared" si="133"/>
        <v>44141</v>
      </c>
      <c r="H2836" s="10">
        <f t="shared" si="134"/>
        <v>3.4354</v>
      </c>
    </row>
    <row r="2837" spans="1:8" x14ac:dyDescent="0.2">
      <c r="A2837" s="1">
        <v>101</v>
      </c>
      <c r="B2837" s="1" t="str">
        <v>2020-11-06</v>
      </c>
      <c r="C2837" s="1">
        <v>3.3635000000000002</v>
      </c>
      <c r="F2837" s="8">
        <f t="shared" si="132"/>
        <v>101</v>
      </c>
      <c r="G2837" s="9">
        <f t="shared" si="133"/>
        <v>44141</v>
      </c>
      <c r="H2837" s="10">
        <f t="shared" si="134"/>
        <v>3.3635000000000002</v>
      </c>
    </row>
    <row r="2838" spans="1:8" x14ac:dyDescent="0.2">
      <c r="A2838" s="1">
        <v>81</v>
      </c>
      <c r="B2838" s="1" t="str">
        <v>2020-11-06</v>
      </c>
      <c r="C2838" s="1">
        <v>3.0348000000000002</v>
      </c>
      <c r="F2838" s="8">
        <f t="shared" si="132"/>
        <v>81</v>
      </c>
      <c r="G2838" s="9">
        <f t="shared" si="133"/>
        <v>44141</v>
      </c>
      <c r="H2838" s="10">
        <f t="shared" si="134"/>
        <v>3.0348000000000002</v>
      </c>
    </row>
    <row r="2839" spans="1:8" x14ac:dyDescent="0.2">
      <c r="A2839" s="1">
        <v>32724</v>
      </c>
      <c r="B2839" s="1" t="str">
        <v>2020-11-06</v>
      </c>
      <c r="C2839" s="1">
        <v>3.2709999999999999</v>
      </c>
      <c r="F2839" s="8">
        <f t="shared" si="132"/>
        <v>32724</v>
      </c>
      <c r="G2839" s="9">
        <f t="shared" si="133"/>
        <v>44141</v>
      </c>
      <c r="H2839" s="10">
        <f t="shared" si="134"/>
        <v>3.2709999999999999</v>
      </c>
    </row>
    <row r="2840" spans="1:8" x14ac:dyDescent="0.2">
      <c r="A2840" s="1">
        <v>49</v>
      </c>
      <c r="B2840" s="1" t="str">
        <v>2020-11-06</v>
      </c>
      <c r="C2840" s="1">
        <v>3.2812000000000001</v>
      </c>
      <c r="F2840" s="8">
        <f t="shared" si="132"/>
        <v>49</v>
      </c>
      <c r="G2840" s="9">
        <f t="shared" si="133"/>
        <v>44141</v>
      </c>
      <c r="H2840" s="10">
        <f t="shared" si="134"/>
        <v>3.2812000000000001</v>
      </c>
    </row>
    <row r="2841" spans="1:8" x14ac:dyDescent="0.2">
      <c r="A2841" s="1">
        <v>10</v>
      </c>
      <c r="B2841" s="1" t="str">
        <v>2020-11-09</v>
      </c>
      <c r="C2841" s="1">
        <v>3.4148999999999998</v>
      </c>
      <c r="F2841" s="8">
        <f t="shared" si="132"/>
        <v>10</v>
      </c>
      <c r="G2841" s="9">
        <f t="shared" si="133"/>
        <v>44144</v>
      </c>
      <c r="H2841" s="10">
        <f t="shared" si="134"/>
        <v>3.4148999999999998</v>
      </c>
    </row>
    <row r="2842" spans="1:8" x14ac:dyDescent="0.2">
      <c r="A2842" s="1">
        <v>33224</v>
      </c>
      <c r="B2842" s="1" t="str">
        <v>2020-11-09</v>
      </c>
      <c r="C2842" s="1">
        <v>3.5897999999999999</v>
      </c>
      <c r="F2842" s="8">
        <f t="shared" si="132"/>
        <v>33224</v>
      </c>
      <c r="G2842" s="9">
        <f t="shared" si="133"/>
        <v>44144</v>
      </c>
      <c r="H2842" s="10">
        <f t="shared" si="134"/>
        <v>3.5897999999999999</v>
      </c>
    </row>
    <row r="2843" spans="1:8" x14ac:dyDescent="0.2">
      <c r="A2843" s="1">
        <v>24250</v>
      </c>
      <c r="B2843" s="1" t="str">
        <v>2020-11-09</v>
      </c>
      <c r="C2843" s="1">
        <v>3.2915999999999999</v>
      </c>
      <c r="F2843" s="8">
        <f t="shared" si="132"/>
        <v>24250</v>
      </c>
      <c r="G2843" s="9">
        <f t="shared" si="133"/>
        <v>44144</v>
      </c>
      <c r="H2843" s="10">
        <f t="shared" si="134"/>
        <v>3.2915999999999999</v>
      </c>
    </row>
    <row r="2844" spans="1:8" x14ac:dyDescent="0.2">
      <c r="A2844" s="1">
        <v>33023</v>
      </c>
      <c r="B2844" s="1" t="str">
        <v>2020-11-09</v>
      </c>
      <c r="C2844" s="1">
        <v>3.3429000000000002</v>
      </c>
      <c r="F2844" s="8">
        <f t="shared" si="132"/>
        <v>33023</v>
      </c>
      <c r="G2844" s="9">
        <f t="shared" si="133"/>
        <v>44144</v>
      </c>
      <c r="H2844" s="10">
        <f t="shared" si="134"/>
        <v>3.3429000000000002</v>
      </c>
    </row>
    <row r="2845" spans="1:8" x14ac:dyDescent="0.2">
      <c r="A2845" s="1">
        <v>34</v>
      </c>
      <c r="B2845" s="1" t="str">
        <v>2020-11-09</v>
      </c>
      <c r="C2845" s="1">
        <v>3.3429000000000002</v>
      </c>
      <c r="F2845" s="8">
        <f t="shared" si="132"/>
        <v>34</v>
      </c>
      <c r="G2845" s="9">
        <f t="shared" si="133"/>
        <v>44144</v>
      </c>
      <c r="H2845" s="10">
        <f t="shared" si="134"/>
        <v>3.3429000000000002</v>
      </c>
    </row>
    <row r="2846" spans="1:8" x14ac:dyDescent="0.2">
      <c r="A2846" s="1">
        <v>32440</v>
      </c>
      <c r="B2846" s="1" t="str">
        <v>2020-11-09</v>
      </c>
      <c r="C2846" s="1">
        <v>3.1476999999999999</v>
      </c>
      <c r="F2846" s="8">
        <f t="shared" si="132"/>
        <v>32440</v>
      </c>
      <c r="G2846" s="9">
        <f t="shared" si="133"/>
        <v>44144</v>
      </c>
      <c r="H2846" s="10">
        <f t="shared" si="134"/>
        <v>3.1476999999999999</v>
      </c>
    </row>
    <row r="2847" spans="1:8" x14ac:dyDescent="0.2">
      <c r="A2847" s="1">
        <v>8</v>
      </c>
      <c r="B2847" s="1" t="str">
        <v>2020-11-09</v>
      </c>
      <c r="C2847" s="1">
        <v>3.1579000000000002</v>
      </c>
      <c r="F2847" s="8">
        <f t="shared" si="132"/>
        <v>8</v>
      </c>
      <c r="G2847" s="9">
        <f t="shared" si="133"/>
        <v>44144</v>
      </c>
      <c r="H2847" s="10">
        <f t="shared" si="134"/>
        <v>3.1579000000000002</v>
      </c>
    </row>
    <row r="2848" spans="1:8" x14ac:dyDescent="0.2">
      <c r="A2848" s="1">
        <v>157</v>
      </c>
      <c r="B2848" s="1" t="str">
        <v>2020-11-09</v>
      </c>
      <c r="C2848" s="1">
        <v>3.3942999999999999</v>
      </c>
      <c r="F2848" s="8">
        <f t="shared" si="132"/>
        <v>157</v>
      </c>
      <c r="G2848" s="9">
        <f t="shared" si="133"/>
        <v>44144</v>
      </c>
      <c r="H2848" s="10">
        <f t="shared" si="134"/>
        <v>3.3942999999999999</v>
      </c>
    </row>
    <row r="2849" spans="1:8" x14ac:dyDescent="0.2">
      <c r="A2849" s="1">
        <v>33143</v>
      </c>
      <c r="B2849" s="1" t="str">
        <v>2020-11-09</v>
      </c>
      <c r="C2849" s="1">
        <v>3.3</v>
      </c>
      <c r="F2849" s="8">
        <f t="shared" si="132"/>
        <v>33143</v>
      </c>
      <c r="G2849" s="9">
        <f t="shared" si="133"/>
        <v>44144</v>
      </c>
      <c r="H2849" s="10">
        <f t="shared" si="134"/>
        <v>3.3</v>
      </c>
    </row>
    <row r="2850" spans="1:8" x14ac:dyDescent="0.2">
      <c r="A2850" s="1">
        <v>178</v>
      </c>
      <c r="B2850" s="1" t="str">
        <v>2020-11-09</v>
      </c>
      <c r="C2850" s="1">
        <v>3.2119</v>
      </c>
      <c r="F2850" s="8">
        <f t="shared" si="132"/>
        <v>178</v>
      </c>
      <c r="G2850" s="9">
        <f t="shared" si="133"/>
        <v>44144</v>
      </c>
      <c r="H2850" s="10">
        <f t="shared" si="134"/>
        <v>3.2119</v>
      </c>
    </row>
    <row r="2851" spans="1:8" x14ac:dyDescent="0.2">
      <c r="A2851" s="1">
        <v>32480</v>
      </c>
      <c r="B2851" s="1" t="str">
        <v>2020-11-09</v>
      </c>
      <c r="C2851" s="1">
        <v>3.4043000000000001</v>
      </c>
      <c r="F2851" s="8">
        <f t="shared" si="132"/>
        <v>32480</v>
      </c>
      <c r="G2851" s="9">
        <f t="shared" si="133"/>
        <v>44144</v>
      </c>
      <c r="H2851" s="10">
        <f t="shared" si="134"/>
        <v>3.4043000000000001</v>
      </c>
    </row>
    <row r="2852" spans="1:8" x14ac:dyDescent="0.2">
      <c r="A2852" s="1">
        <v>1</v>
      </c>
      <c r="B2852" s="1" t="str">
        <v>2020-11-10</v>
      </c>
      <c r="C2852" s="1">
        <v>3.2915000000000001</v>
      </c>
      <c r="F2852" s="8">
        <f t="shared" si="132"/>
        <v>1</v>
      </c>
      <c r="G2852" s="9">
        <f t="shared" si="133"/>
        <v>44145</v>
      </c>
      <c r="H2852" s="10">
        <f t="shared" si="134"/>
        <v>3.2915000000000001</v>
      </c>
    </row>
    <row r="2853" spans="1:8" x14ac:dyDescent="0.2">
      <c r="A2853" s="1">
        <v>32360</v>
      </c>
      <c r="B2853" s="1" t="str">
        <v>2020-11-10</v>
      </c>
      <c r="C2853" s="1">
        <v>3.4457</v>
      </c>
      <c r="F2853" s="8">
        <f t="shared" si="132"/>
        <v>32360</v>
      </c>
      <c r="G2853" s="9">
        <f t="shared" si="133"/>
        <v>44145</v>
      </c>
      <c r="H2853" s="10">
        <f t="shared" si="134"/>
        <v>3.4457</v>
      </c>
    </row>
    <row r="2854" spans="1:8" x14ac:dyDescent="0.2">
      <c r="A2854" s="1">
        <v>156</v>
      </c>
      <c r="B2854" s="1" t="str">
        <v>2020-11-10</v>
      </c>
      <c r="C2854" s="1">
        <v>3.1375000000000002</v>
      </c>
      <c r="F2854" s="8">
        <f t="shared" si="132"/>
        <v>156</v>
      </c>
      <c r="G2854" s="9">
        <f t="shared" si="133"/>
        <v>44145</v>
      </c>
      <c r="H2854" s="10">
        <f t="shared" si="134"/>
        <v>3.1375000000000002</v>
      </c>
    </row>
    <row r="2855" spans="1:8" x14ac:dyDescent="0.2">
      <c r="A2855" s="1">
        <v>32420</v>
      </c>
      <c r="B2855" s="1" t="str">
        <v>2020-11-10</v>
      </c>
      <c r="C2855" s="1">
        <v>3.4188000000000001</v>
      </c>
      <c r="F2855" s="8">
        <f t="shared" si="132"/>
        <v>32420</v>
      </c>
      <c r="G2855" s="9">
        <f t="shared" si="133"/>
        <v>44145</v>
      </c>
      <c r="H2855" s="10">
        <f t="shared" si="134"/>
        <v>3.4188000000000001</v>
      </c>
    </row>
    <row r="2856" spans="1:8" x14ac:dyDescent="0.2">
      <c r="A2856" s="1">
        <v>182</v>
      </c>
      <c r="B2856" s="1" t="str">
        <v>2020-11-11</v>
      </c>
      <c r="C2856" s="1">
        <v>3.2402000000000002</v>
      </c>
      <c r="F2856" s="8">
        <f t="shared" si="132"/>
        <v>182</v>
      </c>
      <c r="G2856" s="9">
        <f t="shared" si="133"/>
        <v>44146</v>
      </c>
      <c r="H2856" s="10">
        <f t="shared" si="134"/>
        <v>3.2402000000000002</v>
      </c>
    </row>
    <row r="2857" spans="1:8" x14ac:dyDescent="0.2">
      <c r="A2857" s="1">
        <v>77</v>
      </c>
      <c r="B2857" s="1" t="str">
        <v>2020-11-11</v>
      </c>
      <c r="C2857" s="1">
        <v>3.4045999999999998</v>
      </c>
      <c r="F2857" s="8">
        <f t="shared" si="132"/>
        <v>77</v>
      </c>
      <c r="G2857" s="9">
        <f t="shared" si="133"/>
        <v>44146</v>
      </c>
      <c r="H2857" s="10">
        <f t="shared" si="134"/>
        <v>3.4045999999999998</v>
      </c>
    </row>
    <row r="2858" spans="1:8" x14ac:dyDescent="0.2">
      <c r="A2858" s="1">
        <v>94</v>
      </c>
      <c r="B2858" s="1" t="str">
        <v>2020-11-12</v>
      </c>
      <c r="C2858" s="1">
        <v>3</v>
      </c>
      <c r="F2858" s="8">
        <f t="shared" si="132"/>
        <v>94</v>
      </c>
      <c r="G2858" s="9">
        <f t="shared" si="133"/>
        <v>44147</v>
      </c>
      <c r="H2858" s="10">
        <f t="shared" si="134"/>
        <v>3</v>
      </c>
    </row>
    <row r="2859" spans="1:8" x14ac:dyDescent="0.2">
      <c r="A2859" s="1">
        <v>139</v>
      </c>
      <c r="B2859" s="1" t="str">
        <v>2020-11-12</v>
      </c>
      <c r="C2859" s="1">
        <v>3.4971999999999999</v>
      </c>
      <c r="F2859" s="8">
        <f t="shared" si="132"/>
        <v>139</v>
      </c>
      <c r="G2859" s="9">
        <f t="shared" si="133"/>
        <v>44147</v>
      </c>
      <c r="H2859" s="10">
        <f t="shared" si="134"/>
        <v>3.4971999999999999</v>
      </c>
    </row>
    <row r="2860" spans="1:8" x14ac:dyDescent="0.2">
      <c r="A2860" s="1">
        <v>150</v>
      </c>
      <c r="B2860" s="1" t="str">
        <v>2020-11-12</v>
      </c>
      <c r="C2860" s="1">
        <v>3.1072000000000002</v>
      </c>
      <c r="F2860" s="8">
        <f t="shared" si="132"/>
        <v>150</v>
      </c>
      <c r="G2860" s="9">
        <f t="shared" si="133"/>
        <v>44147</v>
      </c>
      <c r="H2860" s="10">
        <f t="shared" si="134"/>
        <v>3.1072000000000002</v>
      </c>
    </row>
    <row r="2861" spans="1:8" x14ac:dyDescent="0.2">
      <c r="A2861" s="1">
        <v>1</v>
      </c>
      <c r="B2861" s="1" t="str">
        <v>2020-11-12</v>
      </c>
      <c r="C2861" s="1">
        <v>3.3944000000000001</v>
      </c>
      <c r="F2861" s="8">
        <f t="shared" si="132"/>
        <v>1</v>
      </c>
      <c r="G2861" s="9">
        <f t="shared" si="133"/>
        <v>44147</v>
      </c>
      <c r="H2861" s="10">
        <f t="shared" si="134"/>
        <v>3.3944000000000001</v>
      </c>
    </row>
    <row r="2862" spans="1:8" x14ac:dyDescent="0.2">
      <c r="A2862" s="1">
        <v>16</v>
      </c>
      <c r="B2862" s="1" t="str">
        <v>2020-11-12</v>
      </c>
      <c r="C2862" s="1">
        <v>3.4146999999999998</v>
      </c>
      <c r="F2862" s="8">
        <f t="shared" si="132"/>
        <v>16</v>
      </c>
      <c r="G2862" s="9">
        <f t="shared" si="133"/>
        <v>44147</v>
      </c>
      <c r="H2862" s="10">
        <f t="shared" si="134"/>
        <v>3.4146999999999998</v>
      </c>
    </row>
    <row r="2863" spans="1:8" x14ac:dyDescent="0.2">
      <c r="A2863" s="1">
        <v>32180</v>
      </c>
      <c r="B2863" s="1" t="str">
        <v>2020-11-13</v>
      </c>
      <c r="C2863" s="1">
        <v>3.7172999999999998</v>
      </c>
      <c r="F2863" s="8">
        <f t="shared" si="132"/>
        <v>32180</v>
      </c>
      <c r="G2863" s="9">
        <f t="shared" si="133"/>
        <v>44148</v>
      </c>
      <c r="H2863" s="10">
        <f t="shared" si="134"/>
        <v>3.7172999999999998</v>
      </c>
    </row>
    <row r="2864" spans="1:8" x14ac:dyDescent="0.2">
      <c r="A2864" s="1">
        <v>32260</v>
      </c>
      <c r="B2864" s="1" t="str">
        <v>2020-11-13</v>
      </c>
      <c r="C2864" s="1">
        <v>3.4045000000000001</v>
      </c>
      <c r="F2864" s="8">
        <f t="shared" si="132"/>
        <v>32260</v>
      </c>
      <c r="G2864" s="9">
        <f t="shared" si="133"/>
        <v>44148</v>
      </c>
      <c r="H2864" s="10">
        <f t="shared" si="134"/>
        <v>3.4045000000000001</v>
      </c>
    </row>
    <row r="2865" spans="1:8" x14ac:dyDescent="0.2">
      <c r="A2865" s="1">
        <v>187</v>
      </c>
      <c r="B2865" s="1" t="str">
        <v>2020-11-13</v>
      </c>
      <c r="C2865" s="1">
        <v>3.6720999999999999</v>
      </c>
      <c r="F2865" s="8">
        <f t="shared" si="132"/>
        <v>187</v>
      </c>
      <c r="G2865" s="9">
        <f t="shared" si="133"/>
        <v>44148</v>
      </c>
      <c r="H2865" s="10">
        <f t="shared" si="134"/>
        <v>3.6720999999999999</v>
      </c>
    </row>
    <row r="2866" spans="1:8" x14ac:dyDescent="0.2">
      <c r="A2866" s="1">
        <v>177</v>
      </c>
      <c r="B2866" s="1" t="str">
        <v>2020-11-13</v>
      </c>
      <c r="C2866" s="1">
        <v>3.2608000000000001</v>
      </c>
      <c r="F2866" s="8">
        <f t="shared" si="132"/>
        <v>177</v>
      </c>
      <c r="G2866" s="9">
        <f t="shared" si="133"/>
        <v>44148</v>
      </c>
      <c r="H2866" s="10">
        <f t="shared" si="134"/>
        <v>3.2608000000000001</v>
      </c>
    </row>
    <row r="2867" spans="1:8" x14ac:dyDescent="0.2">
      <c r="A2867" s="1">
        <v>150</v>
      </c>
      <c r="B2867" s="1" t="str">
        <v>2020-11-13</v>
      </c>
      <c r="C2867" s="1">
        <v>3.3128000000000002</v>
      </c>
      <c r="F2867" s="8">
        <f t="shared" si="132"/>
        <v>150</v>
      </c>
      <c r="G2867" s="9">
        <f t="shared" si="133"/>
        <v>44148</v>
      </c>
      <c r="H2867" s="10">
        <f t="shared" si="134"/>
        <v>3.3128000000000002</v>
      </c>
    </row>
    <row r="2868" spans="1:8" x14ac:dyDescent="0.2">
      <c r="A2868" s="1">
        <v>32380</v>
      </c>
      <c r="B2868" s="1" t="str">
        <v>2020-11-13</v>
      </c>
      <c r="C2868" s="1">
        <v>3.3327</v>
      </c>
      <c r="F2868" s="8">
        <f t="shared" si="132"/>
        <v>32380</v>
      </c>
      <c r="G2868" s="9">
        <f t="shared" si="133"/>
        <v>44148</v>
      </c>
      <c r="H2868" s="10">
        <f t="shared" si="134"/>
        <v>3.3327</v>
      </c>
    </row>
    <row r="2869" spans="1:8" x14ac:dyDescent="0.2">
      <c r="A2869" s="1">
        <v>32724</v>
      </c>
      <c r="B2869" s="1" t="str">
        <v>2020-11-13</v>
      </c>
      <c r="C2869" s="1">
        <v>3.3532000000000002</v>
      </c>
      <c r="F2869" s="8">
        <f t="shared" si="132"/>
        <v>32724</v>
      </c>
      <c r="G2869" s="9">
        <f t="shared" si="133"/>
        <v>44148</v>
      </c>
      <c r="H2869" s="10">
        <f t="shared" si="134"/>
        <v>3.3532000000000002</v>
      </c>
    </row>
    <row r="2870" spans="1:8" x14ac:dyDescent="0.2">
      <c r="A2870" s="1">
        <v>109</v>
      </c>
      <c r="B2870" s="1" t="str">
        <v>2020-11-13</v>
      </c>
      <c r="C2870" s="1">
        <v>3.1682999999999999</v>
      </c>
      <c r="F2870" s="8">
        <f t="shared" si="132"/>
        <v>109</v>
      </c>
      <c r="G2870" s="9">
        <f t="shared" si="133"/>
        <v>44148</v>
      </c>
      <c r="H2870" s="10">
        <f t="shared" si="134"/>
        <v>3.1682999999999999</v>
      </c>
    </row>
    <row r="2871" spans="1:8" x14ac:dyDescent="0.2">
      <c r="A2871" s="1">
        <v>33103</v>
      </c>
      <c r="B2871" s="1" t="str">
        <v>2020-11-13</v>
      </c>
      <c r="C2871" s="1">
        <v>3.3877999999999999</v>
      </c>
      <c r="F2871" s="8">
        <f t="shared" si="132"/>
        <v>33103</v>
      </c>
      <c r="G2871" s="9">
        <f t="shared" si="133"/>
        <v>44148</v>
      </c>
      <c r="H2871" s="10">
        <f t="shared" si="134"/>
        <v>3.3877999999999999</v>
      </c>
    </row>
    <row r="2872" spans="1:8" x14ac:dyDescent="0.2">
      <c r="A2872" s="1">
        <v>68</v>
      </c>
      <c r="B2872" s="1" t="str">
        <v>2020-11-13</v>
      </c>
      <c r="C2872" s="1">
        <v>3.5794999999999999</v>
      </c>
      <c r="F2872" s="8">
        <f t="shared" si="132"/>
        <v>68</v>
      </c>
      <c r="G2872" s="9">
        <f t="shared" si="133"/>
        <v>44148</v>
      </c>
      <c r="H2872" s="10">
        <f t="shared" si="134"/>
        <v>3.5794999999999999</v>
      </c>
    </row>
    <row r="2873" spans="1:8" x14ac:dyDescent="0.2">
      <c r="A2873" s="1">
        <v>32963</v>
      </c>
      <c r="B2873" s="1" t="str">
        <v>2020-11-13</v>
      </c>
      <c r="C2873" s="1">
        <v>3.2298</v>
      </c>
      <c r="F2873" s="8">
        <f t="shared" si="132"/>
        <v>32963</v>
      </c>
      <c r="G2873" s="9">
        <f t="shared" si="133"/>
        <v>44148</v>
      </c>
      <c r="H2873" s="10">
        <f t="shared" si="134"/>
        <v>3.2298</v>
      </c>
    </row>
    <row r="2874" spans="1:8" x14ac:dyDescent="0.2">
      <c r="A2874" s="1">
        <v>181</v>
      </c>
      <c r="B2874" s="1" t="str">
        <v>2020-11-13</v>
      </c>
      <c r="C2874" s="1">
        <v>3.3944000000000001</v>
      </c>
      <c r="F2874" s="8">
        <f t="shared" si="132"/>
        <v>181</v>
      </c>
      <c r="G2874" s="9">
        <f t="shared" si="133"/>
        <v>44148</v>
      </c>
      <c r="H2874" s="10">
        <f t="shared" si="134"/>
        <v>3.3944000000000001</v>
      </c>
    </row>
    <row r="2875" spans="1:8" x14ac:dyDescent="0.2">
      <c r="A2875" s="1">
        <v>33203</v>
      </c>
      <c r="B2875" s="1" t="str">
        <v>2020-11-13</v>
      </c>
      <c r="C2875" s="1">
        <v>3.4519000000000002</v>
      </c>
      <c r="F2875" s="8">
        <f t="shared" si="132"/>
        <v>33203</v>
      </c>
      <c r="G2875" s="9">
        <f t="shared" si="133"/>
        <v>44148</v>
      </c>
      <c r="H2875" s="10">
        <f t="shared" si="134"/>
        <v>3.4519000000000002</v>
      </c>
    </row>
    <row r="2876" spans="1:8" x14ac:dyDescent="0.2">
      <c r="A2876" s="1">
        <v>81</v>
      </c>
      <c r="B2876" s="1" t="str">
        <v>2020-11-13</v>
      </c>
      <c r="C2876" s="1">
        <v>3.0348000000000002</v>
      </c>
      <c r="F2876" s="8">
        <f t="shared" si="132"/>
        <v>81</v>
      </c>
      <c r="G2876" s="9">
        <f t="shared" si="133"/>
        <v>44148</v>
      </c>
      <c r="H2876" s="10">
        <f t="shared" si="134"/>
        <v>3.0348000000000002</v>
      </c>
    </row>
    <row r="2877" spans="1:8" x14ac:dyDescent="0.2">
      <c r="A2877" s="1">
        <v>10</v>
      </c>
      <c r="B2877" s="1" t="str">
        <v>2020-11-13</v>
      </c>
      <c r="C2877" s="1">
        <v>3.5589</v>
      </c>
      <c r="F2877" s="8">
        <f t="shared" si="132"/>
        <v>10</v>
      </c>
      <c r="G2877" s="9">
        <f t="shared" si="133"/>
        <v>44148</v>
      </c>
      <c r="H2877" s="10">
        <f t="shared" si="134"/>
        <v>3.5589</v>
      </c>
    </row>
    <row r="2878" spans="1:8" x14ac:dyDescent="0.2">
      <c r="A2878" s="1">
        <v>161</v>
      </c>
      <c r="B2878" s="1" t="str">
        <v>2020-11-13</v>
      </c>
      <c r="C2878" s="1">
        <v>3.4458000000000002</v>
      </c>
      <c r="F2878" s="8">
        <f t="shared" si="132"/>
        <v>161</v>
      </c>
      <c r="G2878" s="9">
        <f t="shared" si="133"/>
        <v>44148</v>
      </c>
      <c r="H2878" s="10">
        <f t="shared" si="134"/>
        <v>3.4458000000000002</v>
      </c>
    </row>
    <row r="2879" spans="1:8" x14ac:dyDescent="0.2">
      <c r="A2879" s="1">
        <v>2250</v>
      </c>
      <c r="B2879" s="1" t="str">
        <v>2020-11-13</v>
      </c>
      <c r="C2879" s="1">
        <v>3.6206</v>
      </c>
      <c r="F2879" s="8">
        <f t="shared" si="132"/>
        <v>2250</v>
      </c>
      <c r="G2879" s="9">
        <f t="shared" si="133"/>
        <v>44148</v>
      </c>
      <c r="H2879" s="10">
        <f t="shared" si="134"/>
        <v>3.6206</v>
      </c>
    </row>
    <row r="2880" spans="1:8" x14ac:dyDescent="0.2">
      <c r="A2880" s="1">
        <v>139</v>
      </c>
      <c r="B2880" s="1" t="str">
        <v>2020-11-13</v>
      </c>
      <c r="C2880" s="1">
        <v>3.4971999999999999</v>
      </c>
      <c r="F2880" s="8">
        <f t="shared" si="132"/>
        <v>139</v>
      </c>
      <c r="G2880" s="9">
        <f t="shared" si="133"/>
        <v>44148</v>
      </c>
      <c r="H2880" s="10">
        <f t="shared" si="134"/>
        <v>3.4971999999999999</v>
      </c>
    </row>
    <row r="2881" spans="1:8" x14ac:dyDescent="0.2">
      <c r="A2881" s="1">
        <v>101</v>
      </c>
      <c r="B2881" s="1" t="str">
        <v>2020-11-13</v>
      </c>
      <c r="C2881" s="1">
        <v>3.4148999999999998</v>
      </c>
      <c r="F2881" s="8">
        <f t="shared" si="132"/>
        <v>101</v>
      </c>
      <c r="G2881" s="9">
        <f t="shared" si="133"/>
        <v>44148</v>
      </c>
      <c r="H2881" s="10">
        <f t="shared" si="134"/>
        <v>3.4148999999999998</v>
      </c>
    </row>
    <row r="2882" spans="1:8" x14ac:dyDescent="0.2">
      <c r="A2882" s="1">
        <v>32040</v>
      </c>
      <c r="B2882" s="1" t="str">
        <v>2020-11-13</v>
      </c>
      <c r="C2882" s="1">
        <v>3.6307</v>
      </c>
      <c r="F2882" s="8">
        <f t="shared" si="132"/>
        <v>32040</v>
      </c>
      <c r="G2882" s="9">
        <f t="shared" si="133"/>
        <v>44148</v>
      </c>
      <c r="H2882" s="10">
        <f t="shared" si="134"/>
        <v>3.6307</v>
      </c>
    </row>
    <row r="2883" spans="1:8" x14ac:dyDescent="0.2">
      <c r="A2883" s="1">
        <v>133</v>
      </c>
      <c r="B2883" s="1" t="str">
        <v>2020-11-16</v>
      </c>
      <c r="C2883" s="1">
        <v>3.3532000000000002</v>
      </c>
      <c r="F2883" s="8">
        <f t="shared" si="132"/>
        <v>133</v>
      </c>
      <c r="G2883" s="9">
        <f t="shared" si="133"/>
        <v>44151</v>
      </c>
      <c r="H2883" s="10">
        <f t="shared" si="134"/>
        <v>3.3532000000000002</v>
      </c>
    </row>
    <row r="2884" spans="1:8" x14ac:dyDescent="0.2">
      <c r="A2884" s="1">
        <v>32401</v>
      </c>
      <c r="B2884" s="1" t="str">
        <v>2020-11-16</v>
      </c>
      <c r="C2884" s="1">
        <v>3.1888000000000001</v>
      </c>
      <c r="F2884" s="8">
        <f t="shared" si="132"/>
        <v>32401</v>
      </c>
      <c r="G2884" s="9">
        <f t="shared" si="133"/>
        <v>44151</v>
      </c>
      <c r="H2884" s="10">
        <f t="shared" si="134"/>
        <v>3.1888000000000001</v>
      </c>
    </row>
    <row r="2885" spans="1:8" x14ac:dyDescent="0.2">
      <c r="A2885" s="1">
        <v>32222</v>
      </c>
      <c r="B2885" s="1" t="str">
        <v>2020-11-16</v>
      </c>
      <c r="C2885" s="1">
        <v>3.5691000000000002</v>
      </c>
      <c r="F2885" s="8">
        <f t="shared" si="132"/>
        <v>32222</v>
      </c>
      <c r="G2885" s="9">
        <f t="shared" si="133"/>
        <v>44151</v>
      </c>
      <c r="H2885" s="10">
        <f t="shared" si="134"/>
        <v>3.5691000000000002</v>
      </c>
    </row>
    <row r="2886" spans="1:8" x14ac:dyDescent="0.2">
      <c r="A2886" s="1">
        <v>34</v>
      </c>
      <c r="B2886" s="1" t="str">
        <v>2020-11-16</v>
      </c>
      <c r="C2886" s="1">
        <v>3.4457</v>
      </c>
      <c r="F2886" s="8">
        <f t="shared" si="132"/>
        <v>34</v>
      </c>
      <c r="G2886" s="9">
        <f t="shared" si="133"/>
        <v>44151</v>
      </c>
      <c r="H2886" s="10">
        <f t="shared" si="134"/>
        <v>3.4457</v>
      </c>
    </row>
    <row r="2887" spans="1:8" x14ac:dyDescent="0.2">
      <c r="A2887" s="1">
        <v>153</v>
      </c>
      <c r="B2887" s="1" t="str">
        <v>2020-11-16</v>
      </c>
      <c r="C2887" s="1">
        <v>3.2915999999999999</v>
      </c>
      <c r="F2887" s="8">
        <f t="shared" si="132"/>
        <v>153</v>
      </c>
      <c r="G2887" s="9">
        <f t="shared" si="133"/>
        <v>44151</v>
      </c>
      <c r="H2887" s="10">
        <f t="shared" si="134"/>
        <v>3.2915999999999999</v>
      </c>
    </row>
    <row r="2888" spans="1:8" x14ac:dyDescent="0.2">
      <c r="A2888" s="1">
        <v>33130</v>
      </c>
      <c r="B2888" s="1" t="str">
        <v>2020-11-16</v>
      </c>
      <c r="C2888" s="1">
        <v>3.5381999999999998</v>
      </c>
      <c r="F2888" s="8">
        <f t="shared" si="132"/>
        <v>33130</v>
      </c>
      <c r="G2888" s="9">
        <f t="shared" si="133"/>
        <v>44151</v>
      </c>
      <c r="H2888" s="10">
        <f t="shared" si="134"/>
        <v>3.5381999999999998</v>
      </c>
    </row>
    <row r="2889" spans="1:8" x14ac:dyDescent="0.2">
      <c r="A2889" s="1">
        <v>182</v>
      </c>
      <c r="B2889" s="1" t="str">
        <v>2020-11-16</v>
      </c>
      <c r="C2889" s="1">
        <v>3.5792999999999999</v>
      </c>
      <c r="F2889" s="8">
        <f t="shared" ref="F2889:F2952" si="135">A2889</f>
        <v>182</v>
      </c>
      <c r="G2889" s="9">
        <f t="shared" ref="G2889:G2952" si="136">DATE(LEFT(B2889,4),MID(B2889,6,2),RIGHT(B2889,2))</f>
        <v>44151</v>
      </c>
      <c r="H2889" s="10">
        <f t="shared" ref="H2889:H2952" si="137">C2889</f>
        <v>3.5792999999999999</v>
      </c>
    </row>
    <row r="2890" spans="1:8" x14ac:dyDescent="0.2">
      <c r="A2890" s="1">
        <v>178</v>
      </c>
      <c r="B2890" s="1" t="str">
        <v>2020-11-16</v>
      </c>
      <c r="C2890" s="1">
        <v>3.5516000000000001</v>
      </c>
      <c r="F2890" s="8">
        <f t="shared" si="135"/>
        <v>178</v>
      </c>
      <c r="G2890" s="9">
        <f t="shared" si="136"/>
        <v>44151</v>
      </c>
      <c r="H2890" s="10">
        <f t="shared" si="137"/>
        <v>3.5516000000000001</v>
      </c>
    </row>
    <row r="2891" spans="1:8" x14ac:dyDescent="0.2">
      <c r="A2891" s="1">
        <v>32421</v>
      </c>
      <c r="B2891" s="1" t="str">
        <v>2020-11-16</v>
      </c>
      <c r="C2891" s="1">
        <v>3.3771</v>
      </c>
      <c r="F2891" s="8">
        <f t="shared" si="135"/>
        <v>32421</v>
      </c>
      <c r="G2891" s="9">
        <f t="shared" si="136"/>
        <v>44151</v>
      </c>
      <c r="H2891" s="10">
        <f t="shared" si="137"/>
        <v>3.3771</v>
      </c>
    </row>
    <row r="2892" spans="1:8" x14ac:dyDescent="0.2">
      <c r="A2892" s="1">
        <v>53</v>
      </c>
      <c r="B2892" s="1" t="str">
        <v>2020-11-17</v>
      </c>
      <c r="C2892" s="1">
        <v>3.5383</v>
      </c>
      <c r="F2892" s="8">
        <f t="shared" si="135"/>
        <v>53</v>
      </c>
      <c r="G2892" s="9">
        <f t="shared" si="136"/>
        <v>44152</v>
      </c>
      <c r="H2892" s="10">
        <f t="shared" si="137"/>
        <v>3.5383</v>
      </c>
    </row>
    <row r="2893" spans="1:8" x14ac:dyDescent="0.2">
      <c r="A2893" s="1">
        <v>99</v>
      </c>
      <c r="B2893" s="1" t="str">
        <v>2020-11-17</v>
      </c>
      <c r="C2893" s="1">
        <v>3.0859000000000001</v>
      </c>
      <c r="F2893" s="8">
        <f t="shared" si="135"/>
        <v>99</v>
      </c>
      <c r="G2893" s="9">
        <f t="shared" si="136"/>
        <v>44152</v>
      </c>
      <c r="H2893" s="10">
        <f t="shared" si="137"/>
        <v>3.0859000000000001</v>
      </c>
    </row>
    <row r="2894" spans="1:8" x14ac:dyDescent="0.2">
      <c r="A2894" s="1">
        <v>143</v>
      </c>
      <c r="B2894" s="1" t="str">
        <v>2020-11-17</v>
      </c>
      <c r="C2894" s="1">
        <v>3.6412</v>
      </c>
      <c r="F2894" s="8">
        <f t="shared" si="135"/>
        <v>143</v>
      </c>
      <c r="G2894" s="9">
        <f t="shared" si="136"/>
        <v>44152</v>
      </c>
      <c r="H2894" s="10">
        <f t="shared" si="137"/>
        <v>3.6412</v>
      </c>
    </row>
    <row r="2895" spans="1:8" x14ac:dyDescent="0.2">
      <c r="A2895" s="1">
        <v>32081</v>
      </c>
      <c r="B2895" s="1" t="str">
        <v>2020-11-17</v>
      </c>
      <c r="C2895" s="1">
        <v>3.5691999999999999</v>
      </c>
      <c r="F2895" s="8">
        <f t="shared" si="135"/>
        <v>32081</v>
      </c>
      <c r="G2895" s="9">
        <f t="shared" si="136"/>
        <v>44152</v>
      </c>
      <c r="H2895" s="10">
        <f t="shared" si="137"/>
        <v>3.5691999999999999</v>
      </c>
    </row>
    <row r="2896" spans="1:8" x14ac:dyDescent="0.2">
      <c r="A2896" s="1">
        <v>32260</v>
      </c>
      <c r="B2896" s="1" t="str">
        <v>2020-11-17</v>
      </c>
      <c r="C2896" s="1">
        <v>3.5177</v>
      </c>
      <c r="F2896" s="8">
        <f t="shared" si="135"/>
        <v>32260</v>
      </c>
      <c r="G2896" s="9">
        <f t="shared" si="136"/>
        <v>44152</v>
      </c>
      <c r="H2896" s="10">
        <f t="shared" si="137"/>
        <v>3.5177</v>
      </c>
    </row>
    <row r="2897" spans="1:8" x14ac:dyDescent="0.2">
      <c r="A2897" s="1">
        <v>32643</v>
      </c>
      <c r="B2897" s="1" t="str">
        <v>2020-11-17</v>
      </c>
      <c r="C2897" s="1">
        <v>3.3121</v>
      </c>
      <c r="F2897" s="8">
        <f t="shared" si="135"/>
        <v>32643</v>
      </c>
      <c r="G2897" s="9">
        <f t="shared" si="136"/>
        <v>44152</v>
      </c>
      <c r="H2897" s="10">
        <f t="shared" si="137"/>
        <v>3.3121</v>
      </c>
    </row>
    <row r="2898" spans="1:8" x14ac:dyDescent="0.2">
      <c r="A2898" s="1">
        <v>67</v>
      </c>
      <c r="B2898" s="1" t="str">
        <v>2020-11-17</v>
      </c>
      <c r="C2898" s="1">
        <v>3.5177</v>
      </c>
      <c r="F2898" s="8">
        <f t="shared" si="135"/>
        <v>67</v>
      </c>
      <c r="G2898" s="9">
        <f t="shared" si="136"/>
        <v>44152</v>
      </c>
      <c r="H2898" s="10">
        <f t="shared" si="137"/>
        <v>3.5177</v>
      </c>
    </row>
    <row r="2899" spans="1:8" x14ac:dyDescent="0.2">
      <c r="A2899" s="1">
        <v>8</v>
      </c>
      <c r="B2899" s="1" t="str">
        <v>2020-11-18</v>
      </c>
      <c r="C2899" s="1">
        <v>3.3018000000000001</v>
      </c>
      <c r="F2899" s="8">
        <f t="shared" si="135"/>
        <v>8</v>
      </c>
      <c r="G2899" s="9">
        <f t="shared" si="136"/>
        <v>44153</v>
      </c>
      <c r="H2899" s="10">
        <f t="shared" si="137"/>
        <v>3.3018000000000001</v>
      </c>
    </row>
    <row r="2900" spans="1:8" x14ac:dyDescent="0.2">
      <c r="A2900" s="1">
        <v>181</v>
      </c>
      <c r="B2900" s="1" t="str">
        <v>2020-11-18</v>
      </c>
      <c r="C2900" s="1">
        <v>3.6309</v>
      </c>
      <c r="F2900" s="8">
        <f t="shared" si="135"/>
        <v>181</v>
      </c>
      <c r="G2900" s="9">
        <f t="shared" si="136"/>
        <v>44153</v>
      </c>
      <c r="H2900" s="10">
        <f t="shared" si="137"/>
        <v>3.6309</v>
      </c>
    </row>
    <row r="2901" spans="1:8" x14ac:dyDescent="0.2">
      <c r="A2901" s="1">
        <v>102</v>
      </c>
      <c r="B2901" s="1" t="str">
        <v>2020-11-18</v>
      </c>
      <c r="C2901" s="1">
        <v>3.5589</v>
      </c>
      <c r="F2901" s="8">
        <f t="shared" si="135"/>
        <v>102</v>
      </c>
      <c r="G2901" s="9">
        <f t="shared" si="136"/>
        <v>44153</v>
      </c>
      <c r="H2901" s="10">
        <f t="shared" si="137"/>
        <v>3.5589</v>
      </c>
    </row>
    <row r="2902" spans="1:8" x14ac:dyDescent="0.2">
      <c r="A2902" s="1">
        <v>32863</v>
      </c>
      <c r="B2902" s="1" t="str">
        <v>2020-11-18</v>
      </c>
      <c r="C2902" s="1">
        <v>3.6926000000000001</v>
      </c>
      <c r="F2902" s="8">
        <f t="shared" si="135"/>
        <v>32863</v>
      </c>
      <c r="G2902" s="9">
        <f t="shared" si="136"/>
        <v>44153</v>
      </c>
      <c r="H2902" s="10">
        <f t="shared" si="137"/>
        <v>3.6926000000000001</v>
      </c>
    </row>
    <row r="2903" spans="1:8" x14ac:dyDescent="0.2">
      <c r="A2903" s="1">
        <v>34</v>
      </c>
      <c r="B2903" s="1" t="str">
        <v>2020-11-19</v>
      </c>
      <c r="C2903" s="1">
        <v>3.4457</v>
      </c>
      <c r="F2903" s="8">
        <f t="shared" si="135"/>
        <v>34</v>
      </c>
      <c r="G2903" s="9">
        <f t="shared" si="136"/>
        <v>44154</v>
      </c>
      <c r="H2903" s="10">
        <f t="shared" si="137"/>
        <v>3.4457</v>
      </c>
    </row>
    <row r="2904" spans="1:8" x14ac:dyDescent="0.2">
      <c r="A2904" s="1">
        <v>33224</v>
      </c>
      <c r="B2904" s="1" t="str">
        <v>2020-11-19</v>
      </c>
      <c r="C2904" s="1">
        <v>3.6617999999999999</v>
      </c>
      <c r="F2904" s="8">
        <f t="shared" si="135"/>
        <v>33224</v>
      </c>
      <c r="G2904" s="9">
        <f t="shared" si="136"/>
        <v>44154</v>
      </c>
      <c r="H2904" s="10">
        <f t="shared" si="137"/>
        <v>3.6617999999999999</v>
      </c>
    </row>
    <row r="2905" spans="1:8" x14ac:dyDescent="0.2">
      <c r="A2905" s="1">
        <v>32863</v>
      </c>
      <c r="B2905" s="1" t="str">
        <v>2020-11-19</v>
      </c>
      <c r="C2905" s="1">
        <v>3.6206</v>
      </c>
      <c r="F2905" s="8">
        <f t="shared" si="135"/>
        <v>32863</v>
      </c>
      <c r="G2905" s="9">
        <f t="shared" si="136"/>
        <v>44154</v>
      </c>
      <c r="H2905" s="10">
        <f t="shared" si="137"/>
        <v>3.6206</v>
      </c>
    </row>
    <row r="2906" spans="1:8" x14ac:dyDescent="0.2">
      <c r="A2906" s="1">
        <v>150</v>
      </c>
      <c r="B2906" s="1" t="str">
        <v>2020-11-19</v>
      </c>
      <c r="C2906" s="1">
        <v>3.4032</v>
      </c>
      <c r="F2906" s="8">
        <f t="shared" si="135"/>
        <v>150</v>
      </c>
      <c r="G2906" s="9">
        <f t="shared" si="136"/>
        <v>44154</v>
      </c>
      <c r="H2906" s="10">
        <f t="shared" si="137"/>
        <v>3.4032</v>
      </c>
    </row>
    <row r="2907" spans="1:8" x14ac:dyDescent="0.2">
      <c r="A2907" s="1">
        <v>83</v>
      </c>
      <c r="B2907" s="1" t="str">
        <v>2020-11-19</v>
      </c>
      <c r="C2907" s="1">
        <v>3.2915000000000001</v>
      </c>
      <c r="F2907" s="8">
        <f t="shared" si="135"/>
        <v>83</v>
      </c>
      <c r="G2907" s="9">
        <f t="shared" si="136"/>
        <v>44154</v>
      </c>
      <c r="H2907" s="10">
        <f t="shared" si="137"/>
        <v>3.2915000000000001</v>
      </c>
    </row>
    <row r="2908" spans="1:8" x14ac:dyDescent="0.2">
      <c r="A2908" s="1">
        <v>72</v>
      </c>
      <c r="B2908" s="1" t="str">
        <v>2020-11-19</v>
      </c>
      <c r="C2908" s="1">
        <v>3.5486</v>
      </c>
      <c r="F2908" s="8">
        <f t="shared" si="135"/>
        <v>72</v>
      </c>
      <c r="G2908" s="9">
        <f t="shared" si="136"/>
        <v>44154</v>
      </c>
      <c r="H2908" s="10">
        <f t="shared" si="137"/>
        <v>3.5486</v>
      </c>
    </row>
    <row r="2909" spans="1:8" x14ac:dyDescent="0.2">
      <c r="A2909" s="1">
        <v>136</v>
      </c>
      <c r="B2909" s="1" t="str">
        <v>2020-11-19</v>
      </c>
      <c r="C2909" s="1">
        <v>3.6103999999999998</v>
      </c>
      <c r="F2909" s="8">
        <f t="shared" si="135"/>
        <v>136</v>
      </c>
      <c r="G2909" s="9">
        <f t="shared" si="136"/>
        <v>44154</v>
      </c>
      <c r="H2909" s="10">
        <f t="shared" si="137"/>
        <v>3.6103999999999998</v>
      </c>
    </row>
    <row r="2910" spans="1:8" x14ac:dyDescent="0.2">
      <c r="A2910" s="1">
        <v>33125</v>
      </c>
      <c r="B2910" s="1" t="str">
        <v>2020-11-19</v>
      </c>
      <c r="C2910" s="1">
        <v>3.5383</v>
      </c>
      <c r="F2910" s="8">
        <f t="shared" si="135"/>
        <v>33125</v>
      </c>
      <c r="G2910" s="9">
        <f t="shared" si="136"/>
        <v>44154</v>
      </c>
      <c r="H2910" s="10">
        <f t="shared" si="137"/>
        <v>3.5383</v>
      </c>
    </row>
    <row r="2911" spans="1:8" x14ac:dyDescent="0.2">
      <c r="A2911" s="1">
        <v>32963</v>
      </c>
      <c r="B2911" s="1" t="str">
        <v>2020-11-19</v>
      </c>
      <c r="C2911" s="1">
        <v>3.3018000000000001</v>
      </c>
      <c r="F2911" s="8">
        <f t="shared" si="135"/>
        <v>32963</v>
      </c>
      <c r="G2911" s="9">
        <f t="shared" si="136"/>
        <v>44154</v>
      </c>
      <c r="H2911" s="10">
        <f t="shared" si="137"/>
        <v>3.3018000000000001</v>
      </c>
    </row>
    <row r="2912" spans="1:8" x14ac:dyDescent="0.2">
      <c r="A2912" s="1">
        <v>67</v>
      </c>
      <c r="B2912" s="1" t="str">
        <v>2020-11-19</v>
      </c>
      <c r="C2912" s="1">
        <v>3.5383</v>
      </c>
      <c r="F2912" s="8">
        <f t="shared" si="135"/>
        <v>67</v>
      </c>
      <c r="G2912" s="9">
        <f t="shared" si="136"/>
        <v>44154</v>
      </c>
      <c r="H2912" s="10">
        <f t="shared" si="137"/>
        <v>3.5383</v>
      </c>
    </row>
    <row r="2913" spans="1:8" x14ac:dyDescent="0.2">
      <c r="A2913" s="1">
        <v>30300</v>
      </c>
      <c r="B2913" s="1" t="str">
        <v>2020-11-19</v>
      </c>
      <c r="C2913" s="1">
        <v>3.4971999999999999</v>
      </c>
      <c r="F2913" s="8">
        <f t="shared" si="135"/>
        <v>30300</v>
      </c>
      <c r="G2913" s="9">
        <f t="shared" si="136"/>
        <v>44154</v>
      </c>
      <c r="H2913" s="10">
        <f t="shared" si="137"/>
        <v>3.4971999999999999</v>
      </c>
    </row>
    <row r="2914" spans="1:8" x14ac:dyDescent="0.2">
      <c r="A2914" s="1">
        <v>250</v>
      </c>
      <c r="B2914" s="1" t="str">
        <v>2020-11-19</v>
      </c>
      <c r="C2914" s="1">
        <v>3.4148999999999998</v>
      </c>
      <c r="F2914" s="8">
        <f t="shared" si="135"/>
        <v>250</v>
      </c>
      <c r="G2914" s="9">
        <f t="shared" si="136"/>
        <v>44154</v>
      </c>
      <c r="H2914" s="10">
        <f t="shared" si="137"/>
        <v>3.4148999999999998</v>
      </c>
    </row>
    <row r="2915" spans="1:8" x14ac:dyDescent="0.2">
      <c r="A2915" s="1">
        <v>90</v>
      </c>
      <c r="B2915" s="1" t="str">
        <v>2020-11-19</v>
      </c>
      <c r="C2915" s="1">
        <v>3.4765000000000001</v>
      </c>
      <c r="F2915" s="8">
        <f t="shared" si="135"/>
        <v>90</v>
      </c>
      <c r="G2915" s="9">
        <f t="shared" si="136"/>
        <v>44154</v>
      </c>
      <c r="H2915" s="10">
        <f t="shared" si="137"/>
        <v>3.4765000000000001</v>
      </c>
    </row>
    <row r="2916" spans="1:8" x14ac:dyDescent="0.2">
      <c r="A2916" s="1">
        <v>32401</v>
      </c>
      <c r="B2916" s="1" t="str">
        <v>2020-11-19</v>
      </c>
      <c r="C2916" s="1">
        <v>3.1888000000000001</v>
      </c>
      <c r="F2916" s="8">
        <f t="shared" si="135"/>
        <v>32401</v>
      </c>
      <c r="G2916" s="9">
        <f t="shared" si="136"/>
        <v>44154</v>
      </c>
      <c r="H2916" s="10">
        <f t="shared" si="137"/>
        <v>3.1888000000000001</v>
      </c>
    </row>
    <row r="2917" spans="1:8" x14ac:dyDescent="0.2">
      <c r="A2917" s="1">
        <v>32783</v>
      </c>
      <c r="B2917" s="1" t="str">
        <v>2020-11-19</v>
      </c>
      <c r="C2917" s="1">
        <v>3.5794999999999999</v>
      </c>
      <c r="F2917" s="8">
        <f t="shared" si="135"/>
        <v>32783</v>
      </c>
      <c r="G2917" s="9">
        <f t="shared" si="136"/>
        <v>44154</v>
      </c>
      <c r="H2917" s="10">
        <f t="shared" si="137"/>
        <v>3.5794999999999999</v>
      </c>
    </row>
    <row r="2918" spans="1:8" x14ac:dyDescent="0.2">
      <c r="A2918" s="1">
        <v>32923</v>
      </c>
      <c r="B2918" s="1" t="str">
        <v>2020-11-19</v>
      </c>
      <c r="C2918" s="1">
        <v>3.4354</v>
      </c>
      <c r="F2918" s="8">
        <f t="shared" si="135"/>
        <v>32923</v>
      </c>
      <c r="G2918" s="9">
        <f t="shared" si="136"/>
        <v>44154</v>
      </c>
      <c r="H2918" s="10">
        <f t="shared" si="137"/>
        <v>3.4354</v>
      </c>
    </row>
    <row r="2919" spans="1:8" x14ac:dyDescent="0.2">
      <c r="A2919" s="1">
        <v>32603</v>
      </c>
      <c r="B2919" s="1" t="str">
        <v>2020-11-19</v>
      </c>
      <c r="C2919" s="1">
        <v>3.2606999999999999</v>
      </c>
      <c r="F2919" s="8">
        <f t="shared" si="135"/>
        <v>32603</v>
      </c>
      <c r="G2919" s="9">
        <f t="shared" si="136"/>
        <v>44154</v>
      </c>
      <c r="H2919" s="10">
        <f t="shared" si="137"/>
        <v>3.2606999999999999</v>
      </c>
    </row>
    <row r="2920" spans="1:8" x14ac:dyDescent="0.2">
      <c r="A2920" s="1">
        <v>176</v>
      </c>
      <c r="B2920" s="1" t="str">
        <v>2020-11-19</v>
      </c>
      <c r="C2920" s="1">
        <v>3.3121</v>
      </c>
      <c r="F2920" s="8">
        <f t="shared" si="135"/>
        <v>176</v>
      </c>
      <c r="G2920" s="9">
        <f t="shared" si="136"/>
        <v>44154</v>
      </c>
      <c r="H2920" s="10">
        <f t="shared" si="137"/>
        <v>3.3121</v>
      </c>
    </row>
    <row r="2921" spans="1:8" x14ac:dyDescent="0.2">
      <c r="A2921" s="1">
        <v>49</v>
      </c>
      <c r="B2921" s="1" t="str">
        <v>2020-11-19</v>
      </c>
      <c r="C2921" s="1">
        <v>3.5486</v>
      </c>
      <c r="F2921" s="8">
        <f t="shared" si="135"/>
        <v>49</v>
      </c>
      <c r="G2921" s="9">
        <f t="shared" si="136"/>
        <v>44154</v>
      </c>
      <c r="H2921" s="10">
        <f t="shared" si="137"/>
        <v>3.5486</v>
      </c>
    </row>
    <row r="2922" spans="1:8" x14ac:dyDescent="0.2">
      <c r="A2922" s="1">
        <v>94</v>
      </c>
      <c r="B2922" s="1" t="str">
        <v>2020-11-19</v>
      </c>
      <c r="C2922" s="1">
        <v>3.5</v>
      </c>
      <c r="F2922" s="8">
        <f t="shared" si="135"/>
        <v>94</v>
      </c>
      <c r="G2922" s="9">
        <f t="shared" si="136"/>
        <v>44154</v>
      </c>
      <c r="H2922" s="10">
        <f t="shared" si="137"/>
        <v>3.5</v>
      </c>
    </row>
    <row r="2923" spans="1:8" x14ac:dyDescent="0.2">
      <c r="A2923" s="1">
        <v>32963</v>
      </c>
      <c r="B2923" s="1" t="str">
        <v>2020-11-20</v>
      </c>
      <c r="C2923" s="1">
        <v>3.3121</v>
      </c>
      <c r="F2923" s="8">
        <f t="shared" si="135"/>
        <v>32963</v>
      </c>
      <c r="G2923" s="9">
        <f t="shared" si="136"/>
        <v>44155</v>
      </c>
      <c r="H2923" s="10">
        <f t="shared" si="137"/>
        <v>3.3121</v>
      </c>
    </row>
    <row r="2924" spans="1:8" x14ac:dyDescent="0.2">
      <c r="A2924" s="1">
        <v>32360</v>
      </c>
      <c r="B2924" s="1" t="str">
        <v>2020-11-20</v>
      </c>
      <c r="C2924" s="1">
        <v>3.4971999999999999</v>
      </c>
      <c r="F2924" s="8">
        <f t="shared" si="135"/>
        <v>32360</v>
      </c>
      <c r="G2924" s="9">
        <f t="shared" si="136"/>
        <v>44155</v>
      </c>
      <c r="H2924" s="10">
        <f t="shared" si="137"/>
        <v>3.4971999999999999</v>
      </c>
    </row>
    <row r="2925" spans="1:8" x14ac:dyDescent="0.2">
      <c r="A2925" s="1">
        <v>139</v>
      </c>
      <c r="B2925" s="1" t="str">
        <v>2020-11-20</v>
      </c>
      <c r="C2925" s="1">
        <v>3.5794999999999999</v>
      </c>
      <c r="F2925" s="8">
        <f t="shared" si="135"/>
        <v>139</v>
      </c>
      <c r="G2925" s="9">
        <f t="shared" si="136"/>
        <v>44155</v>
      </c>
      <c r="H2925" s="10">
        <f t="shared" si="137"/>
        <v>3.5794999999999999</v>
      </c>
    </row>
    <row r="2926" spans="1:8" x14ac:dyDescent="0.2">
      <c r="A2926" s="1">
        <v>49</v>
      </c>
      <c r="B2926" s="1" t="str">
        <v>2020-11-20</v>
      </c>
      <c r="C2926" s="1">
        <v>3.5486</v>
      </c>
      <c r="F2926" s="8">
        <f t="shared" si="135"/>
        <v>49</v>
      </c>
      <c r="G2926" s="9">
        <f t="shared" si="136"/>
        <v>44155</v>
      </c>
      <c r="H2926" s="10">
        <f t="shared" si="137"/>
        <v>3.5486</v>
      </c>
    </row>
    <row r="2927" spans="1:8" x14ac:dyDescent="0.2">
      <c r="A2927" s="1">
        <v>32081</v>
      </c>
      <c r="B2927" s="1" t="str">
        <v>2020-11-20</v>
      </c>
      <c r="C2927" s="1">
        <v>3.6412</v>
      </c>
      <c r="F2927" s="8">
        <f t="shared" si="135"/>
        <v>32081</v>
      </c>
      <c r="G2927" s="9">
        <f t="shared" si="136"/>
        <v>44155</v>
      </c>
      <c r="H2927" s="10">
        <f t="shared" si="137"/>
        <v>3.6412</v>
      </c>
    </row>
    <row r="2928" spans="1:8" x14ac:dyDescent="0.2">
      <c r="A2928" s="1">
        <v>33003</v>
      </c>
      <c r="B2928" s="1" t="str">
        <v>2020-11-20</v>
      </c>
      <c r="C2928" s="1">
        <v>3.5484</v>
      </c>
      <c r="F2928" s="8">
        <f t="shared" si="135"/>
        <v>33003</v>
      </c>
      <c r="G2928" s="9">
        <f t="shared" si="136"/>
        <v>44155</v>
      </c>
      <c r="H2928" s="10">
        <f t="shared" si="137"/>
        <v>3.5484</v>
      </c>
    </row>
    <row r="2929" spans="1:8" x14ac:dyDescent="0.2">
      <c r="A2929" s="1">
        <v>191</v>
      </c>
      <c r="B2929" s="1" t="str">
        <v>2020-11-20</v>
      </c>
      <c r="C2929" s="1">
        <v>3.4148999999999998</v>
      </c>
      <c r="F2929" s="8">
        <f t="shared" si="135"/>
        <v>191</v>
      </c>
      <c r="G2929" s="9">
        <f t="shared" si="136"/>
        <v>44155</v>
      </c>
      <c r="H2929" s="10">
        <f t="shared" si="137"/>
        <v>3.4148999999999998</v>
      </c>
    </row>
    <row r="2930" spans="1:8" x14ac:dyDescent="0.2">
      <c r="A2930" s="1">
        <v>115</v>
      </c>
      <c r="B2930" s="1" t="str">
        <v>2020-11-20</v>
      </c>
      <c r="C2930" s="1">
        <v>3.4045999999999998</v>
      </c>
      <c r="F2930" s="8">
        <f t="shared" si="135"/>
        <v>115</v>
      </c>
      <c r="G2930" s="9">
        <f t="shared" si="136"/>
        <v>44155</v>
      </c>
      <c r="H2930" s="10">
        <f t="shared" si="137"/>
        <v>3.4045999999999998</v>
      </c>
    </row>
    <row r="2931" spans="1:8" x14ac:dyDescent="0.2">
      <c r="A2931" s="1">
        <v>161</v>
      </c>
      <c r="B2931" s="1" t="str">
        <v>2020-11-20</v>
      </c>
      <c r="C2931" s="1">
        <v>3.5486</v>
      </c>
      <c r="F2931" s="8">
        <f t="shared" si="135"/>
        <v>161</v>
      </c>
      <c r="G2931" s="9">
        <f t="shared" si="136"/>
        <v>44155</v>
      </c>
      <c r="H2931" s="10">
        <f t="shared" si="137"/>
        <v>3.5486</v>
      </c>
    </row>
    <row r="2932" spans="1:8" x14ac:dyDescent="0.2">
      <c r="A2932" s="1">
        <v>20</v>
      </c>
      <c r="B2932" s="1" t="str">
        <v>2020-11-20</v>
      </c>
      <c r="C2932" s="1">
        <v>3.4457</v>
      </c>
      <c r="F2932" s="8">
        <f t="shared" si="135"/>
        <v>20</v>
      </c>
      <c r="G2932" s="9">
        <f t="shared" si="136"/>
        <v>44155</v>
      </c>
      <c r="H2932" s="10">
        <f t="shared" si="137"/>
        <v>3.4457</v>
      </c>
    </row>
    <row r="2933" spans="1:8" x14ac:dyDescent="0.2">
      <c r="A2933" s="1">
        <v>32260</v>
      </c>
      <c r="B2933" s="1" t="str">
        <v>2020-11-20</v>
      </c>
      <c r="C2933" s="1">
        <v>3.4868000000000001</v>
      </c>
      <c r="F2933" s="8">
        <f t="shared" si="135"/>
        <v>32260</v>
      </c>
      <c r="G2933" s="9">
        <f t="shared" si="136"/>
        <v>44155</v>
      </c>
      <c r="H2933" s="10">
        <f t="shared" si="137"/>
        <v>3.4868000000000001</v>
      </c>
    </row>
    <row r="2934" spans="1:8" x14ac:dyDescent="0.2">
      <c r="A2934" s="1">
        <v>32121</v>
      </c>
      <c r="B2934" s="1" t="str">
        <v>2020-11-20</v>
      </c>
      <c r="C2934" s="1">
        <v>3.8778000000000001</v>
      </c>
      <c r="F2934" s="8">
        <f t="shared" si="135"/>
        <v>32121</v>
      </c>
      <c r="G2934" s="9">
        <f t="shared" si="136"/>
        <v>44155</v>
      </c>
      <c r="H2934" s="10">
        <f t="shared" si="137"/>
        <v>3.8778000000000001</v>
      </c>
    </row>
    <row r="2935" spans="1:8" x14ac:dyDescent="0.2">
      <c r="A2935" s="1">
        <v>136</v>
      </c>
      <c r="B2935" s="1" t="str">
        <v>2020-11-20</v>
      </c>
      <c r="C2935" s="1">
        <v>3.6103999999999998</v>
      </c>
      <c r="F2935" s="8">
        <f t="shared" si="135"/>
        <v>136</v>
      </c>
      <c r="G2935" s="9">
        <f t="shared" si="136"/>
        <v>44155</v>
      </c>
      <c r="H2935" s="10">
        <f t="shared" si="137"/>
        <v>3.6103999999999998</v>
      </c>
    </row>
    <row r="2936" spans="1:8" x14ac:dyDescent="0.2">
      <c r="A2936" s="1">
        <v>31</v>
      </c>
      <c r="B2936" s="1" t="str">
        <v>2020-11-20</v>
      </c>
      <c r="C2936" s="1">
        <v>3.5383</v>
      </c>
      <c r="F2936" s="8">
        <f t="shared" si="135"/>
        <v>31</v>
      </c>
      <c r="G2936" s="9">
        <f t="shared" si="136"/>
        <v>44155</v>
      </c>
      <c r="H2936" s="10">
        <f t="shared" si="137"/>
        <v>3.5383</v>
      </c>
    </row>
    <row r="2937" spans="1:8" x14ac:dyDescent="0.2">
      <c r="A2937" s="1">
        <v>81</v>
      </c>
      <c r="B2937" s="1" t="str">
        <v>2020-11-20</v>
      </c>
      <c r="C2937" s="1">
        <v>3.2709999999999999</v>
      </c>
      <c r="F2937" s="8">
        <f t="shared" si="135"/>
        <v>81</v>
      </c>
      <c r="G2937" s="9">
        <f t="shared" si="136"/>
        <v>44155</v>
      </c>
      <c r="H2937" s="10">
        <f t="shared" si="137"/>
        <v>3.2709999999999999</v>
      </c>
    </row>
    <row r="2938" spans="1:8" x14ac:dyDescent="0.2">
      <c r="A2938" s="1">
        <v>1</v>
      </c>
      <c r="B2938" s="1" t="str">
        <v>2020-11-20</v>
      </c>
      <c r="C2938" s="1">
        <v>3.4355000000000002</v>
      </c>
      <c r="F2938" s="8">
        <f t="shared" si="135"/>
        <v>1</v>
      </c>
      <c r="G2938" s="9">
        <f t="shared" si="136"/>
        <v>44155</v>
      </c>
      <c r="H2938" s="10">
        <f t="shared" si="137"/>
        <v>3.4355000000000002</v>
      </c>
    </row>
    <row r="2939" spans="1:8" x14ac:dyDescent="0.2">
      <c r="A2939" s="1">
        <v>28</v>
      </c>
      <c r="B2939" s="1" t="str">
        <v>2020-11-20</v>
      </c>
      <c r="C2939" s="1">
        <v>3.3429000000000002</v>
      </c>
      <c r="F2939" s="8">
        <f t="shared" si="135"/>
        <v>28</v>
      </c>
      <c r="G2939" s="9">
        <f t="shared" si="136"/>
        <v>44155</v>
      </c>
      <c r="H2939" s="10">
        <f t="shared" si="137"/>
        <v>3.3429000000000002</v>
      </c>
    </row>
    <row r="2940" spans="1:8" x14ac:dyDescent="0.2">
      <c r="A2940" s="1">
        <v>24</v>
      </c>
      <c r="B2940" s="1" t="str">
        <v>2020-11-20</v>
      </c>
      <c r="C2940" s="1">
        <v>3.5383</v>
      </c>
      <c r="F2940" s="8">
        <f t="shared" si="135"/>
        <v>24</v>
      </c>
      <c r="G2940" s="9">
        <f t="shared" si="136"/>
        <v>44155</v>
      </c>
      <c r="H2940" s="10">
        <f t="shared" si="137"/>
        <v>3.5383</v>
      </c>
    </row>
    <row r="2941" spans="1:8" x14ac:dyDescent="0.2">
      <c r="A2941" s="1">
        <v>33224</v>
      </c>
      <c r="B2941" s="1" t="str">
        <v>2020-11-20</v>
      </c>
      <c r="C2941" s="1">
        <v>3.6720999999999999</v>
      </c>
      <c r="F2941" s="8">
        <f t="shared" si="135"/>
        <v>33224</v>
      </c>
      <c r="G2941" s="9">
        <f t="shared" si="136"/>
        <v>44155</v>
      </c>
      <c r="H2941" s="10">
        <f t="shared" si="137"/>
        <v>3.6720999999999999</v>
      </c>
    </row>
    <row r="2942" spans="1:8" x14ac:dyDescent="0.2">
      <c r="A2942" s="1">
        <v>30250</v>
      </c>
      <c r="B2942" s="1" t="str">
        <v>2020-11-20</v>
      </c>
      <c r="C2942" s="1">
        <v>3.6617999999999999</v>
      </c>
      <c r="F2942" s="8">
        <f t="shared" si="135"/>
        <v>30250</v>
      </c>
      <c r="G2942" s="9">
        <f t="shared" si="136"/>
        <v>44155</v>
      </c>
      <c r="H2942" s="10">
        <f t="shared" si="137"/>
        <v>3.6617999999999999</v>
      </c>
    </row>
    <row r="2943" spans="1:8" x14ac:dyDescent="0.2">
      <c r="A2943" s="1">
        <v>32502</v>
      </c>
      <c r="B2943" s="1" t="str">
        <v>2020-11-20</v>
      </c>
      <c r="C2943" s="1">
        <v>3.528</v>
      </c>
      <c r="F2943" s="8">
        <f t="shared" si="135"/>
        <v>32502</v>
      </c>
      <c r="G2943" s="9">
        <f t="shared" si="136"/>
        <v>44155</v>
      </c>
      <c r="H2943" s="10">
        <f t="shared" si="137"/>
        <v>3.528</v>
      </c>
    </row>
    <row r="2944" spans="1:8" x14ac:dyDescent="0.2">
      <c r="A2944" s="1">
        <v>13250</v>
      </c>
      <c r="B2944" s="1" t="str">
        <v>2020-11-20</v>
      </c>
      <c r="C2944" s="1">
        <v>3.2812999999999999</v>
      </c>
      <c r="F2944" s="8">
        <f t="shared" si="135"/>
        <v>13250</v>
      </c>
      <c r="G2944" s="9">
        <f t="shared" si="136"/>
        <v>44155</v>
      </c>
      <c r="H2944" s="10">
        <f t="shared" si="137"/>
        <v>3.2812999999999999</v>
      </c>
    </row>
    <row r="2945" spans="1:8" x14ac:dyDescent="0.2">
      <c r="A2945" s="1">
        <v>187</v>
      </c>
      <c r="B2945" s="1" t="str">
        <v>2020-11-20</v>
      </c>
      <c r="C2945" s="1">
        <v>3.7544</v>
      </c>
      <c r="F2945" s="8">
        <f t="shared" si="135"/>
        <v>187</v>
      </c>
      <c r="G2945" s="9">
        <f t="shared" si="136"/>
        <v>44155</v>
      </c>
      <c r="H2945" s="10">
        <f t="shared" si="137"/>
        <v>3.7544</v>
      </c>
    </row>
    <row r="2946" spans="1:8" x14ac:dyDescent="0.2">
      <c r="A2946" s="1">
        <v>55</v>
      </c>
      <c r="B2946" s="1" t="str">
        <v>2020-11-20</v>
      </c>
      <c r="C2946" s="1">
        <v>3.528</v>
      </c>
      <c r="F2946" s="8">
        <f t="shared" si="135"/>
        <v>55</v>
      </c>
      <c r="G2946" s="9">
        <f t="shared" si="136"/>
        <v>44155</v>
      </c>
      <c r="H2946" s="10">
        <f t="shared" si="137"/>
        <v>3.528</v>
      </c>
    </row>
    <row r="2947" spans="1:8" x14ac:dyDescent="0.2">
      <c r="A2947" s="1">
        <v>32501</v>
      </c>
      <c r="B2947" s="1" t="str">
        <v>2020-11-20</v>
      </c>
      <c r="C2947" s="1">
        <v>3.5794000000000001</v>
      </c>
      <c r="F2947" s="8">
        <f t="shared" si="135"/>
        <v>32501</v>
      </c>
      <c r="G2947" s="9">
        <f t="shared" si="136"/>
        <v>44155</v>
      </c>
      <c r="H2947" s="10">
        <f t="shared" si="137"/>
        <v>3.5794000000000001</v>
      </c>
    </row>
    <row r="2948" spans="1:8" x14ac:dyDescent="0.2">
      <c r="A2948" s="1">
        <v>10</v>
      </c>
      <c r="B2948" s="1" t="str">
        <v>2020-11-20</v>
      </c>
      <c r="C2948" s="1">
        <v>3.5794999999999999</v>
      </c>
      <c r="F2948" s="8">
        <f t="shared" si="135"/>
        <v>10</v>
      </c>
      <c r="G2948" s="9">
        <f t="shared" si="136"/>
        <v>44155</v>
      </c>
      <c r="H2948" s="10">
        <f t="shared" si="137"/>
        <v>3.5794999999999999</v>
      </c>
    </row>
    <row r="2949" spans="1:8" x14ac:dyDescent="0.2">
      <c r="A2949" s="1">
        <v>68</v>
      </c>
      <c r="B2949" s="1" t="str">
        <v>2020-11-20</v>
      </c>
      <c r="C2949" s="1">
        <v>3.5794999999999999</v>
      </c>
      <c r="F2949" s="8">
        <f t="shared" si="135"/>
        <v>68</v>
      </c>
      <c r="G2949" s="9">
        <f t="shared" si="136"/>
        <v>44155</v>
      </c>
      <c r="H2949" s="10">
        <f t="shared" si="137"/>
        <v>3.5794999999999999</v>
      </c>
    </row>
    <row r="2950" spans="1:8" x14ac:dyDescent="0.2">
      <c r="A2950" s="1">
        <v>9250</v>
      </c>
      <c r="B2950" s="1" t="str">
        <v>2020-11-20</v>
      </c>
      <c r="C2950" s="1">
        <v>3.528</v>
      </c>
      <c r="F2950" s="8">
        <f t="shared" si="135"/>
        <v>9250</v>
      </c>
      <c r="G2950" s="9">
        <f t="shared" si="136"/>
        <v>44155</v>
      </c>
      <c r="H2950" s="10">
        <f t="shared" si="137"/>
        <v>3.528</v>
      </c>
    </row>
    <row r="2951" spans="1:8" x14ac:dyDescent="0.2">
      <c r="A2951" s="1">
        <v>102</v>
      </c>
      <c r="B2951" s="1" t="str">
        <v>2020-11-20</v>
      </c>
      <c r="C2951" s="1">
        <v>3.5691999999999999</v>
      </c>
      <c r="F2951" s="8">
        <f t="shared" si="135"/>
        <v>102</v>
      </c>
      <c r="G2951" s="9">
        <f t="shared" si="136"/>
        <v>44155</v>
      </c>
      <c r="H2951" s="10">
        <f t="shared" si="137"/>
        <v>3.5691999999999999</v>
      </c>
    </row>
    <row r="2952" spans="1:8" x14ac:dyDescent="0.2">
      <c r="A2952" s="1">
        <v>37</v>
      </c>
      <c r="B2952" s="1" t="str">
        <v>2020-11-20</v>
      </c>
      <c r="C2952" s="1">
        <v>3.4971000000000001</v>
      </c>
      <c r="F2952" s="8">
        <f t="shared" si="135"/>
        <v>37</v>
      </c>
      <c r="G2952" s="9">
        <f t="shared" si="136"/>
        <v>44155</v>
      </c>
      <c r="H2952" s="10">
        <f t="shared" si="137"/>
        <v>3.4971000000000001</v>
      </c>
    </row>
    <row r="2953" spans="1:8" x14ac:dyDescent="0.2">
      <c r="A2953" s="1">
        <v>196</v>
      </c>
      <c r="B2953" s="1" t="str">
        <v>2020-11-20</v>
      </c>
      <c r="C2953" s="1">
        <v>3.6309</v>
      </c>
      <c r="F2953" s="8">
        <f t="shared" ref="F2953:F3016" si="138">A2953</f>
        <v>196</v>
      </c>
      <c r="G2953" s="9">
        <f t="shared" ref="G2953:G3016" si="139">DATE(LEFT(B2953,4),MID(B2953,6,2),RIGHT(B2953,2))</f>
        <v>44155</v>
      </c>
      <c r="H2953" s="10">
        <f t="shared" ref="H2953:H3016" si="140">C2953</f>
        <v>3.6309</v>
      </c>
    </row>
    <row r="2954" spans="1:8" x14ac:dyDescent="0.2">
      <c r="A2954" s="1">
        <v>32783</v>
      </c>
      <c r="B2954" s="1" t="str">
        <v>2020-11-20</v>
      </c>
      <c r="C2954" s="1">
        <v>3.5794999999999999</v>
      </c>
      <c r="F2954" s="8">
        <f t="shared" si="138"/>
        <v>32783</v>
      </c>
      <c r="G2954" s="9">
        <f t="shared" si="139"/>
        <v>44155</v>
      </c>
      <c r="H2954" s="10">
        <f t="shared" si="140"/>
        <v>3.5794999999999999</v>
      </c>
    </row>
    <row r="2955" spans="1:8" x14ac:dyDescent="0.2">
      <c r="A2955" s="1">
        <v>33183</v>
      </c>
      <c r="B2955" s="1" t="str">
        <v>2020-11-20</v>
      </c>
      <c r="C2955" s="1">
        <v>3.5203000000000002</v>
      </c>
      <c r="F2955" s="8">
        <f t="shared" si="138"/>
        <v>33183</v>
      </c>
      <c r="G2955" s="9">
        <f t="shared" si="139"/>
        <v>44155</v>
      </c>
      <c r="H2955" s="10">
        <f t="shared" si="140"/>
        <v>3.5203000000000002</v>
      </c>
    </row>
    <row r="2956" spans="1:8" x14ac:dyDescent="0.2">
      <c r="A2956" s="1">
        <v>16</v>
      </c>
      <c r="B2956" s="1" t="str">
        <v>2020-11-20</v>
      </c>
      <c r="C2956" s="1">
        <v>3.4146999999999998</v>
      </c>
      <c r="F2956" s="8">
        <f t="shared" si="138"/>
        <v>16</v>
      </c>
      <c r="G2956" s="9">
        <f t="shared" si="139"/>
        <v>44155</v>
      </c>
      <c r="H2956" s="10">
        <f t="shared" si="140"/>
        <v>3.4146999999999998</v>
      </c>
    </row>
    <row r="2957" spans="1:8" x14ac:dyDescent="0.2">
      <c r="A2957" s="1">
        <v>32583</v>
      </c>
      <c r="B2957" s="1" t="str">
        <v>2020-11-20</v>
      </c>
      <c r="C2957" s="1">
        <v>3.4971000000000001</v>
      </c>
      <c r="F2957" s="8">
        <f t="shared" si="138"/>
        <v>32583</v>
      </c>
      <c r="G2957" s="9">
        <f t="shared" si="139"/>
        <v>44155</v>
      </c>
      <c r="H2957" s="10">
        <f t="shared" si="140"/>
        <v>3.4971000000000001</v>
      </c>
    </row>
    <row r="2958" spans="1:8" x14ac:dyDescent="0.2">
      <c r="A2958" s="1">
        <v>32340</v>
      </c>
      <c r="B2958" s="1" t="str">
        <v>2020-11-20</v>
      </c>
      <c r="C2958" s="1">
        <v>3.4458000000000002</v>
      </c>
      <c r="F2958" s="8">
        <f t="shared" si="138"/>
        <v>32340</v>
      </c>
      <c r="G2958" s="9">
        <f t="shared" si="139"/>
        <v>44155</v>
      </c>
      <c r="H2958" s="10">
        <f t="shared" si="140"/>
        <v>3.4458000000000002</v>
      </c>
    </row>
    <row r="2959" spans="1:8" x14ac:dyDescent="0.2">
      <c r="A2959" s="1">
        <v>150</v>
      </c>
      <c r="B2959" s="1" t="str">
        <v>2020-11-20</v>
      </c>
      <c r="C2959" s="1">
        <v>3.4032</v>
      </c>
      <c r="F2959" s="8">
        <f t="shared" si="138"/>
        <v>150</v>
      </c>
      <c r="G2959" s="9">
        <f t="shared" si="139"/>
        <v>44155</v>
      </c>
      <c r="H2959" s="10">
        <f t="shared" si="140"/>
        <v>3.4032</v>
      </c>
    </row>
    <row r="2960" spans="1:8" x14ac:dyDescent="0.2">
      <c r="A2960" s="1">
        <v>137</v>
      </c>
      <c r="B2960" s="1" t="str">
        <v>2020-11-20</v>
      </c>
      <c r="C2960" s="1">
        <v>3.4971999999999999</v>
      </c>
      <c r="F2960" s="8">
        <f t="shared" si="138"/>
        <v>137</v>
      </c>
      <c r="G2960" s="9">
        <f t="shared" si="139"/>
        <v>44155</v>
      </c>
      <c r="H2960" s="10">
        <f t="shared" si="140"/>
        <v>3.4971999999999999</v>
      </c>
    </row>
    <row r="2961" spans="1:8" x14ac:dyDescent="0.2">
      <c r="A2961" s="1">
        <v>59</v>
      </c>
      <c r="B2961" s="1" t="str">
        <v>2020-11-20</v>
      </c>
      <c r="C2961" s="1">
        <v>3.5794999999999999</v>
      </c>
      <c r="F2961" s="8">
        <f t="shared" si="138"/>
        <v>59</v>
      </c>
      <c r="G2961" s="9">
        <f t="shared" si="139"/>
        <v>44155</v>
      </c>
      <c r="H2961" s="10">
        <f t="shared" si="140"/>
        <v>3.5794999999999999</v>
      </c>
    </row>
    <row r="2962" spans="1:8" x14ac:dyDescent="0.2">
      <c r="A2962" s="1">
        <v>90</v>
      </c>
      <c r="B2962" s="1" t="str">
        <v>2020-11-20</v>
      </c>
      <c r="C2962" s="1">
        <v>3.4765000000000001</v>
      </c>
      <c r="F2962" s="8">
        <f t="shared" si="138"/>
        <v>90</v>
      </c>
      <c r="G2962" s="9">
        <f t="shared" si="139"/>
        <v>44155</v>
      </c>
      <c r="H2962" s="10">
        <f t="shared" si="140"/>
        <v>3.4765000000000001</v>
      </c>
    </row>
    <row r="2963" spans="1:8" x14ac:dyDescent="0.2">
      <c r="A2963" s="1">
        <v>146</v>
      </c>
      <c r="B2963" s="1" t="str">
        <v>2020-11-20</v>
      </c>
      <c r="C2963" s="1">
        <v>3.5486</v>
      </c>
      <c r="F2963" s="8">
        <f t="shared" si="138"/>
        <v>146</v>
      </c>
      <c r="G2963" s="9">
        <f t="shared" si="139"/>
        <v>44155</v>
      </c>
      <c r="H2963" s="10">
        <f t="shared" si="140"/>
        <v>3.5486</v>
      </c>
    </row>
    <row r="2964" spans="1:8" x14ac:dyDescent="0.2">
      <c r="A2964" s="1">
        <v>143</v>
      </c>
      <c r="B2964" s="1" t="str">
        <v>2020-11-20</v>
      </c>
      <c r="C2964" s="1">
        <v>3.6412</v>
      </c>
      <c r="F2964" s="8">
        <f t="shared" si="138"/>
        <v>143</v>
      </c>
      <c r="G2964" s="9">
        <f t="shared" si="139"/>
        <v>44155</v>
      </c>
      <c r="H2964" s="10">
        <f t="shared" si="140"/>
        <v>3.6412</v>
      </c>
    </row>
    <row r="2965" spans="1:8" x14ac:dyDescent="0.2">
      <c r="A2965" s="1">
        <v>78</v>
      </c>
      <c r="B2965" s="1" t="str">
        <v>2020-11-20</v>
      </c>
      <c r="C2965" s="1">
        <v>3.528</v>
      </c>
      <c r="F2965" s="8">
        <f t="shared" si="138"/>
        <v>78</v>
      </c>
      <c r="G2965" s="9">
        <f t="shared" si="139"/>
        <v>44155</v>
      </c>
      <c r="H2965" s="10">
        <f t="shared" si="140"/>
        <v>3.528</v>
      </c>
    </row>
    <row r="2966" spans="1:8" x14ac:dyDescent="0.2">
      <c r="A2966" s="1">
        <v>110</v>
      </c>
      <c r="B2966" s="1" t="str">
        <v>2020-11-20</v>
      </c>
      <c r="C2966" s="1">
        <v>3.5794999999999999</v>
      </c>
      <c r="F2966" s="8">
        <f t="shared" si="138"/>
        <v>110</v>
      </c>
      <c r="G2966" s="9">
        <f t="shared" si="139"/>
        <v>44155</v>
      </c>
      <c r="H2966" s="10">
        <f t="shared" si="140"/>
        <v>3.5794999999999999</v>
      </c>
    </row>
    <row r="2967" spans="1:8" x14ac:dyDescent="0.2">
      <c r="A2967" s="1">
        <v>30400</v>
      </c>
      <c r="B2967" s="1" t="str">
        <v>2020-11-20</v>
      </c>
      <c r="C2967" s="1">
        <v>3.6766000000000001</v>
      </c>
      <c r="F2967" s="8">
        <f t="shared" si="138"/>
        <v>30400</v>
      </c>
      <c r="G2967" s="9">
        <f t="shared" si="139"/>
        <v>44155</v>
      </c>
      <c r="H2967" s="10">
        <f t="shared" si="140"/>
        <v>3.6766000000000001</v>
      </c>
    </row>
    <row r="2968" spans="1:8" x14ac:dyDescent="0.2">
      <c r="A2968" s="1">
        <v>33103</v>
      </c>
      <c r="B2968" s="1" t="str">
        <v>2020-11-20</v>
      </c>
      <c r="C2968" s="1">
        <v>3.5583999999999998</v>
      </c>
      <c r="F2968" s="8">
        <f t="shared" si="138"/>
        <v>33103</v>
      </c>
      <c r="G2968" s="9">
        <f t="shared" si="139"/>
        <v>44155</v>
      </c>
      <c r="H2968" s="10">
        <f t="shared" si="140"/>
        <v>3.5583999999999998</v>
      </c>
    </row>
    <row r="2969" spans="1:8" x14ac:dyDescent="0.2">
      <c r="A2969" s="1">
        <v>33130</v>
      </c>
      <c r="B2969" s="1" t="str">
        <v>2020-11-20</v>
      </c>
      <c r="C2969" s="1">
        <v>3.5589</v>
      </c>
      <c r="F2969" s="8">
        <f t="shared" si="138"/>
        <v>33130</v>
      </c>
      <c r="G2969" s="9">
        <f t="shared" si="139"/>
        <v>44155</v>
      </c>
      <c r="H2969" s="10">
        <f t="shared" si="140"/>
        <v>3.5589</v>
      </c>
    </row>
    <row r="2970" spans="1:8" x14ac:dyDescent="0.2">
      <c r="A2970" s="1">
        <v>32803</v>
      </c>
      <c r="B2970" s="1" t="str">
        <v>2020-11-20</v>
      </c>
      <c r="C2970" s="1">
        <v>3.528</v>
      </c>
      <c r="F2970" s="8">
        <f t="shared" si="138"/>
        <v>32803</v>
      </c>
      <c r="G2970" s="9">
        <f t="shared" si="139"/>
        <v>44155</v>
      </c>
      <c r="H2970" s="10">
        <f t="shared" si="140"/>
        <v>3.528</v>
      </c>
    </row>
    <row r="2971" spans="1:8" x14ac:dyDescent="0.2">
      <c r="A2971" s="1">
        <v>33129</v>
      </c>
      <c r="B2971" s="1" t="str">
        <v>2020-11-20</v>
      </c>
      <c r="C2971" s="1">
        <v>3.6103999999999998</v>
      </c>
      <c r="F2971" s="8">
        <f t="shared" si="138"/>
        <v>33129</v>
      </c>
      <c r="G2971" s="9">
        <f t="shared" si="139"/>
        <v>44155</v>
      </c>
      <c r="H2971" s="10">
        <f t="shared" si="140"/>
        <v>3.6103999999999998</v>
      </c>
    </row>
    <row r="2972" spans="1:8" x14ac:dyDescent="0.2">
      <c r="A2972" s="1">
        <v>32521</v>
      </c>
      <c r="B2972" s="1" t="str">
        <v>2020-11-20</v>
      </c>
      <c r="C2972" s="1">
        <v>2.7988</v>
      </c>
      <c r="F2972" s="8">
        <f t="shared" si="138"/>
        <v>32521</v>
      </c>
      <c r="G2972" s="9">
        <f t="shared" si="139"/>
        <v>44155</v>
      </c>
      <c r="H2972" s="10">
        <f t="shared" si="140"/>
        <v>2.7988</v>
      </c>
    </row>
    <row r="2973" spans="1:8" x14ac:dyDescent="0.2">
      <c r="A2973" s="1">
        <v>32</v>
      </c>
      <c r="B2973" s="1" t="str">
        <v>2020-11-20</v>
      </c>
      <c r="C2973" s="1">
        <v>3.5589</v>
      </c>
      <c r="F2973" s="8">
        <f t="shared" si="138"/>
        <v>32</v>
      </c>
      <c r="G2973" s="9">
        <f t="shared" si="139"/>
        <v>44155</v>
      </c>
      <c r="H2973" s="10">
        <f t="shared" si="140"/>
        <v>3.5589</v>
      </c>
    </row>
    <row r="2974" spans="1:8" x14ac:dyDescent="0.2">
      <c r="A2974" s="1">
        <v>2250</v>
      </c>
      <c r="B2974" s="1" t="str">
        <v>2020-11-20</v>
      </c>
      <c r="C2974" s="1">
        <v>3.7544</v>
      </c>
      <c r="F2974" s="8">
        <f t="shared" si="138"/>
        <v>2250</v>
      </c>
      <c r="G2974" s="9">
        <f t="shared" si="139"/>
        <v>44155</v>
      </c>
      <c r="H2974" s="10">
        <f t="shared" si="140"/>
        <v>3.7544</v>
      </c>
    </row>
    <row r="2975" spans="1:8" x14ac:dyDescent="0.2">
      <c r="A2975" s="1">
        <v>32582</v>
      </c>
      <c r="B2975" s="1" t="str">
        <v>2020-11-20</v>
      </c>
      <c r="C2975" s="1">
        <v>3.6926999999999999</v>
      </c>
      <c r="F2975" s="8">
        <f t="shared" si="138"/>
        <v>32582</v>
      </c>
      <c r="G2975" s="9">
        <f t="shared" si="139"/>
        <v>44155</v>
      </c>
      <c r="H2975" s="10">
        <f t="shared" si="140"/>
        <v>3.6926999999999999</v>
      </c>
    </row>
    <row r="2976" spans="1:8" x14ac:dyDescent="0.2">
      <c r="A2976" s="1">
        <v>32560</v>
      </c>
      <c r="B2976" s="1" t="str">
        <v>2020-11-23</v>
      </c>
      <c r="C2976" s="1">
        <v>3.4868999999999999</v>
      </c>
      <c r="F2976" s="8">
        <f t="shared" si="138"/>
        <v>32560</v>
      </c>
      <c r="G2976" s="9">
        <f t="shared" si="139"/>
        <v>44158</v>
      </c>
      <c r="H2976" s="10">
        <f t="shared" si="140"/>
        <v>3.4868999999999999</v>
      </c>
    </row>
    <row r="2977" spans="1:8" x14ac:dyDescent="0.2">
      <c r="A2977" s="1">
        <v>32360</v>
      </c>
      <c r="B2977" s="1" t="str">
        <v>2020-11-23</v>
      </c>
      <c r="C2977" s="1">
        <v>3.4971999999999999</v>
      </c>
      <c r="F2977" s="8">
        <f t="shared" si="138"/>
        <v>32360</v>
      </c>
      <c r="G2977" s="9">
        <f t="shared" si="139"/>
        <v>44158</v>
      </c>
      <c r="H2977" s="10">
        <f t="shared" si="140"/>
        <v>3.4971999999999999</v>
      </c>
    </row>
    <row r="2978" spans="1:8" x14ac:dyDescent="0.2">
      <c r="A2978" s="1">
        <v>77</v>
      </c>
      <c r="B2978" s="1" t="str">
        <v>2020-11-23</v>
      </c>
      <c r="C2978" s="1">
        <v>3.4045999999999998</v>
      </c>
      <c r="F2978" s="8">
        <f t="shared" si="138"/>
        <v>77</v>
      </c>
      <c r="G2978" s="9">
        <f t="shared" si="139"/>
        <v>44158</v>
      </c>
      <c r="H2978" s="10">
        <f t="shared" si="140"/>
        <v>3.4045999999999998</v>
      </c>
    </row>
    <row r="2979" spans="1:8" x14ac:dyDescent="0.2">
      <c r="A2979" s="1">
        <v>32082</v>
      </c>
      <c r="B2979" s="1" t="str">
        <v>2020-11-23</v>
      </c>
      <c r="C2979" s="1">
        <v>3.5897999999999999</v>
      </c>
      <c r="F2979" s="8">
        <f t="shared" si="138"/>
        <v>32082</v>
      </c>
      <c r="G2979" s="9">
        <f t="shared" si="139"/>
        <v>44158</v>
      </c>
      <c r="H2979" s="10">
        <f t="shared" si="140"/>
        <v>3.5897999999999999</v>
      </c>
    </row>
    <row r="2980" spans="1:8" x14ac:dyDescent="0.2">
      <c r="A2980" s="1">
        <v>8</v>
      </c>
      <c r="B2980" s="1" t="str">
        <v>2020-11-23</v>
      </c>
      <c r="C2980" s="1">
        <v>3.5794999999999999</v>
      </c>
      <c r="F2980" s="8">
        <f t="shared" si="138"/>
        <v>8</v>
      </c>
      <c r="G2980" s="9">
        <f t="shared" si="139"/>
        <v>44158</v>
      </c>
      <c r="H2980" s="10">
        <f t="shared" si="140"/>
        <v>3.5794999999999999</v>
      </c>
    </row>
    <row r="2981" spans="1:8" x14ac:dyDescent="0.2">
      <c r="A2981" s="1">
        <v>32421</v>
      </c>
      <c r="B2981" s="1" t="str">
        <v>2020-11-23</v>
      </c>
      <c r="C2981" s="1">
        <v>3.6162000000000001</v>
      </c>
      <c r="F2981" s="8">
        <f t="shared" si="138"/>
        <v>32421</v>
      </c>
      <c r="G2981" s="9">
        <f t="shared" si="139"/>
        <v>44158</v>
      </c>
      <c r="H2981" s="10">
        <f t="shared" si="140"/>
        <v>3.6162000000000001</v>
      </c>
    </row>
    <row r="2982" spans="1:8" x14ac:dyDescent="0.2">
      <c r="A2982" s="1">
        <v>32983</v>
      </c>
      <c r="B2982" s="1" t="str">
        <v>2020-11-23</v>
      </c>
      <c r="C2982" s="1">
        <v>3.8879000000000001</v>
      </c>
      <c r="F2982" s="8">
        <f t="shared" si="138"/>
        <v>32983</v>
      </c>
      <c r="G2982" s="9">
        <f t="shared" si="139"/>
        <v>44158</v>
      </c>
      <c r="H2982" s="10">
        <f t="shared" si="140"/>
        <v>3.8879000000000001</v>
      </c>
    </row>
    <row r="2983" spans="1:8" x14ac:dyDescent="0.2">
      <c r="A2983" s="1">
        <v>32420</v>
      </c>
      <c r="B2983" s="1" t="str">
        <v>2020-11-23</v>
      </c>
      <c r="C2983" s="1">
        <v>3.4918999999999998</v>
      </c>
      <c r="F2983" s="8">
        <f t="shared" si="138"/>
        <v>32420</v>
      </c>
      <c r="G2983" s="9">
        <f t="shared" si="139"/>
        <v>44158</v>
      </c>
      <c r="H2983" s="10">
        <f t="shared" si="140"/>
        <v>3.4918999999999998</v>
      </c>
    </row>
    <row r="2984" spans="1:8" x14ac:dyDescent="0.2">
      <c r="A2984" s="1">
        <v>133</v>
      </c>
      <c r="B2984" s="1" t="str">
        <v>2020-11-23</v>
      </c>
      <c r="C2984" s="1">
        <v>3.5074000000000001</v>
      </c>
      <c r="F2984" s="8">
        <f t="shared" si="138"/>
        <v>133</v>
      </c>
      <c r="G2984" s="9">
        <f t="shared" si="139"/>
        <v>44158</v>
      </c>
      <c r="H2984" s="10">
        <f t="shared" si="140"/>
        <v>3.5074000000000001</v>
      </c>
    </row>
    <row r="2985" spans="1:8" x14ac:dyDescent="0.2">
      <c r="A2985" s="1">
        <v>34</v>
      </c>
      <c r="B2985" s="1" t="str">
        <v>2020-11-23</v>
      </c>
      <c r="C2985" s="1">
        <v>3.4971999999999999</v>
      </c>
      <c r="F2985" s="8">
        <f t="shared" si="138"/>
        <v>34</v>
      </c>
      <c r="G2985" s="9">
        <f t="shared" si="139"/>
        <v>44158</v>
      </c>
      <c r="H2985" s="10">
        <f t="shared" si="140"/>
        <v>3.4971999999999999</v>
      </c>
    </row>
    <row r="2986" spans="1:8" x14ac:dyDescent="0.2">
      <c r="A2986" s="1">
        <v>99</v>
      </c>
      <c r="B2986" s="1" t="str">
        <v>2020-11-23</v>
      </c>
      <c r="C2986" s="1">
        <v>3.2915000000000001</v>
      </c>
      <c r="F2986" s="8">
        <f t="shared" si="138"/>
        <v>99</v>
      </c>
      <c r="G2986" s="9">
        <f t="shared" si="139"/>
        <v>44158</v>
      </c>
      <c r="H2986" s="10">
        <f t="shared" si="140"/>
        <v>3.2915000000000001</v>
      </c>
    </row>
    <row r="2987" spans="1:8" x14ac:dyDescent="0.2">
      <c r="A2987" s="1">
        <v>30350</v>
      </c>
      <c r="B2987" s="1" t="str">
        <v>2020-11-23</v>
      </c>
      <c r="C2987" s="1">
        <v>3.3944000000000001</v>
      </c>
      <c r="F2987" s="8">
        <f t="shared" si="138"/>
        <v>30350</v>
      </c>
      <c r="G2987" s="9">
        <f t="shared" si="139"/>
        <v>44158</v>
      </c>
      <c r="H2987" s="10">
        <f t="shared" si="140"/>
        <v>3.3944000000000001</v>
      </c>
    </row>
    <row r="2988" spans="1:8" x14ac:dyDescent="0.2">
      <c r="A2988" s="1">
        <v>33223</v>
      </c>
      <c r="B2988" s="1" t="str">
        <v>2020-11-23</v>
      </c>
      <c r="C2988" s="1">
        <v>3.3426999999999998</v>
      </c>
      <c r="F2988" s="8">
        <f t="shared" si="138"/>
        <v>33223</v>
      </c>
      <c r="G2988" s="9">
        <f t="shared" si="139"/>
        <v>44158</v>
      </c>
      <c r="H2988" s="10">
        <f t="shared" si="140"/>
        <v>3.3426999999999998</v>
      </c>
    </row>
    <row r="2989" spans="1:8" x14ac:dyDescent="0.2">
      <c r="A2989" s="1">
        <v>32040</v>
      </c>
      <c r="B2989" s="1" t="str">
        <v>2020-11-23</v>
      </c>
      <c r="C2989" s="1">
        <v>3.6597</v>
      </c>
      <c r="F2989" s="8">
        <f t="shared" si="138"/>
        <v>32040</v>
      </c>
      <c r="G2989" s="9">
        <f t="shared" si="139"/>
        <v>44158</v>
      </c>
      <c r="H2989" s="10">
        <f t="shared" si="140"/>
        <v>3.6597</v>
      </c>
    </row>
    <row r="2990" spans="1:8" x14ac:dyDescent="0.2">
      <c r="A2990" s="1">
        <v>178</v>
      </c>
      <c r="B2990" s="1" t="str">
        <v>2020-11-23</v>
      </c>
      <c r="C2990" s="1">
        <v>3.6335000000000002</v>
      </c>
      <c r="F2990" s="8">
        <f t="shared" si="138"/>
        <v>178</v>
      </c>
      <c r="G2990" s="9">
        <f t="shared" si="139"/>
        <v>44158</v>
      </c>
      <c r="H2990" s="10">
        <f t="shared" si="140"/>
        <v>3.6335000000000002</v>
      </c>
    </row>
    <row r="2991" spans="1:8" x14ac:dyDescent="0.2">
      <c r="A2991" s="1">
        <v>33103</v>
      </c>
      <c r="B2991" s="1" t="str">
        <v>2020-11-24</v>
      </c>
      <c r="C2991" s="1">
        <v>3.7126999999999999</v>
      </c>
      <c r="F2991" s="8">
        <f t="shared" si="138"/>
        <v>33103</v>
      </c>
      <c r="G2991" s="9">
        <f t="shared" si="139"/>
        <v>44159</v>
      </c>
      <c r="H2991" s="10">
        <f t="shared" si="140"/>
        <v>3.7126999999999999</v>
      </c>
    </row>
    <row r="2992" spans="1:8" x14ac:dyDescent="0.2">
      <c r="A2992" s="1">
        <v>32420</v>
      </c>
      <c r="B2992" s="1" t="str">
        <v>2020-11-24</v>
      </c>
      <c r="C2992" s="1">
        <v>3.6051000000000002</v>
      </c>
      <c r="F2992" s="8">
        <f t="shared" si="138"/>
        <v>32420</v>
      </c>
      <c r="G2992" s="9">
        <f t="shared" si="139"/>
        <v>44159</v>
      </c>
      <c r="H2992" s="10">
        <f t="shared" si="140"/>
        <v>3.6051000000000002</v>
      </c>
    </row>
    <row r="2993" spans="1:8" x14ac:dyDescent="0.2">
      <c r="A2993" s="1">
        <v>147</v>
      </c>
      <c r="B2993" s="1" t="str">
        <v>2020-11-24</v>
      </c>
      <c r="C2993" s="1">
        <v>4.0018000000000002</v>
      </c>
      <c r="F2993" s="8">
        <f t="shared" si="138"/>
        <v>147</v>
      </c>
      <c r="G2993" s="9">
        <f t="shared" si="139"/>
        <v>44159</v>
      </c>
      <c r="H2993" s="10">
        <f t="shared" si="140"/>
        <v>4.0018000000000002</v>
      </c>
    </row>
    <row r="2994" spans="1:8" x14ac:dyDescent="0.2">
      <c r="A2994" s="1">
        <v>32964</v>
      </c>
      <c r="B2994" s="1" t="str">
        <v>2020-11-24</v>
      </c>
      <c r="C2994" s="1">
        <v>3.4923999999999999</v>
      </c>
      <c r="F2994" s="8">
        <f t="shared" si="138"/>
        <v>32964</v>
      </c>
      <c r="G2994" s="9">
        <f t="shared" si="139"/>
        <v>44159</v>
      </c>
      <c r="H2994" s="10">
        <f t="shared" si="140"/>
        <v>3.4923999999999999</v>
      </c>
    </row>
    <row r="2995" spans="1:8" x14ac:dyDescent="0.2">
      <c r="A2995" s="1">
        <v>37</v>
      </c>
      <c r="B2995" s="1" t="str">
        <v>2020-11-24</v>
      </c>
      <c r="C2995" s="1">
        <v>3.806</v>
      </c>
      <c r="F2995" s="8">
        <f t="shared" si="138"/>
        <v>37</v>
      </c>
      <c r="G2995" s="9">
        <f t="shared" si="139"/>
        <v>44159</v>
      </c>
      <c r="H2995" s="10">
        <f t="shared" si="140"/>
        <v>3.806</v>
      </c>
    </row>
    <row r="2996" spans="1:8" x14ac:dyDescent="0.2">
      <c r="A2996" s="1">
        <v>182</v>
      </c>
      <c r="B2996" s="1" t="str">
        <v>2020-11-24</v>
      </c>
      <c r="C2996" s="1">
        <v>3.7442000000000002</v>
      </c>
      <c r="F2996" s="8">
        <f t="shared" si="138"/>
        <v>182</v>
      </c>
      <c r="G2996" s="9">
        <f t="shared" si="139"/>
        <v>44159</v>
      </c>
      <c r="H2996" s="10">
        <f t="shared" si="140"/>
        <v>3.7442000000000002</v>
      </c>
    </row>
    <row r="2997" spans="1:8" x14ac:dyDescent="0.2">
      <c r="A2997" s="1">
        <v>32400</v>
      </c>
      <c r="B2997" s="1" t="str">
        <v>2020-11-24</v>
      </c>
      <c r="C2997" s="1">
        <v>3.7235999999999998</v>
      </c>
      <c r="F2997" s="8">
        <f t="shared" si="138"/>
        <v>32400</v>
      </c>
      <c r="G2997" s="9">
        <f t="shared" si="139"/>
        <v>44159</v>
      </c>
      <c r="H2997" s="10">
        <f t="shared" si="140"/>
        <v>3.7235999999999998</v>
      </c>
    </row>
    <row r="2998" spans="1:8" x14ac:dyDescent="0.2">
      <c r="A2998" s="1">
        <v>32082</v>
      </c>
      <c r="B2998" s="1" t="str">
        <v>2020-11-24</v>
      </c>
      <c r="C2998" s="1">
        <v>3.7751000000000001</v>
      </c>
      <c r="F2998" s="8">
        <f t="shared" si="138"/>
        <v>32082</v>
      </c>
      <c r="G2998" s="9">
        <f t="shared" si="139"/>
        <v>44159</v>
      </c>
      <c r="H2998" s="10">
        <f t="shared" si="140"/>
        <v>3.7751000000000001</v>
      </c>
    </row>
    <row r="2999" spans="1:8" x14ac:dyDescent="0.2">
      <c r="A2999" s="1">
        <v>187</v>
      </c>
      <c r="B2999" s="1" t="str">
        <v>2020-11-24</v>
      </c>
      <c r="C2999" s="1">
        <v>3.7852999999999999</v>
      </c>
      <c r="F2999" s="8">
        <f t="shared" si="138"/>
        <v>187</v>
      </c>
      <c r="G2999" s="9">
        <f t="shared" si="139"/>
        <v>44159</v>
      </c>
      <c r="H2999" s="10">
        <f t="shared" si="140"/>
        <v>3.7852999999999999</v>
      </c>
    </row>
    <row r="3000" spans="1:8" x14ac:dyDescent="0.2">
      <c r="A3000" s="1">
        <v>32081</v>
      </c>
      <c r="B3000" s="1" t="str">
        <v>2020-11-24</v>
      </c>
      <c r="C3000" s="1">
        <v>3.9192999999999998</v>
      </c>
      <c r="F3000" s="8">
        <f t="shared" si="138"/>
        <v>32081</v>
      </c>
      <c r="G3000" s="9">
        <f t="shared" si="139"/>
        <v>44159</v>
      </c>
      <c r="H3000" s="10">
        <f t="shared" si="140"/>
        <v>3.9192999999999998</v>
      </c>
    </row>
    <row r="3001" spans="1:8" x14ac:dyDescent="0.2">
      <c r="A3001" s="1">
        <v>77</v>
      </c>
      <c r="B3001" s="1" t="str">
        <v>2020-11-25</v>
      </c>
      <c r="C3001" s="1">
        <v>3.5072999999999999</v>
      </c>
      <c r="F3001" s="8">
        <f t="shared" si="138"/>
        <v>77</v>
      </c>
      <c r="G3001" s="9">
        <f t="shared" si="139"/>
        <v>44160</v>
      </c>
      <c r="H3001" s="10">
        <f t="shared" si="140"/>
        <v>3.5072999999999999</v>
      </c>
    </row>
    <row r="3002" spans="1:8" x14ac:dyDescent="0.2">
      <c r="A3002" s="1">
        <v>32200</v>
      </c>
      <c r="B3002" s="1" t="str">
        <v>2020-11-25</v>
      </c>
      <c r="C3002" s="1">
        <v>3.8369</v>
      </c>
      <c r="F3002" s="8">
        <f t="shared" si="138"/>
        <v>32200</v>
      </c>
      <c r="G3002" s="9">
        <f t="shared" si="139"/>
        <v>44160</v>
      </c>
      <c r="H3002" s="10">
        <f t="shared" si="140"/>
        <v>3.8369</v>
      </c>
    </row>
    <row r="3003" spans="1:8" x14ac:dyDescent="0.2">
      <c r="A3003" s="1">
        <v>99</v>
      </c>
      <c r="B3003" s="1" t="str">
        <v>2020-11-26</v>
      </c>
      <c r="C3003" s="1">
        <v>3.3942000000000001</v>
      </c>
      <c r="F3003" s="8">
        <f t="shared" si="138"/>
        <v>99</v>
      </c>
      <c r="G3003" s="9">
        <f t="shared" si="139"/>
        <v>44161</v>
      </c>
      <c r="H3003" s="10">
        <f t="shared" si="140"/>
        <v>3.3942000000000001</v>
      </c>
    </row>
    <row r="3004" spans="1:8" x14ac:dyDescent="0.2">
      <c r="A3004" s="1">
        <v>150</v>
      </c>
      <c r="B3004" s="1" t="str">
        <v>2020-11-26</v>
      </c>
      <c r="C3004" s="1">
        <v>3.4710000000000001</v>
      </c>
      <c r="F3004" s="8">
        <f t="shared" si="138"/>
        <v>150</v>
      </c>
      <c r="G3004" s="9">
        <f t="shared" si="139"/>
        <v>44161</v>
      </c>
      <c r="H3004" s="10">
        <f t="shared" si="140"/>
        <v>3.4710000000000001</v>
      </c>
    </row>
    <row r="3005" spans="1:8" x14ac:dyDescent="0.2">
      <c r="A3005" s="1">
        <v>150</v>
      </c>
      <c r="B3005" s="1" t="str">
        <v>2020-11-27</v>
      </c>
      <c r="C3005" s="1">
        <v>3.4710000000000001</v>
      </c>
      <c r="F3005" s="8">
        <f t="shared" si="138"/>
        <v>150</v>
      </c>
      <c r="G3005" s="9">
        <f t="shared" si="139"/>
        <v>44162</v>
      </c>
      <c r="H3005" s="10">
        <f t="shared" si="140"/>
        <v>3.4710000000000001</v>
      </c>
    </row>
    <row r="3006" spans="1:8" x14ac:dyDescent="0.2">
      <c r="A3006" s="1">
        <v>33083</v>
      </c>
      <c r="B3006" s="1" t="str">
        <v>2020-11-27</v>
      </c>
      <c r="C3006" s="1">
        <v>3.5185</v>
      </c>
      <c r="F3006" s="8">
        <f t="shared" si="138"/>
        <v>33083</v>
      </c>
      <c r="G3006" s="9">
        <f t="shared" si="139"/>
        <v>44162</v>
      </c>
      <c r="H3006" s="10">
        <f t="shared" si="140"/>
        <v>3.5185</v>
      </c>
    </row>
    <row r="3007" spans="1:8" x14ac:dyDescent="0.2">
      <c r="A3007" s="1">
        <v>157</v>
      </c>
      <c r="B3007" s="1" t="str">
        <v>2020-11-27</v>
      </c>
      <c r="C3007" s="1">
        <v>3.6514000000000002</v>
      </c>
      <c r="F3007" s="8">
        <f t="shared" si="138"/>
        <v>157</v>
      </c>
      <c r="G3007" s="9">
        <f t="shared" si="139"/>
        <v>44162</v>
      </c>
      <c r="H3007" s="10">
        <f t="shared" si="140"/>
        <v>3.6514000000000002</v>
      </c>
    </row>
    <row r="3008" spans="1:8" x14ac:dyDescent="0.2">
      <c r="A3008" s="1">
        <v>32082</v>
      </c>
      <c r="B3008" s="1" t="str">
        <v>2020-11-27</v>
      </c>
      <c r="C3008" s="1">
        <v>3.7957000000000001</v>
      </c>
      <c r="F3008" s="8">
        <f t="shared" si="138"/>
        <v>32082</v>
      </c>
      <c r="G3008" s="9">
        <f t="shared" si="139"/>
        <v>44162</v>
      </c>
      <c r="H3008" s="10">
        <f t="shared" si="140"/>
        <v>3.7957000000000001</v>
      </c>
    </row>
    <row r="3009" spans="1:8" x14ac:dyDescent="0.2">
      <c r="A3009" s="1">
        <v>13250</v>
      </c>
      <c r="B3009" s="1" t="str">
        <v>2020-11-27</v>
      </c>
      <c r="C3009" s="1">
        <v>3.8058999999999998</v>
      </c>
      <c r="F3009" s="8">
        <f t="shared" si="138"/>
        <v>13250</v>
      </c>
      <c r="G3009" s="9">
        <f t="shared" si="139"/>
        <v>44162</v>
      </c>
      <c r="H3009" s="10">
        <f t="shared" si="140"/>
        <v>3.8058999999999998</v>
      </c>
    </row>
    <row r="3010" spans="1:8" x14ac:dyDescent="0.2">
      <c r="A3010" s="1">
        <v>12250</v>
      </c>
      <c r="B3010" s="1" t="str">
        <v>2020-11-27</v>
      </c>
      <c r="C3010" s="1">
        <v>3.5</v>
      </c>
      <c r="F3010" s="8">
        <f t="shared" si="138"/>
        <v>12250</v>
      </c>
      <c r="G3010" s="9">
        <f t="shared" si="139"/>
        <v>44162</v>
      </c>
      <c r="H3010" s="10">
        <f t="shared" si="140"/>
        <v>3.5</v>
      </c>
    </row>
    <row r="3011" spans="1:8" x14ac:dyDescent="0.2">
      <c r="A3011" s="1">
        <v>133</v>
      </c>
      <c r="B3011" s="1" t="str">
        <v>2020-11-27</v>
      </c>
      <c r="C3011" s="1">
        <v>3.7751000000000001</v>
      </c>
      <c r="F3011" s="8">
        <f t="shared" si="138"/>
        <v>133</v>
      </c>
      <c r="G3011" s="9">
        <f t="shared" si="139"/>
        <v>44162</v>
      </c>
      <c r="H3011" s="10">
        <f t="shared" si="140"/>
        <v>3.7751000000000001</v>
      </c>
    </row>
    <row r="3012" spans="1:8" x14ac:dyDescent="0.2">
      <c r="A3012" s="1">
        <v>161</v>
      </c>
      <c r="B3012" s="1" t="str">
        <v>2020-11-27</v>
      </c>
      <c r="C3012" s="1">
        <v>3.8677999999999999</v>
      </c>
      <c r="F3012" s="8">
        <f t="shared" si="138"/>
        <v>161</v>
      </c>
      <c r="G3012" s="9">
        <f t="shared" si="139"/>
        <v>44162</v>
      </c>
      <c r="H3012" s="10">
        <f t="shared" si="140"/>
        <v>3.8677999999999999</v>
      </c>
    </row>
    <row r="3013" spans="1:8" x14ac:dyDescent="0.2">
      <c r="A3013" s="1">
        <v>16</v>
      </c>
      <c r="B3013" s="1" t="str">
        <v>2020-11-27</v>
      </c>
      <c r="C3013" s="1">
        <v>3.4146999999999998</v>
      </c>
      <c r="F3013" s="8">
        <f t="shared" si="138"/>
        <v>16</v>
      </c>
      <c r="G3013" s="9">
        <f t="shared" si="139"/>
        <v>44162</v>
      </c>
      <c r="H3013" s="10">
        <f t="shared" si="140"/>
        <v>3.4146999999999998</v>
      </c>
    </row>
    <row r="3014" spans="1:8" x14ac:dyDescent="0.2">
      <c r="A3014" s="1">
        <v>101</v>
      </c>
      <c r="B3014" s="1" t="str">
        <v>2020-11-27</v>
      </c>
      <c r="C3014" s="1">
        <v>3.9089999999999998</v>
      </c>
      <c r="F3014" s="8">
        <f t="shared" si="138"/>
        <v>101</v>
      </c>
      <c r="G3014" s="9">
        <f t="shared" si="139"/>
        <v>44162</v>
      </c>
      <c r="H3014" s="10">
        <f t="shared" si="140"/>
        <v>3.9089999999999998</v>
      </c>
    </row>
    <row r="3015" spans="1:8" x14ac:dyDescent="0.2">
      <c r="A3015" s="1">
        <v>32180</v>
      </c>
      <c r="B3015" s="1" t="str">
        <v>2020-11-27</v>
      </c>
      <c r="C3015" s="1">
        <v>3.7172999999999998</v>
      </c>
      <c r="F3015" s="8">
        <f t="shared" si="138"/>
        <v>32180</v>
      </c>
      <c r="G3015" s="9">
        <f t="shared" si="139"/>
        <v>44162</v>
      </c>
      <c r="H3015" s="10">
        <f t="shared" si="140"/>
        <v>3.7172999999999998</v>
      </c>
    </row>
    <row r="3016" spans="1:8" x14ac:dyDescent="0.2">
      <c r="A3016" s="1">
        <v>139</v>
      </c>
      <c r="B3016" s="1" t="str">
        <v>2020-11-27</v>
      </c>
      <c r="C3016" s="1">
        <v>3.7545000000000002</v>
      </c>
      <c r="F3016" s="8">
        <f t="shared" si="138"/>
        <v>139</v>
      </c>
      <c r="G3016" s="9">
        <f t="shared" si="139"/>
        <v>44162</v>
      </c>
      <c r="H3016" s="10">
        <f t="shared" si="140"/>
        <v>3.7545000000000002</v>
      </c>
    </row>
    <row r="3017" spans="1:8" x14ac:dyDescent="0.2">
      <c r="A3017" s="1">
        <v>156</v>
      </c>
      <c r="B3017" s="1" t="str">
        <v>2020-11-27</v>
      </c>
      <c r="C3017" s="1">
        <v>3.5485000000000002</v>
      </c>
      <c r="F3017" s="8">
        <f t="shared" ref="F3017:F3031" si="141">A3017</f>
        <v>156</v>
      </c>
      <c r="G3017" s="9">
        <f t="shared" ref="G3017:G3031" si="142">DATE(LEFT(B3017,4),MID(B3017,6,2),RIGHT(B3017,2))</f>
        <v>44162</v>
      </c>
      <c r="H3017" s="10">
        <f t="shared" ref="H3017:H3031" si="143">C3017</f>
        <v>3.5485000000000002</v>
      </c>
    </row>
    <row r="3018" spans="1:8" x14ac:dyDescent="0.2">
      <c r="A3018" s="1">
        <v>81</v>
      </c>
      <c r="B3018" s="1" t="str">
        <v>2020-11-27</v>
      </c>
      <c r="C3018" s="1">
        <v>3.2709999999999999</v>
      </c>
      <c r="F3018" s="8">
        <f t="shared" si="141"/>
        <v>81</v>
      </c>
      <c r="G3018" s="9">
        <f t="shared" si="142"/>
        <v>44162</v>
      </c>
      <c r="H3018" s="10">
        <f t="shared" si="143"/>
        <v>3.2709999999999999</v>
      </c>
    </row>
    <row r="3019" spans="1:8" x14ac:dyDescent="0.2">
      <c r="A3019" s="1">
        <v>132</v>
      </c>
      <c r="B3019" s="1" t="str">
        <v>2020-11-27</v>
      </c>
      <c r="C3019" s="1">
        <v>3.6412</v>
      </c>
      <c r="F3019" s="8">
        <f t="shared" si="141"/>
        <v>132</v>
      </c>
      <c r="G3019" s="9">
        <f t="shared" si="142"/>
        <v>44162</v>
      </c>
      <c r="H3019" s="10">
        <f t="shared" si="143"/>
        <v>3.6412</v>
      </c>
    </row>
    <row r="3020" spans="1:8" x14ac:dyDescent="0.2">
      <c r="A3020" s="1">
        <v>10</v>
      </c>
      <c r="B3020" s="1" t="str">
        <v>2020-11-27</v>
      </c>
      <c r="C3020" s="1">
        <v>3.9502000000000002</v>
      </c>
      <c r="F3020" s="8">
        <f t="shared" si="141"/>
        <v>10</v>
      </c>
      <c r="G3020" s="9">
        <f t="shared" si="142"/>
        <v>44162</v>
      </c>
      <c r="H3020" s="10">
        <f t="shared" si="143"/>
        <v>3.9502000000000002</v>
      </c>
    </row>
    <row r="3021" spans="1:8" x14ac:dyDescent="0.2">
      <c r="A3021" s="1">
        <v>32583</v>
      </c>
      <c r="B3021" s="1" t="str">
        <v>2020-11-27</v>
      </c>
      <c r="C3021" s="1">
        <v>3.8883000000000001</v>
      </c>
      <c r="F3021" s="8">
        <f t="shared" si="141"/>
        <v>32583</v>
      </c>
      <c r="G3021" s="9">
        <f t="shared" si="142"/>
        <v>44162</v>
      </c>
      <c r="H3021" s="10">
        <f t="shared" si="143"/>
        <v>3.8883000000000001</v>
      </c>
    </row>
    <row r="3022" spans="1:8" x14ac:dyDescent="0.2">
      <c r="A3022" s="1">
        <v>187</v>
      </c>
      <c r="B3022" s="1" t="str">
        <v>2020-11-27</v>
      </c>
      <c r="C3022" s="1">
        <v>3.7852999999999999</v>
      </c>
      <c r="F3022" s="8">
        <f t="shared" si="141"/>
        <v>187</v>
      </c>
      <c r="G3022" s="9">
        <f t="shared" si="142"/>
        <v>44162</v>
      </c>
      <c r="H3022" s="10">
        <f t="shared" si="143"/>
        <v>3.7852999999999999</v>
      </c>
    </row>
    <row r="3023" spans="1:8" x14ac:dyDescent="0.2">
      <c r="A3023" s="1">
        <v>32200</v>
      </c>
      <c r="B3023" s="1" t="str">
        <v>2020-11-30</v>
      </c>
      <c r="C3023" s="1">
        <v>3.8369</v>
      </c>
      <c r="F3023" s="8">
        <f t="shared" si="141"/>
        <v>32200</v>
      </c>
      <c r="G3023" s="9">
        <f t="shared" si="142"/>
        <v>44165</v>
      </c>
      <c r="H3023" s="10">
        <f t="shared" si="143"/>
        <v>3.8369</v>
      </c>
    </row>
    <row r="3024" spans="1:8" x14ac:dyDescent="0.2">
      <c r="A3024" s="1">
        <v>33023</v>
      </c>
      <c r="B3024" s="1" t="str">
        <v>2020-11-30</v>
      </c>
      <c r="C3024" s="1">
        <v>3.8574999999999999</v>
      </c>
      <c r="F3024" s="8">
        <f t="shared" si="141"/>
        <v>33023</v>
      </c>
      <c r="G3024" s="9">
        <f t="shared" si="142"/>
        <v>44165</v>
      </c>
      <c r="H3024" s="10">
        <f t="shared" si="143"/>
        <v>3.8574999999999999</v>
      </c>
    </row>
    <row r="3025" spans="1:8" x14ac:dyDescent="0.2">
      <c r="A3025" s="1">
        <v>34</v>
      </c>
      <c r="B3025" s="1" t="str">
        <v>2020-11-30</v>
      </c>
      <c r="C3025" s="1">
        <v>3.7339000000000002</v>
      </c>
      <c r="F3025" s="8">
        <f t="shared" si="141"/>
        <v>34</v>
      </c>
      <c r="G3025" s="9">
        <f t="shared" si="142"/>
        <v>44165</v>
      </c>
      <c r="H3025" s="10">
        <f t="shared" si="143"/>
        <v>3.7339000000000002</v>
      </c>
    </row>
    <row r="3026" spans="1:8" x14ac:dyDescent="0.2">
      <c r="A3026" s="1">
        <v>147</v>
      </c>
      <c r="B3026" s="1" t="str">
        <v>2020-11-30</v>
      </c>
      <c r="C3026" s="1">
        <v>4.0224000000000002</v>
      </c>
      <c r="F3026" s="8">
        <f t="shared" si="141"/>
        <v>147</v>
      </c>
      <c r="G3026" s="9">
        <f t="shared" si="142"/>
        <v>44165</v>
      </c>
      <c r="H3026" s="10">
        <f t="shared" si="143"/>
        <v>4.0224000000000002</v>
      </c>
    </row>
    <row r="3027" spans="1:8" x14ac:dyDescent="0.2">
      <c r="A3027" s="1">
        <v>32421</v>
      </c>
      <c r="B3027" s="1" t="str">
        <v>2020-11-30</v>
      </c>
      <c r="C3027" s="1">
        <v>3.661</v>
      </c>
      <c r="F3027" s="8">
        <f t="shared" si="141"/>
        <v>32421</v>
      </c>
      <c r="G3027" s="9">
        <f t="shared" si="142"/>
        <v>44165</v>
      </c>
      <c r="H3027" s="10">
        <f t="shared" si="143"/>
        <v>3.661</v>
      </c>
    </row>
    <row r="3028" spans="1:8" x14ac:dyDescent="0.2">
      <c r="A3028" s="1">
        <v>32843</v>
      </c>
      <c r="B3028" s="1" t="str">
        <v>2020-11-30</v>
      </c>
      <c r="C3028" s="1">
        <v>3.7852999999999999</v>
      </c>
      <c r="F3028" s="8">
        <f t="shared" si="141"/>
        <v>32843</v>
      </c>
      <c r="G3028" s="9">
        <f t="shared" si="142"/>
        <v>44165</v>
      </c>
      <c r="H3028" s="10">
        <f t="shared" si="143"/>
        <v>3.7852999999999999</v>
      </c>
    </row>
    <row r="3029" spans="1:8" x14ac:dyDescent="0.2">
      <c r="A3029" s="1">
        <v>32400</v>
      </c>
      <c r="B3029" s="1" t="str">
        <v>2020-11-30</v>
      </c>
      <c r="C3029" s="1">
        <v>3.8472</v>
      </c>
      <c r="F3029" s="8">
        <f t="shared" si="141"/>
        <v>32400</v>
      </c>
      <c r="G3029" s="9">
        <f t="shared" si="142"/>
        <v>44165</v>
      </c>
      <c r="H3029" s="10">
        <f t="shared" si="143"/>
        <v>3.8472</v>
      </c>
    </row>
    <row r="3030" spans="1:8" x14ac:dyDescent="0.2">
      <c r="A3030" s="1">
        <v>33103</v>
      </c>
      <c r="B3030" s="1" t="str">
        <v>2020-11-30</v>
      </c>
      <c r="C3030" s="1">
        <v>3.7936000000000001</v>
      </c>
      <c r="F3030" s="8">
        <f t="shared" si="141"/>
        <v>33103</v>
      </c>
      <c r="G3030" s="9">
        <f t="shared" si="142"/>
        <v>44165</v>
      </c>
      <c r="H3030" s="10">
        <f t="shared" si="143"/>
        <v>3.7936000000000001</v>
      </c>
    </row>
    <row r="3031" spans="1:8" x14ac:dyDescent="0.2">
      <c r="A3031" s="1">
        <v>178</v>
      </c>
      <c r="B3031" s="1" t="str">
        <v>2020-11-30</v>
      </c>
      <c r="C3031" s="1">
        <v>3.8573</v>
      </c>
      <c r="F3031" s="8">
        <f t="shared" si="141"/>
        <v>178</v>
      </c>
      <c r="G3031" s="9">
        <f t="shared" si="142"/>
        <v>44165</v>
      </c>
      <c r="H3031" s="10">
        <f t="shared" si="143"/>
        <v>3.8573</v>
      </c>
    </row>
    <row r="3032" spans="1:8" x14ac:dyDescent="0.2">
      <c r="F3032" s="3"/>
      <c r="G3032" s="3"/>
      <c r="H3032" s="3"/>
    </row>
    <row r="3033" spans="1:8" x14ac:dyDescent="0.2">
      <c r="F3033" s="6" t="s">
        <v>7</v>
      </c>
      <c r="G3033" s="12">
        <f>MIN($G$8:$G$3031)</f>
        <v>43801</v>
      </c>
      <c r="H3033" s="13">
        <v>4</v>
      </c>
    </row>
    <row r="3034" spans="1:8" x14ac:dyDescent="0.2">
      <c r="F3034" s="6" t="s">
        <v>7</v>
      </c>
      <c r="G3034" s="12">
        <v>44196</v>
      </c>
      <c r="H3034" s="13">
        <v>4</v>
      </c>
    </row>
    <row r="3035" spans="1:8" x14ac:dyDescent="0.2">
      <c r="F3035" s="6" t="s">
        <v>8</v>
      </c>
      <c r="G3035" s="12">
        <f>MIN($G$8:$G$3031)</f>
        <v>43801</v>
      </c>
      <c r="H3035" s="6">
        <v>-9999999</v>
      </c>
    </row>
    <row r="3036" spans="1:8" x14ac:dyDescent="0.2">
      <c r="F3036" s="6" t="s">
        <v>8</v>
      </c>
      <c r="G3036" s="12">
        <v>43882</v>
      </c>
      <c r="H3036" s="6">
        <v>-9999999</v>
      </c>
    </row>
    <row r="3037" spans="1:8" x14ac:dyDescent="0.2">
      <c r="F3037" s="6" t="s">
        <v>8</v>
      </c>
      <c r="G3037" s="12">
        <v>43883</v>
      </c>
      <c r="H3037" s="6">
        <v>9999999</v>
      </c>
    </row>
    <row r="3038" spans="1:8" x14ac:dyDescent="0.2">
      <c r="F3038" s="6" t="s">
        <v>9</v>
      </c>
      <c r="G3038" s="12">
        <f>MIN($G$8:$G$3031)</f>
        <v>43801</v>
      </c>
      <c r="H3038" s="5">
        <v>4.5199999999999996</v>
      </c>
    </row>
    <row r="3039" spans="1:8" x14ac:dyDescent="0.2">
      <c r="F3039" s="6" t="s">
        <v>9</v>
      </c>
      <c r="G3039" s="12">
        <v>44196</v>
      </c>
      <c r="H3039" s="5">
        <v>4.5199999999999996</v>
      </c>
    </row>
  </sheetData>
  <pageMargins left="0.511811024" right="0.511811024" top="0.78740157499999996" bottom="0.78740157499999996" header="0.31496062000000002" footer="0.31496062000000002"/>
  <pageSetup paperSize="9" orientation="portrait" r:id="rId2"/>
  <ignoredErrors>
    <ignoredError sqref="G8:G3031" formula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CPI Dispersion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 Amaral</cp:lastModifiedBy>
  <dcterms:created xsi:type="dcterms:W3CDTF">2021-12-17T00:04:12Z</dcterms:created>
  <dcterms:modified xsi:type="dcterms:W3CDTF">2022-08-25T21:46:48Z</dcterms:modified>
</cp:coreProperties>
</file>